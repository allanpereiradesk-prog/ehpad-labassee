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Bouches" sheetId="2" state="visible" r:id="rId4"/>
    <sheet name="Contrôle DCE" sheetId="3" state="visible" r:id="rId5"/>
    <sheet name="Écarts au CCTP" sheetId="4" state="visible" r:id="rId6"/>
    <sheet name="Hypothèses" sheetId="5" state="visible" r:id="rId7"/>
  </sheets>
  <definedNames>
    <definedName function="false" hidden="true" localSheetId="1" name="_xlnm._FilterDatabase" vbProcedure="false">Bouches!$A$1:$S$271</definedName>
    <definedName function="false" hidden="true" localSheetId="2" name="_xlnm._FilterDatabase" vbProcedure="false">'Contrôle DCE'!$A$1:$P$245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<sst xmlns="http://schemas.openxmlformats.org/spreadsheetml/2006/main" count="5200" uniqueCount="862">
  <si>
    <t xml:space="preserve">Bouches de ventilation – contrôle par rapport au dossier DCE</t>
  </si>
  <si>
    <t xml:space="preserve">EHPAD La Bassée · lot 12 CVC · source : CCTP lot 12 + fichier « Débits par local » (débits du dossier)</t>
  </si>
  <si>
    <t xml:space="preserve">Réseau</t>
  </si>
  <si>
    <t xml:space="preserve">Fonction</t>
  </si>
  <si>
    <t xml:space="preserve">Nombre de bouches</t>
  </si>
  <si>
    <t xml:space="preserve">Débit des bouches (m³/h)</t>
  </si>
  <si>
    <t xml:space="preserve">Raccordées</t>
  </si>
  <si>
    <t xml:space="preserve">À raccorder</t>
  </si>
  <si>
    <t xml:space="preserve">CTA 1</t>
  </si>
  <si>
    <t xml:space="preserve">Soufflage</t>
  </si>
  <si>
    <t xml:space="preserve">Extraction</t>
  </si>
  <si>
    <t xml:space="preserve">CTA 2</t>
  </si>
  <si>
    <t xml:space="preserve">CTA 3</t>
  </si>
  <si>
    <t xml:space="preserve">CTA 4</t>
  </si>
  <si>
    <t xml:space="preserve">CTA 5</t>
  </si>
  <si>
    <t xml:space="preserve">Reprise</t>
  </si>
  <si>
    <t xml:space="preserve">VMC sanitaires</t>
  </si>
  <si>
    <t xml:space="preserve">Total</t>
  </si>
  <si>
    <t xml:space="preserve">Locaux ventilés du dossier</t>
  </si>
  <si>
    <t xml:space="preserve">dont conformes (débit maquette = débit dossier)</t>
  </si>
  <si>
    <t xml:space="preserve">À retenir</t>
  </si>
  <si>
    <t xml:space="preserve">• Chaque local ventilé du dossier a ses bouches, au bon débit (onglet « Contrôle DCE »).</t>
  </si>
  <si>
    <t xml:space="preserve">• Les modèles suivent le CCTP : GADD F (chambres), ALYZE S (salles de bains et VMC), DCFD-F et DATP (locaux communs).</t>
  </si>
  <si>
    <t xml:space="preserve">• Écarts assumés et suite à donner : onglet « Écarts au CCTP » (flexibles, régulateurs, débit CTA 5, grilles de transfert des offices).</t>
  </si>
  <si>
    <t xml:space="preserve">Repère</t>
  </si>
  <si>
    <t xml:space="preserve">Niveau</t>
  </si>
  <si>
    <t xml:space="preserve">N° local</t>
  </si>
  <si>
    <t xml:space="preserve">Local</t>
  </si>
  <si>
    <t xml:space="preserve">Pose</t>
  </si>
  <si>
    <t xml:space="preserve">Modèle (CCTP)</t>
  </si>
  <si>
    <t xml:space="preserve">Produit</t>
  </si>
  <si>
    <t xml:space="preserve">Réf. CCTP</t>
  </si>
  <si>
    <t xml:space="preserve">Col L (mm)</t>
  </si>
  <si>
    <t xml:space="preserve">Col H (mm)</t>
  </si>
  <si>
    <t xml:space="preserve">Débit (m³/h)</t>
  </si>
  <si>
    <t xml:space="preserve">Section col (m²)</t>
  </si>
  <si>
    <t xml:space="preserve">Vitesse au col (m/s)</t>
  </si>
  <si>
    <t xml:space="preserve">Vitesse ≤ maxi ?</t>
  </si>
  <si>
    <t xml:space="preserve">Raccordée</t>
  </si>
  <si>
    <t xml:space="preserve">Remarque</t>
  </si>
  <si>
    <t xml:space="preserve">Clé local</t>
  </si>
  <si>
    <t xml:space="preserve">B016</t>
  </si>
  <si>
    <t xml:space="preserve">N00</t>
  </si>
  <si>
    <t xml:space="preserve">HEB01O</t>
  </si>
  <si>
    <t xml:space="preserve">sdb</t>
  </si>
  <si>
    <t xml:space="preserve">plafond</t>
  </si>
  <si>
    <t xml:space="preserve">VIM ALYZE S</t>
  </si>
  <si>
    <t xml:space="preserve">Bouche d'extraction autoréglable</t>
  </si>
  <si>
    <t xml:space="preserve">CCTP 4.10.6</t>
  </si>
  <si>
    <t xml:space="preserve">oui</t>
  </si>
  <si>
    <t xml:space="preserve">L073</t>
  </si>
  <si>
    <t xml:space="preserve">B019</t>
  </si>
  <si>
    <t xml:space="preserve">HEB01C</t>
  </si>
  <si>
    <t xml:space="preserve">L060</t>
  </si>
  <si>
    <t xml:space="preserve">B023</t>
  </si>
  <si>
    <t xml:space="preserve">HEB01R</t>
  </si>
  <si>
    <t xml:space="preserve">L076</t>
  </si>
  <si>
    <t xml:space="preserve">B024</t>
  </si>
  <si>
    <t xml:space="preserve">HEB01U</t>
  </si>
  <si>
    <t xml:space="preserve">L079</t>
  </si>
  <si>
    <t xml:space="preserve">B025</t>
  </si>
  <si>
    <t xml:space="preserve">HEB01W</t>
  </si>
  <si>
    <t xml:space="preserve">L081</t>
  </si>
  <si>
    <t xml:space="preserve">B037</t>
  </si>
  <si>
    <t xml:space="preserve">HEB01CC</t>
  </si>
  <si>
    <t xml:space="preserve">L061</t>
  </si>
  <si>
    <t xml:space="preserve">B038</t>
  </si>
  <si>
    <t xml:space="preserve">HEB01P</t>
  </si>
  <si>
    <t xml:space="preserve">L074</t>
  </si>
  <si>
    <t xml:space="preserve">B119</t>
  </si>
  <si>
    <t xml:space="preserve">HEB01H</t>
  </si>
  <si>
    <t xml:space="preserve">L066</t>
  </si>
  <si>
    <t xml:space="preserve">B143</t>
  </si>
  <si>
    <t xml:space="preserve">HEB01K</t>
  </si>
  <si>
    <t xml:space="preserve">L069</t>
  </si>
  <si>
    <t xml:space="preserve">B150</t>
  </si>
  <si>
    <t xml:space="preserve">HEB01D</t>
  </si>
  <si>
    <t xml:space="preserve">L062</t>
  </si>
  <si>
    <t xml:space="preserve">B166</t>
  </si>
  <si>
    <t xml:space="preserve">HEB01L</t>
  </si>
  <si>
    <t xml:space="preserve">L070</t>
  </si>
  <si>
    <t xml:space="preserve">B174</t>
  </si>
  <si>
    <t xml:space="preserve">HEB01F</t>
  </si>
  <si>
    <t xml:space="preserve">L064</t>
  </si>
  <si>
    <t xml:space="preserve">B183</t>
  </si>
  <si>
    <t xml:space="preserve">HEB01N</t>
  </si>
  <si>
    <t xml:space="preserve">L072</t>
  </si>
  <si>
    <t xml:space="preserve">B187</t>
  </si>
  <si>
    <t xml:space="preserve">HEB01E</t>
  </si>
  <si>
    <t xml:space="preserve">L063</t>
  </si>
  <si>
    <t xml:space="preserve">B015</t>
  </si>
  <si>
    <t xml:space="preserve">N01</t>
  </si>
  <si>
    <t xml:space="preserve">HEB01NN</t>
  </si>
  <si>
    <t xml:space="preserve">L232</t>
  </si>
  <si>
    <t xml:space="preserve">B018</t>
  </si>
  <si>
    <t xml:space="preserve">HEB01GGG</t>
  </si>
  <si>
    <t xml:space="preserve">L159</t>
  </si>
  <si>
    <t xml:space="preserve">B020</t>
  </si>
  <si>
    <t xml:space="preserve">HEB01SSS</t>
  </si>
  <si>
    <t xml:space="preserve">L171</t>
  </si>
  <si>
    <t xml:space="preserve">B021</t>
  </si>
  <si>
    <t xml:space="preserve">HEB01QQ</t>
  </si>
  <si>
    <t xml:space="preserve">L235</t>
  </si>
  <si>
    <t xml:space="preserve">B022</t>
  </si>
  <si>
    <t xml:space="preserve">HEB01RR</t>
  </si>
  <si>
    <t xml:space="preserve">L236</t>
  </si>
  <si>
    <t xml:space="preserve">B035</t>
  </si>
  <si>
    <t xml:space="preserve">HEB01YYY</t>
  </si>
  <si>
    <t xml:space="preserve">L177</t>
  </si>
  <si>
    <t xml:space="preserve">B036</t>
  </si>
  <si>
    <t xml:space="preserve">HEB01PP</t>
  </si>
  <si>
    <t xml:space="preserve">L234</t>
  </si>
  <si>
    <t xml:space="preserve">B118</t>
  </si>
  <si>
    <t xml:space="preserve">HEB01AAAA</t>
  </si>
  <si>
    <t xml:space="preserve">L153</t>
  </si>
  <si>
    <t xml:space="preserve">B142</t>
  </si>
  <si>
    <t xml:space="preserve">HEB01DDD</t>
  </si>
  <si>
    <t xml:space="preserve">L222</t>
  </si>
  <si>
    <t xml:space="preserve">B149</t>
  </si>
  <si>
    <t xml:space="preserve">HEB01XXX</t>
  </si>
  <si>
    <t xml:space="preserve">L176</t>
  </si>
  <si>
    <t xml:space="preserve">B165</t>
  </si>
  <si>
    <t xml:space="preserve">HEB01FF</t>
  </si>
  <si>
    <t xml:space="preserve">L224</t>
  </si>
  <si>
    <t xml:space="preserve">B173</t>
  </si>
  <si>
    <t xml:space="preserve">HEB01TTT</t>
  </si>
  <si>
    <t xml:space="preserve">L172</t>
  </si>
  <si>
    <t xml:space="preserve">B182</t>
  </si>
  <si>
    <t xml:space="preserve">HEB01VV</t>
  </si>
  <si>
    <t xml:space="preserve">L240</t>
  </si>
  <si>
    <t xml:space="preserve">B186</t>
  </si>
  <si>
    <t xml:space="preserve">HEB01MM</t>
  </si>
  <si>
    <t xml:space="preserve">L231</t>
  </si>
  <si>
    <t xml:space="preserve">B181</t>
  </si>
  <si>
    <t xml:space="preserve">HEB01</t>
  </si>
  <si>
    <t xml:space="preserve">ch. couple</t>
  </si>
  <si>
    <t xml:space="preserve">mural</t>
  </si>
  <si>
    <t xml:space="preserve">VIM GADD F</t>
  </si>
  <si>
    <t xml:space="preserve">Grille murale double déflexion + régulateur de débit constant</t>
  </si>
  <si>
    <t xml:space="preserve">L023</t>
  </si>
  <si>
    <t xml:space="preserve">B185</t>
  </si>
  <si>
    <t xml:space="preserve">L024</t>
  </si>
  <si>
    <t xml:space="preserve">B060</t>
  </si>
  <si>
    <t xml:space="preserve">chambre</t>
  </si>
  <si>
    <t xml:space="preserve">L030</t>
  </si>
  <si>
    <t xml:space="preserve">B081</t>
  </si>
  <si>
    <t xml:space="preserve">L034</t>
  </si>
  <si>
    <t xml:space="preserve">B099</t>
  </si>
  <si>
    <t xml:space="preserve">L031</t>
  </si>
  <si>
    <t xml:space="preserve">B101</t>
  </si>
  <si>
    <t xml:space="preserve">L046</t>
  </si>
  <si>
    <t xml:space="preserve">B111</t>
  </si>
  <si>
    <t xml:space="preserve">L038</t>
  </si>
  <si>
    <t xml:space="preserve">B112</t>
  </si>
  <si>
    <t xml:space="preserve">L039</t>
  </si>
  <si>
    <t xml:space="preserve">B124</t>
  </si>
  <si>
    <t xml:space="preserve">L029</t>
  </si>
  <si>
    <t xml:space="preserve">B126</t>
  </si>
  <si>
    <t xml:space="preserve">L035</t>
  </si>
  <si>
    <t xml:space="preserve">B141</t>
  </si>
  <si>
    <t xml:space="preserve">L036</t>
  </si>
  <si>
    <t xml:space="preserve">B162</t>
  </si>
  <si>
    <t xml:space="preserve">L033</t>
  </si>
  <si>
    <t xml:space="preserve">B334</t>
  </si>
  <si>
    <t xml:space="preserve">L032</t>
  </si>
  <si>
    <t xml:space="preserve">B353</t>
  </si>
  <si>
    <t xml:space="preserve">L040</t>
  </si>
  <si>
    <t xml:space="preserve">B180</t>
  </si>
  <si>
    <t xml:space="preserve">L183</t>
  </si>
  <si>
    <t xml:space="preserve">B184</t>
  </si>
  <si>
    <t xml:space="preserve">L184</t>
  </si>
  <si>
    <t xml:space="preserve">B059</t>
  </si>
  <si>
    <t xml:space="preserve">L197</t>
  </si>
  <si>
    <t xml:space="preserve">B080</t>
  </si>
  <si>
    <t xml:space="preserve">L198</t>
  </si>
  <si>
    <t xml:space="preserve">B098</t>
  </si>
  <si>
    <t xml:space="preserve">L201</t>
  </si>
  <si>
    <t xml:space="preserve">B100</t>
  </si>
  <si>
    <t xml:space="preserve">L117</t>
  </si>
  <si>
    <t xml:space="preserve">B109</t>
  </si>
  <si>
    <t xml:space="preserve">L190</t>
  </si>
  <si>
    <t xml:space="preserve">B110</t>
  </si>
  <si>
    <t xml:space="preserve">L199</t>
  </si>
  <si>
    <t xml:space="preserve">B123</t>
  </si>
  <si>
    <t xml:space="preserve">L194</t>
  </si>
  <si>
    <t xml:space="preserve">B125</t>
  </si>
  <si>
    <t xml:space="preserve">L204</t>
  </si>
  <si>
    <t xml:space="preserve">B140</t>
  </si>
  <si>
    <t xml:space="preserve">L202</t>
  </si>
  <si>
    <t xml:space="preserve">B161</t>
  </si>
  <si>
    <t xml:space="preserve">L192</t>
  </si>
  <si>
    <t xml:space="preserve">B333</t>
  </si>
  <si>
    <t xml:space="preserve">L189</t>
  </si>
  <si>
    <t xml:space="preserve">B352</t>
  </si>
  <si>
    <t xml:space="preserve">L200</t>
  </si>
  <si>
    <t xml:space="preserve">B044</t>
  </si>
  <si>
    <t xml:space="preserve">HEB01G</t>
  </si>
  <si>
    <t xml:space="preserve">L065</t>
  </si>
  <si>
    <t xml:space="preserve">B045</t>
  </si>
  <si>
    <t xml:space="preserve">HEB01I</t>
  </si>
  <si>
    <t xml:space="preserve">L067</t>
  </si>
  <si>
    <t xml:space="preserve">B046</t>
  </si>
  <si>
    <t xml:space="preserve">HEB01J</t>
  </si>
  <si>
    <t xml:space="preserve">L068</t>
  </si>
  <si>
    <t xml:space="preserve">B047</t>
  </si>
  <si>
    <t xml:space="preserve">HEB01S</t>
  </si>
  <si>
    <t xml:space="preserve">L077</t>
  </si>
  <si>
    <t xml:space="preserve">B048</t>
  </si>
  <si>
    <t xml:space="preserve">HEB01T</t>
  </si>
  <si>
    <t xml:space="preserve">L078</t>
  </si>
  <si>
    <t xml:space="preserve">B049</t>
  </si>
  <si>
    <t xml:space="preserve">HEB01Z</t>
  </si>
  <si>
    <t xml:space="preserve">L084</t>
  </si>
  <si>
    <t xml:space="preserve">B051</t>
  </si>
  <si>
    <t xml:space="preserve">HEB01Q</t>
  </si>
  <si>
    <t xml:space="preserve">L075</t>
  </si>
  <si>
    <t xml:space="preserve">B096</t>
  </si>
  <si>
    <t xml:space="preserve">HEB01AA</t>
  </si>
  <si>
    <t xml:space="preserve">L057</t>
  </si>
  <si>
    <t xml:space="preserve">B122</t>
  </si>
  <si>
    <t xml:space="preserve">HEB01B</t>
  </si>
  <si>
    <t xml:space="preserve">L058</t>
  </si>
  <si>
    <t xml:space="preserve">B147</t>
  </si>
  <si>
    <t xml:space="preserve">HEB01BB</t>
  </si>
  <si>
    <t xml:space="preserve">L059</t>
  </si>
  <si>
    <t xml:space="preserve">B155</t>
  </si>
  <si>
    <t xml:space="preserve">HEB01M</t>
  </si>
  <si>
    <t xml:space="preserve">L071</t>
  </si>
  <si>
    <t xml:space="preserve">B164</t>
  </si>
  <si>
    <t xml:space="preserve">HEB01V</t>
  </si>
  <si>
    <t xml:space="preserve">L080</t>
  </si>
  <si>
    <t xml:space="preserve">B170</t>
  </si>
  <si>
    <t xml:space="preserve">HEB01Y</t>
  </si>
  <si>
    <t xml:space="preserve">L083</t>
  </si>
  <si>
    <t xml:space="preserve">B177</t>
  </si>
  <si>
    <t xml:space="preserve">HEB01X</t>
  </si>
  <si>
    <t xml:space="preserve">L082</t>
  </si>
  <si>
    <t xml:space="preserve">B039</t>
  </si>
  <si>
    <t xml:space="preserve">HEB01RRR</t>
  </si>
  <si>
    <t xml:space="preserve">L170</t>
  </si>
  <si>
    <t xml:space="preserve">B040</t>
  </si>
  <si>
    <t xml:space="preserve">HEB01DD</t>
  </si>
  <si>
    <t xml:space="preserve">L221</t>
  </si>
  <si>
    <t xml:space="preserve">B041</t>
  </si>
  <si>
    <t xml:space="preserve">HEB01EE</t>
  </si>
  <si>
    <t xml:space="preserve">L223</t>
  </si>
  <si>
    <t xml:space="preserve">B042</t>
  </si>
  <si>
    <t xml:space="preserve">HEB01TT</t>
  </si>
  <si>
    <t xml:space="preserve">L238</t>
  </si>
  <si>
    <t xml:space="preserve">B043</t>
  </si>
  <si>
    <t xml:space="preserve">HEB01XX</t>
  </si>
  <si>
    <t xml:space="preserve">L242</t>
  </si>
  <si>
    <t xml:space="preserve">B050</t>
  </si>
  <si>
    <t xml:space="preserve">HEB01CCC</t>
  </si>
  <si>
    <t xml:space="preserve">L220</t>
  </si>
  <si>
    <t xml:space="preserve">B097</t>
  </si>
  <si>
    <t xml:space="preserve">HEB01ZZ</t>
  </si>
  <si>
    <t xml:space="preserve">L244</t>
  </si>
  <si>
    <t xml:space="preserve">B121</t>
  </si>
  <si>
    <t xml:space="preserve">HEB01KK</t>
  </si>
  <si>
    <t xml:space="preserve">L229</t>
  </si>
  <si>
    <t xml:space="preserve">B146</t>
  </si>
  <si>
    <t xml:space="preserve">HEB01UU</t>
  </si>
  <si>
    <t xml:space="preserve">L239</t>
  </si>
  <si>
    <t xml:space="preserve">B154</t>
  </si>
  <si>
    <t xml:space="preserve">HEB01SS</t>
  </si>
  <si>
    <t xml:space="preserve">L237</t>
  </si>
  <si>
    <t xml:space="preserve">B163</t>
  </si>
  <si>
    <t xml:space="preserve">HEB01AAA</t>
  </si>
  <si>
    <t xml:space="preserve">L218</t>
  </si>
  <si>
    <t xml:space="preserve">B169</t>
  </si>
  <si>
    <t xml:space="preserve">HEB01YY</t>
  </si>
  <si>
    <t xml:space="preserve">L243</t>
  </si>
  <si>
    <t xml:space="preserve">B369</t>
  </si>
  <si>
    <t xml:space="preserve">HEB01WW</t>
  </si>
  <si>
    <t xml:space="preserve">non</t>
  </si>
  <si>
    <t xml:space="preserve">Antenne trop courte entre deux raccords</t>
  </si>
  <si>
    <t xml:space="preserve">L241</t>
  </si>
  <si>
    <t xml:space="preserve">B129</t>
  </si>
  <si>
    <t xml:space="preserve">ch. bariatrique</t>
  </si>
  <si>
    <t xml:space="preserve">L020</t>
  </si>
  <si>
    <t xml:space="preserve">B132</t>
  </si>
  <si>
    <t xml:space="preserve">L021</t>
  </si>
  <si>
    <t xml:space="preserve">B133</t>
  </si>
  <si>
    <t xml:space="preserve">L022</t>
  </si>
  <si>
    <t xml:space="preserve">B145</t>
  </si>
  <si>
    <t xml:space="preserve">L019</t>
  </si>
  <si>
    <t xml:space="preserve">B066</t>
  </si>
  <si>
    <t xml:space="preserve">L025</t>
  </si>
  <si>
    <t xml:space="preserve">B069</t>
  </si>
  <si>
    <t xml:space="preserve">L026</t>
  </si>
  <si>
    <t xml:space="preserve">B095</t>
  </si>
  <si>
    <t xml:space="preserve">L027</t>
  </si>
  <si>
    <t xml:space="preserve">B103</t>
  </si>
  <si>
    <t xml:space="preserve">L028</t>
  </si>
  <si>
    <t xml:space="preserve">B065</t>
  </si>
  <si>
    <t xml:space="preserve">L037</t>
  </si>
  <si>
    <t xml:space="preserve">B107</t>
  </si>
  <si>
    <t xml:space="preserve">L041</t>
  </si>
  <si>
    <t xml:space="preserve">B108</t>
  </si>
  <si>
    <t xml:space="preserve">L044</t>
  </si>
  <si>
    <t xml:space="preserve">B130</t>
  </si>
  <si>
    <t xml:space="preserve">L042</t>
  </si>
  <si>
    <t xml:space="preserve">B131</t>
  </si>
  <si>
    <t xml:space="preserve">L043</t>
  </si>
  <si>
    <t xml:space="preserve">B152</t>
  </si>
  <si>
    <t xml:space="preserve">L045</t>
  </si>
  <si>
    <t xml:space="preserve">B128</t>
  </si>
  <si>
    <t xml:space="preserve">L182</t>
  </si>
  <si>
    <t xml:space="preserve">B134</t>
  </si>
  <si>
    <t xml:space="preserve">L179</t>
  </si>
  <si>
    <t xml:space="preserve">B135</t>
  </si>
  <si>
    <t xml:space="preserve">L180</t>
  </si>
  <si>
    <t xml:space="preserve">B144</t>
  </si>
  <si>
    <t xml:space="preserve">L181</t>
  </si>
  <si>
    <t xml:space="preserve">B068</t>
  </si>
  <si>
    <t xml:space="preserve">L185</t>
  </si>
  <si>
    <t xml:space="preserve">B094</t>
  </si>
  <si>
    <t xml:space="preserve">L187</t>
  </si>
  <si>
    <t xml:space="preserve">B102</t>
  </si>
  <si>
    <t xml:space="preserve">L186</t>
  </si>
  <si>
    <t xml:space="preserve">B064</t>
  </si>
  <si>
    <t xml:space="preserve">L191</t>
  </si>
  <si>
    <t xml:space="preserve">B067</t>
  </si>
  <si>
    <t xml:space="preserve">HEB1180</t>
  </si>
  <si>
    <t xml:space="preserve">L205</t>
  </si>
  <si>
    <t xml:space="preserve">B105</t>
  </si>
  <si>
    <t xml:space="preserve">L188</t>
  </si>
  <si>
    <t xml:space="preserve">B106</t>
  </si>
  <si>
    <t xml:space="preserve">L193</t>
  </si>
  <si>
    <t xml:space="preserve">B138</t>
  </si>
  <si>
    <t xml:space="preserve">L196</t>
  </si>
  <si>
    <t xml:space="preserve">B139</t>
  </si>
  <si>
    <t xml:space="preserve">L203</t>
  </si>
  <si>
    <t xml:space="preserve">B317</t>
  </si>
  <si>
    <t xml:space="preserve">HEB01DDDD</t>
  </si>
  <si>
    <t xml:space="preserve">L156</t>
  </si>
  <si>
    <t xml:space="preserve">B318</t>
  </si>
  <si>
    <t xml:space="preserve">HEB01FFF</t>
  </si>
  <si>
    <t xml:space="preserve">L158</t>
  </si>
  <si>
    <t xml:space="preserve">B319</t>
  </si>
  <si>
    <t xml:space="preserve">HEB01MMM</t>
  </si>
  <si>
    <t xml:space="preserve">L165</t>
  </si>
  <si>
    <t xml:space="preserve">B320</t>
  </si>
  <si>
    <t xml:space="preserve">HEB01VVV</t>
  </si>
  <si>
    <t xml:space="preserve">L174</t>
  </si>
  <si>
    <t xml:space="preserve">B321</t>
  </si>
  <si>
    <t xml:space="preserve">HEB01EEE</t>
  </si>
  <si>
    <t xml:space="preserve">L157</t>
  </si>
  <si>
    <t xml:space="preserve">B345</t>
  </si>
  <si>
    <t xml:space="preserve">HEB01II</t>
  </si>
  <si>
    <t xml:space="preserve">L227</t>
  </si>
  <si>
    <t xml:space="preserve">B356</t>
  </si>
  <si>
    <t xml:space="preserve">HEB01CCCC</t>
  </si>
  <si>
    <t xml:space="preserve">L155</t>
  </si>
  <si>
    <t xml:space="preserve">B373</t>
  </si>
  <si>
    <t xml:space="preserve">HEB01JJ</t>
  </si>
  <si>
    <t xml:space="preserve">L228</t>
  </si>
  <si>
    <t xml:space="preserve">B377</t>
  </si>
  <si>
    <t xml:space="preserve">HEB01GG</t>
  </si>
  <si>
    <t xml:space="preserve">L225</t>
  </si>
  <si>
    <t xml:space="preserve">B388</t>
  </si>
  <si>
    <t xml:space="preserve">HEB01LL</t>
  </si>
  <si>
    <t xml:space="preserve">L230</t>
  </si>
  <si>
    <t xml:space="preserve">B389</t>
  </si>
  <si>
    <t xml:space="preserve">HEB01WWW</t>
  </si>
  <si>
    <t xml:space="preserve">L175</t>
  </si>
  <si>
    <t xml:space="preserve">B393</t>
  </si>
  <si>
    <t xml:space="preserve">HEB01HH</t>
  </si>
  <si>
    <t xml:space="preserve">L226</t>
  </si>
  <si>
    <t xml:space="preserve">B397</t>
  </si>
  <si>
    <t xml:space="preserve">HEB01OO</t>
  </si>
  <si>
    <t xml:space="preserve">L233</t>
  </si>
  <si>
    <t xml:space="preserve">B346</t>
  </si>
  <si>
    <t xml:space="preserve">L114</t>
  </si>
  <si>
    <t xml:space="preserve">B347</t>
  </si>
  <si>
    <t xml:space="preserve">L116</t>
  </si>
  <si>
    <t xml:space="preserve">B348</t>
  </si>
  <si>
    <t xml:space="preserve">L121</t>
  </si>
  <si>
    <t xml:space="preserve">B349</t>
  </si>
  <si>
    <t xml:space="preserve">L136</t>
  </si>
  <si>
    <t xml:space="preserve">B350</t>
  </si>
  <si>
    <t xml:space="preserve">L134</t>
  </si>
  <si>
    <t xml:space="preserve">B351</t>
  </si>
  <si>
    <t xml:space="preserve">L137</t>
  </si>
  <si>
    <t xml:space="preserve">B357</t>
  </si>
  <si>
    <t xml:space="preserve">L126</t>
  </si>
  <si>
    <t xml:space="preserve">B365</t>
  </si>
  <si>
    <t xml:space="preserve">L115</t>
  </si>
  <si>
    <t xml:space="preserve">B378</t>
  </si>
  <si>
    <t xml:space="preserve">L127</t>
  </si>
  <si>
    <t xml:space="preserve">B382</t>
  </si>
  <si>
    <t xml:space="preserve">L132</t>
  </si>
  <si>
    <t xml:space="preserve">B390</t>
  </si>
  <si>
    <t xml:space="preserve">L125</t>
  </si>
  <si>
    <t xml:space="preserve">B391</t>
  </si>
  <si>
    <t xml:space="preserve">L124</t>
  </si>
  <si>
    <t xml:space="preserve">B398</t>
  </si>
  <si>
    <t xml:space="preserve">L138</t>
  </si>
  <si>
    <t xml:space="preserve">B322</t>
  </si>
  <si>
    <t xml:space="preserve">HEB01BBB</t>
  </si>
  <si>
    <t xml:space="preserve">L219</t>
  </si>
  <si>
    <t xml:space="preserve">B325</t>
  </si>
  <si>
    <t xml:space="preserve">HEB01KKK</t>
  </si>
  <si>
    <t xml:space="preserve">L163</t>
  </si>
  <si>
    <t xml:space="preserve">B326</t>
  </si>
  <si>
    <t xml:space="preserve">HEB01LLL</t>
  </si>
  <si>
    <t xml:space="preserve">L164</t>
  </si>
  <si>
    <t xml:space="preserve">B327</t>
  </si>
  <si>
    <t xml:space="preserve">HEB01NNN</t>
  </si>
  <si>
    <t xml:space="preserve">L166</t>
  </si>
  <si>
    <t xml:space="preserve">B328</t>
  </si>
  <si>
    <t xml:space="preserve">HEB01OOO</t>
  </si>
  <si>
    <t xml:space="preserve">L167</t>
  </si>
  <si>
    <t xml:space="preserve">B329</t>
  </si>
  <si>
    <t xml:space="preserve">HEB01PPP</t>
  </si>
  <si>
    <t xml:space="preserve">L168</t>
  </si>
  <si>
    <t xml:space="preserve">B331</t>
  </si>
  <si>
    <t xml:space="preserve">HEB01III</t>
  </si>
  <si>
    <t xml:space="preserve">L161</t>
  </si>
  <si>
    <t xml:space="preserve">B354</t>
  </si>
  <si>
    <t xml:space="preserve">HEB01HHH</t>
  </si>
  <si>
    <t xml:space="preserve">L160</t>
  </si>
  <si>
    <t xml:space="preserve">B363</t>
  </si>
  <si>
    <t xml:space="preserve">HEB01UUU</t>
  </si>
  <si>
    <t xml:space="preserve">L173</t>
  </si>
  <si>
    <t xml:space="preserve">B370</t>
  </si>
  <si>
    <t xml:space="preserve">HEB01JJJ</t>
  </si>
  <si>
    <t xml:space="preserve">L162</t>
  </si>
  <si>
    <t xml:space="preserve">B374</t>
  </si>
  <si>
    <t xml:space="preserve">HEB01BBBB</t>
  </si>
  <si>
    <t xml:space="preserve">L154</t>
  </si>
  <si>
    <t xml:space="preserve">B383</t>
  </si>
  <si>
    <t xml:space="preserve">HEB01ZZZ</t>
  </si>
  <si>
    <t xml:space="preserve">L178</t>
  </si>
  <si>
    <t xml:space="preserve">B387</t>
  </si>
  <si>
    <t xml:space="preserve">HEB01QQQ</t>
  </si>
  <si>
    <t xml:space="preserve">Les deux gaines du couloir sont trop proches pour passer l'antenne par-dessus  ; Antenne trop courte entre deux raccords</t>
  </si>
  <si>
    <t xml:space="preserve">L169</t>
  </si>
  <si>
    <t xml:space="preserve">B323</t>
  </si>
  <si>
    <t xml:space="preserve">L123</t>
  </si>
  <si>
    <t xml:space="preserve">B332</t>
  </si>
  <si>
    <t xml:space="preserve">L120</t>
  </si>
  <si>
    <t xml:space="preserve">B343</t>
  </si>
  <si>
    <t xml:space="preserve">L139</t>
  </si>
  <si>
    <t xml:space="preserve">B358</t>
  </si>
  <si>
    <t xml:space="preserve">L128</t>
  </si>
  <si>
    <t xml:space="preserve">B359</t>
  </si>
  <si>
    <t xml:space="preserve">L129</t>
  </si>
  <si>
    <t xml:space="preserve">B360</t>
  </si>
  <si>
    <t xml:space="preserve">L130</t>
  </si>
  <si>
    <t xml:space="preserve">B361</t>
  </si>
  <si>
    <t xml:space="preserve">L131</t>
  </si>
  <si>
    <t xml:space="preserve">B362</t>
  </si>
  <si>
    <t xml:space="preserve">L133</t>
  </si>
  <si>
    <t xml:space="preserve">B364</t>
  </si>
  <si>
    <t xml:space="preserve">L135</t>
  </si>
  <si>
    <t xml:space="preserve">B368</t>
  </si>
  <si>
    <t xml:space="preserve">L119</t>
  </si>
  <si>
    <t xml:space="preserve">B375</t>
  </si>
  <si>
    <t xml:space="preserve">L118</t>
  </si>
  <si>
    <t xml:space="preserve">B376</t>
  </si>
  <si>
    <t xml:space="preserve">L122</t>
  </si>
  <si>
    <t xml:space="preserve">B385</t>
  </si>
  <si>
    <t xml:space="preserve">L195</t>
  </si>
  <si>
    <t xml:space="preserve">B355</t>
  </si>
  <si>
    <t xml:space="preserve">BUR02</t>
  </si>
  <si>
    <t xml:space="preserve">accueil</t>
  </si>
  <si>
    <t xml:space="preserve">VIM DATP</t>
  </si>
  <si>
    <t xml:space="preserve">Grille de reprise à quadrillage fixe</t>
  </si>
  <si>
    <t xml:space="preserve">CCTP 4.11.8</t>
  </si>
  <si>
    <t xml:space="preserve">L086</t>
  </si>
  <si>
    <t xml:space="preserve">B381</t>
  </si>
  <si>
    <t xml:space="preserve">LOG09</t>
  </si>
  <si>
    <t xml:space="preserve">atelier</t>
  </si>
  <si>
    <t xml:space="preserve">L003</t>
  </si>
  <si>
    <t xml:space="preserve">B395</t>
  </si>
  <si>
    <t xml:space="preserve">BUR02A</t>
  </si>
  <si>
    <t xml:space="preserve">b. animation</t>
  </si>
  <si>
    <t xml:space="preserve">L104</t>
  </si>
  <si>
    <t xml:space="preserve">B301</t>
  </si>
  <si>
    <t xml:space="preserve">BUR01</t>
  </si>
  <si>
    <t xml:space="preserve">bur. ben.</t>
  </si>
  <si>
    <t xml:space="preserve">Piquage à reprendre à la main (raccord de la gaine principale à proximité)</t>
  </si>
  <si>
    <t xml:space="preserve">L087</t>
  </si>
  <si>
    <t xml:space="preserve">B394</t>
  </si>
  <si>
    <t xml:space="preserve">bur. cadre</t>
  </si>
  <si>
    <t xml:space="preserve">L088</t>
  </si>
  <si>
    <t xml:space="preserve">B315</t>
  </si>
  <si>
    <t xml:space="preserve">bur. mut.</t>
  </si>
  <si>
    <t xml:space="preserve">L089</t>
  </si>
  <si>
    <t xml:space="preserve">B302</t>
  </si>
  <si>
    <t xml:space="preserve">bur. poly.</t>
  </si>
  <si>
    <t xml:space="preserve">L090</t>
  </si>
  <si>
    <t xml:space="preserve">B401</t>
  </si>
  <si>
    <t xml:space="preserve">VIE06</t>
  </si>
  <si>
    <t xml:space="preserve">coiffure</t>
  </si>
  <si>
    <t xml:space="preserve">Antenne à faire : bouche ajoutée pour être conforme au DCE</t>
  </si>
  <si>
    <t xml:space="preserve">L105</t>
  </si>
  <si>
    <t xml:space="preserve">B303</t>
  </si>
  <si>
    <t xml:space="preserve">convivialité</t>
  </si>
  <si>
    <t xml:space="preserve">L092</t>
  </si>
  <si>
    <t xml:space="preserve">B330</t>
  </si>
  <si>
    <t xml:space="preserve">VIE04</t>
  </si>
  <si>
    <t xml:space="preserve">famille</t>
  </si>
  <si>
    <t xml:space="preserve">L106</t>
  </si>
  <si>
    <t xml:space="preserve">B396</t>
  </si>
  <si>
    <t xml:space="preserve">SOI01</t>
  </si>
  <si>
    <t xml:space="preserve">pc ide</t>
  </si>
  <si>
    <t xml:space="preserve">L096</t>
  </si>
  <si>
    <t xml:space="preserve">B392</t>
  </si>
  <si>
    <t xml:space="preserve">pc médical</t>
  </si>
  <si>
    <t xml:space="preserve">L097</t>
  </si>
  <si>
    <t xml:space="preserve">B336</t>
  </si>
  <si>
    <t xml:space="preserve">SOI02</t>
  </si>
  <si>
    <t xml:space="preserve">prépa.</t>
  </si>
  <si>
    <t xml:space="preserve">L098</t>
  </si>
  <si>
    <t xml:space="preserve">B304</t>
  </si>
  <si>
    <t xml:space="preserve">VIE05</t>
  </si>
  <si>
    <t xml:space="preserve">rééducation</t>
  </si>
  <si>
    <t xml:space="preserve">L099</t>
  </si>
  <si>
    <t xml:space="preserve">B308</t>
  </si>
  <si>
    <t xml:space="preserve">VIE02</t>
  </si>
  <si>
    <t xml:space="preserve">salle à manger</t>
  </si>
  <si>
    <t xml:space="preserve">L107</t>
  </si>
  <si>
    <t xml:space="preserve">B309</t>
  </si>
  <si>
    <t xml:space="preserve">B310</t>
  </si>
  <si>
    <t xml:space="preserve">B311</t>
  </si>
  <si>
    <t xml:space="preserve">B312</t>
  </si>
  <si>
    <t xml:space="preserve">B313</t>
  </si>
  <si>
    <t xml:space="preserve">B314</t>
  </si>
  <si>
    <t xml:space="preserve">B342</t>
  </si>
  <si>
    <t xml:space="preserve">SOI03</t>
  </si>
  <si>
    <t xml:space="preserve">soins</t>
  </si>
  <si>
    <t xml:space="preserve">L101</t>
  </si>
  <si>
    <t xml:space="preserve">B305</t>
  </si>
  <si>
    <t xml:space="preserve">SOI05</t>
  </si>
  <si>
    <t xml:space="preserve">transmissions</t>
  </si>
  <si>
    <t xml:space="preserve">L103</t>
  </si>
  <si>
    <t xml:space="preserve">B324</t>
  </si>
  <si>
    <t xml:space="preserve">BUR06</t>
  </si>
  <si>
    <t xml:space="preserve">bureau</t>
  </si>
  <si>
    <t xml:space="preserve">L113</t>
  </si>
  <si>
    <t xml:space="preserve">B405</t>
  </si>
  <si>
    <t xml:space="preserve">DET01</t>
  </si>
  <si>
    <t xml:space="preserve">détente</t>
  </si>
  <si>
    <t xml:space="preserve">L207</t>
  </si>
  <si>
    <t xml:space="preserve">B402</t>
  </si>
  <si>
    <t xml:space="preserve">HEB04</t>
  </si>
  <si>
    <t xml:space="preserve">L214</t>
  </si>
  <si>
    <t xml:space="preserve">B403</t>
  </si>
  <si>
    <t xml:space="preserve">B366</t>
  </si>
  <si>
    <t xml:space="preserve">HEB03</t>
  </si>
  <si>
    <t xml:space="preserve">salle à manger salon</t>
  </si>
  <si>
    <t xml:space="preserve">L147</t>
  </si>
  <si>
    <t xml:space="preserve">B367</t>
  </si>
  <si>
    <t xml:space="preserve">B379</t>
  </si>
  <si>
    <t xml:space="preserve">L148</t>
  </si>
  <si>
    <t xml:space="preserve">B380</t>
  </si>
  <si>
    <t xml:space="preserve">B058</t>
  </si>
  <si>
    <t xml:space="preserve">VIM DCFD-F</t>
  </si>
  <si>
    <t xml:space="preserve">Diffuseur plafond à jet tourbillonnaire</t>
  </si>
  <si>
    <t xml:space="preserve">CCTP 4.11.7</t>
  </si>
  <si>
    <t xml:space="preserve">B386</t>
  </si>
  <si>
    <t xml:space="preserve">B090</t>
  </si>
  <si>
    <t xml:space="preserve">B337</t>
  </si>
  <si>
    <t xml:space="preserve">B211</t>
  </si>
  <si>
    <t xml:space="preserve">B335</t>
  </si>
  <si>
    <t xml:space="preserve">B340</t>
  </si>
  <si>
    <t xml:space="preserve">B091</t>
  </si>
  <si>
    <t xml:space="preserve">B341</t>
  </si>
  <si>
    <t xml:space="preserve">B344</t>
  </si>
  <si>
    <t xml:space="preserve">B209</t>
  </si>
  <si>
    <t xml:space="preserve">B194</t>
  </si>
  <si>
    <t xml:space="preserve">B316</t>
  </si>
  <si>
    <t xml:space="preserve">B338</t>
  </si>
  <si>
    <t xml:space="preserve">B001</t>
  </si>
  <si>
    <t xml:space="preserve">B002</t>
  </si>
  <si>
    <t xml:space="preserve">B003</t>
  </si>
  <si>
    <t xml:space="preserve">B005</t>
  </si>
  <si>
    <t xml:space="preserve">B006</t>
  </si>
  <si>
    <t xml:space="preserve">B306</t>
  </si>
  <si>
    <t xml:space="preserve">B307</t>
  </si>
  <si>
    <t xml:space="preserve">B078</t>
  </si>
  <si>
    <t xml:space="preserve">B339</t>
  </si>
  <si>
    <t xml:space="preserve">B089</t>
  </si>
  <si>
    <t xml:space="preserve">B404</t>
  </si>
  <si>
    <t xml:space="preserve">B033</t>
  </si>
  <si>
    <t xml:space="preserve">B034</t>
  </si>
  <si>
    <t xml:space="preserve">B371</t>
  </si>
  <si>
    <t xml:space="preserve">B372</t>
  </si>
  <si>
    <t xml:space="preserve">B384</t>
  </si>
  <si>
    <t xml:space="preserve">B406</t>
  </si>
  <si>
    <t xml:space="preserve">V001</t>
  </si>
  <si>
    <t xml:space="preserve">LOG13A</t>
  </si>
  <si>
    <t xml:space="preserve">WC</t>
  </si>
  <si>
    <t xml:space="preserve">Bouche d'extraction VMC autoréglable</t>
  </si>
  <si>
    <t xml:space="preserve">CCTP 4.12.5</t>
  </si>
  <si>
    <t xml:space="preserve">Raccordée au caisson VMC 2</t>
  </si>
  <si>
    <t xml:space="preserve">L001</t>
  </si>
  <si>
    <t xml:space="preserve">V002</t>
  </si>
  <si>
    <t xml:space="preserve">Wc</t>
  </si>
  <si>
    <t xml:space="preserve">Raccordée au caisson VMC 2 ; bouche décalée dans le local (gaine CTA ou poutre au-dessus)</t>
  </si>
  <si>
    <t xml:space="preserve">L002</t>
  </si>
  <si>
    <t xml:space="preserve">V003</t>
  </si>
  <si>
    <t xml:space="preserve">LOG12A</t>
  </si>
  <si>
    <t xml:space="preserve">douche</t>
  </si>
  <si>
    <t xml:space="preserve">L005</t>
  </si>
  <si>
    <t xml:space="preserve">V004</t>
  </si>
  <si>
    <t xml:space="preserve">L006</t>
  </si>
  <si>
    <t xml:space="preserve">V023</t>
  </si>
  <si>
    <t xml:space="preserve">SOI04</t>
  </si>
  <si>
    <t xml:space="preserve">déc.</t>
  </si>
  <si>
    <t xml:space="preserve">Raccordée au caisson VMC 3</t>
  </si>
  <si>
    <t xml:space="preserve">L093</t>
  </si>
  <si>
    <t xml:space="preserve">V005</t>
  </si>
  <si>
    <t xml:space="preserve">LOG04</t>
  </si>
  <si>
    <t xml:space="preserve">déchets</t>
  </si>
  <si>
    <t xml:space="preserve">L094</t>
  </si>
  <si>
    <t xml:space="preserve">V024</t>
  </si>
  <si>
    <t xml:space="preserve">EXT01</t>
  </si>
  <si>
    <t xml:space="preserve">Raccordée au caisson VMC 5</t>
  </si>
  <si>
    <t xml:space="preserve">L007</t>
  </si>
  <si>
    <t xml:space="preserve">V011</t>
  </si>
  <si>
    <t xml:space="preserve">linge S</t>
  </si>
  <si>
    <t xml:space="preserve">Raccordée au caisson VMC 1</t>
  </si>
  <si>
    <t xml:space="preserve">L049</t>
  </si>
  <si>
    <t xml:space="preserve">V012</t>
  </si>
  <si>
    <t xml:space="preserve">LOG05</t>
  </si>
  <si>
    <t xml:space="preserve">men.</t>
  </si>
  <si>
    <t xml:space="preserve">L095</t>
  </si>
  <si>
    <t xml:space="preserve">V025</t>
  </si>
  <si>
    <t xml:space="preserve">L050</t>
  </si>
  <si>
    <t xml:space="preserve">V006</t>
  </si>
  <si>
    <t xml:space="preserve">mén.</t>
  </si>
  <si>
    <t xml:space="preserve">Raccordée au caisson VMC 4 ; bouche décalée dans le local (gaine CTA ou poutre au-dessus)</t>
  </si>
  <si>
    <t xml:space="preserve">L011</t>
  </si>
  <si>
    <t xml:space="preserve">V007</t>
  </si>
  <si>
    <t xml:space="preserve">LOG11</t>
  </si>
  <si>
    <t xml:space="preserve">net. mat.</t>
  </si>
  <si>
    <t xml:space="preserve">L012</t>
  </si>
  <si>
    <t xml:space="preserve">V013</t>
  </si>
  <si>
    <t xml:space="preserve">LOG01A</t>
  </si>
  <si>
    <t xml:space="preserve">office</t>
  </si>
  <si>
    <t xml:space="preserve">Raccordée au caisson VMC 1 ; bouche décalée dans le local (gaine CTA ou poutre au-dessus)</t>
  </si>
  <si>
    <t xml:space="preserve">L051</t>
  </si>
  <si>
    <t xml:space="preserve">V014</t>
  </si>
  <si>
    <t xml:space="preserve">V015</t>
  </si>
  <si>
    <t xml:space="preserve">V016</t>
  </si>
  <si>
    <t xml:space="preserve">HEB05</t>
  </si>
  <si>
    <t xml:space="preserve">salle de bains</t>
  </si>
  <si>
    <t xml:space="preserve">L053</t>
  </si>
  <si>
    <t xml:space="preserve">V017</t>
  </si>
  <si>
    <t xml:space="preserve">SAN01</t>
  </si>
  <si>
    <t xml:space="preserve">san.</t>
  </si>
  <si>
    <t xml:space="preserve">L100</t>
  </si>
  <si>
    <t xml:space="preserve">V018</t>
  </si>
  <si>
    <t xml:space="preserve">SAN</t>
  </si>
  <si>
    <t xml:space="preserve">L055</t>
  </si>
  <si>
    <t xml:space="preserve">V019</t>
  </si>
  <si>
    <t xml:space="preserve">PAS330</t>
  </si>
  <si>
    <t xml:space="preserve">L054</t>
  </si>
  <si>
    <t xml:space="preserve">V026</t>
  </si>
  <si>
    <t xml:space="preserve">L056</t>
  </si>
  <si>
    <t xml:space="preserve">V020</t>
  </si>
  <si>
    <t xml:space="preserve">tisanerie</t>
  </si>
  <si>
    <t xml:space="preserve">L085</t>
  </si>
  <si>
    <t xml:space="preserve">V021</t>
  </si>
  <si>
    <t xml:space="preserve">V022</t>
  </si>
  <si>
    <t xml:space="preserve">V008</t>
  </si>
  <si>
    <t xml:space="preserve">LOG13</t>
  </si>
  <si>
    <t xml:space="preserve">vestiaires</t>
  </si>
  <si>
    <t xml:space="preserve">L017</t>
  </si>
  <si>
    <t xml:space="preserve">V009</t>
  </si>
  <si>
    <t xml:space="preserve">LOG12</t>
  </si>
  <si>
    <t xml:space="preserve">L015</t>
  </si>
  <si>
    <t xml:space="preserve">V010</t>
  </si>
  <si>
    <t xml:space="preserve">L016</t>
  </si>
  <si>
    <t xml:space="preserve">V027</t>
  </si>
  <si>
    <t xml:space="preserve">wc res</t>
  </si>
  <si>
    <t xml:space="preserve">L110</t>
  </si>
  <si>
    <t xml:space="preserve">V028</t>
  </si>
  <si>
    <t xml:space="preserve">L111</t>
  </si>
  <si>
    <t xml:space="preserve">V029</t>
  </si>
  <si>
    <t xml:space="preserve">LOG06</t>
  </si>
  <si>
    <t xml:space="preserve">Raccordée au caisson VMC 3 ; bouche décalée dans le local (gaine CTA ou poutre au-dessus)</t>
  </si>
  <si>
    <t xml:space="preserve">L141</t>
  </si>
  <si>
    <t xml:space="preserve">V038</t>
  </si>
  <si>
    <t xml:space="preserve">L209</t>
  </si>
  <si>
    <t xml:space="preserve">V039</t>
  </si>
  <si>
    <t xml:space="preserve">L210</t>
  </si>
  <si>
    <t xml:space="preserve">V030</t>
  </si>
  <si>
    <t xml:space="preserve">L142</t>
  </si>
  <si>
    <t xml:space="preserve">V031</t>
  </si>
  <si>
    <t xml:space="preserve">L143</t>
  </si>
  <si>
    <t xml:space="preserve">V032</t>
  </si>
  <si>
    <t xml:space="preserve">V033</t>
  </si>
  <si>
    <t xml:space="preserve">V040</t>
  </si>
  <si>
    <t xml:space="preserve">L211</t>
  </si>
  <si>
    <t xml:space="preserve">V041</t>
  </si>
  <si>
    <t xml:space="preserve">V042</t>
  </si>
  <si>
    <t xml:space="preserve">V043</t>
  </si>
  <si>
    <t xml:space="preserve">L213</t>
  </si>
  <si>
    <t xml:space="preserve">V034</t>
  </si>
  <si>
    <t xml:space="preserve">L152</t>
  </si>
  <si>
    <t xml:space="preserve">V035</t>
  </si>
  <si>
    <t xml:space="preserve">L150</t>
  </si>
  <si>
    <t xml:space="preserve">V036</t>
  </si>
  <si>
    <t xml:space="preserve">L217</t>
  </si>
  <si>
    <t xml:space="preserve">V037</t>
  </si>
  <si>
    <t xml:space="preserve">L151</t>
  </si>
  <si>
    <t xml:space="preserve">V044</t>
  </si>
  <si>
    <t xml:space="preserve">L149</t>
  </si>
  <si>
    <t xml:space="preserve">V045</t>
  </si>
  <si>
    <t xml:space="preserve">L216</t>
  </si>
  <si>
    <t xml:space="preserve">V046</t>
  </si>
  <si>
    <t xml:space="preserve">PAS329</t>
  </si>
  <si>
    <t xml:space="preserve">Raccordée au caisson VMC 6</t>
  </si>
  <si>
    <t xml:space="preserve">L215</t>
  </si>
  <si>
    <t xml:space="preserve">Type de local</t>
  </si>
  <si>
    <t xml:space="preserve">Réseau (dossier)</t>
  </si>
  <si>
    <t xml:space="preserve">Soufflage dossier (m³/h)</t>
  </si>
  <si>
    <t xml:space="preserve">Extraction dossier (m³/h)</t>
  </si>
  <si>
    <t xml:space="preserve">Soufflage maquette (m³/h)</t>
  </si>
  <si>
    <t xml:space="preserve">Reprise maquette (m³/h)</t>
  </si>
  <si>
    <t xml:space="preserve">Extraction maquette (m³/h)</t>
  </si>
  <si>
    <t xml:space="preserve">Nb de bouches</t>
  </si>
  <si>
    <t xml:space="preserve">Bouches raccordées</t>
  </si>
  <si>
    <t xml:space="preserve">Conforme ?</t>
  </si>
  <si>
    <t xml:space="preserve">Repères des bouches</t>
  </si>
  <si>
    <t xml:space="preserve">CHAMBRE</t>
  </si>
  <si>
    <t xml:space="preserve">CTA 1-2 Héb. ouvert</t>
  </si>
  <si>
    <t xml:space="preserve">SDB_CH</t>
  </si>
  <si>
    <t xml:space="preserve">1 bouche(s) à raccorder</t>
  </si>
  <si>
    <t xml:space="preserve">CTA 3-4 Héb. fermé</t>
  </si>
  <si>
    <t xml:space="preserve">BUREAU</t>
  </si>
  <si>
    <t xml:space="preserve">CTA 5 Locaux communs</t>
  </si>
  <si>
    <t xml:space="preserve">B058, B355</t>
  </si>
  <si>
    <t xml:space="preserve">ATELIER</t>
  </si>
  <si>
    <t xml:space="preserve">B381, B386</t>
  </si>
  <si>
    <t xml:space="preserve">SALON</t>
  </si>
  <si>
    <t xml:space="preserve">B090, B395</t>
  </si>
  <si>
    <t xml:space="preserve">L004</t>
  </si>
  <si>
    <t xml:space="preserve">LOG02</t>
  </si>
  <si>
    <t xml:space="preserve">boi.</t>
  </si>
  <si>
    <t xml:space="preserve">STOCK</t>
  </si>
  <si>
    <t xml:space="preserve">pas de bouche : transfert d'air (débit &lt; 25 m³/h, choix équipe)</t>
  </si>
  <si>
    <t xml:space="preserve">B301, B337</t>
  </si>
  <si>
    <t xml:space="preserve">B211, B394</t>
  </si>
  <si>
    <t xml:space="preserve">B315, B335</t>
  </si>
  <si>
    <t xml:space="preserve">B302, B340</t>
  </si>
  <si>
    <t xml:space="preserve">L047</t>
  </si>
  <si>
    <t xml:space="preserve">chariots</t>
  </si>
  <si>
    <t xml:space="preserve">L091</t>
  </si>
  <si>
    <t xml:space="preserve">B091, B401</t>
  </si>
  <si>
    <t xml:space="preserve">B303, B341</t>
  </si>
  <si>
    <t xml:space="preserve">L008</t>
  </si>
  <si>
    <t xml:space="preserve">EXT03</t>
  </si>
  <si>
    <t xml:space="preserve">espaces verts</t>
  </si>
  <si>
    <t xml:space="preserve">B330, B344</t>
  </si>
  <si>
    <t xml:space="preserve">L009</t>
  </si>
  <si>
    <t xml:space="preserve">linge P</t>
  </si>
  <si>
    <t xml:space="preserve">L048</t>
  </si>
  <si>
    <t xml:space="preserve">L010</t>
  </si>
  <si>
    <t xml:space="preserve">EXT02</t>
  </si>
  <si>
    <t xml:space="preserve">mat. jardin</t>
  </si>
  <si>
    <t xml:space="preserve">B209, B396</t>
  </si>
  <si>
    <t xml:space="preserve">B194, B392</t>
  </si>
  <si>
    <t xml:space="preserve">B316, B336</t>
  </si>
  <si>
    <t xml:space="preserve">L013</t>
  </si>
  <si>
    <t xml:space="preserve">réserve centrale</t>
  </si>
  <si>
    <t xml:space="preserve">L052</t>
  </si>
  <si>
    <t xml:space="preserve">LOG03</t>
  </si>
  <si>
    <t xml:space="preserve">réserve magasin</t>
  </si>
  <si>
    <t xml:space="preserve">B304, B338</t>
  </si>
  <si>
    <t xml:space="preserve">RESTAU</t>
  </si>
  <si>
    <t xml:space="preserve">9 bouche(s) à raccorder</t>
  </si>
  <si>
    <t xml:space="preserve">B001, B002, B005, B006, B003, B306, B307, B308, B309, B310, B311, B312, B313, B314</t>
  </si>
  <si>
    <t xml:space="preserve">B078, B342</t>
  </si>
  <si>
    <t xml:space="preserve">L102</t>
  </si>
  <si>
    <t xml:space="preserve">stock</t>
  </si>
  <si>
    <t xml:space="preserve">L108</t>
  </si>
  <si>
    <t xml:space="preserve">L109</t>
  </si>
  <si>
    <t xml:space="preserve">stock anim.</t>
  </si>
  <si>
    <t xml:space="preserve">L014</t>
  </si>
  <si>
    <t xml:space="preserve">stock mat.</t>
  </si>
  <si>
    <t xml:space="preserve">B305, B339</t>
  </si>
  <si>
    <t xml:space="preserve">L018</t>
  </si>
  <si>
    <t xml:space="preserve">LOG10</t>
  </si>
  <si>
    <t xml:space="preserve">vêtements</t>
  </si>
  <si>
    <t xml:space="preserve">L112</t>
  </si>
  <si>
    <t xml:space="preserve">B089, B324</t>
  </si>
  <si>
    <t xml:space="preserve">L206</t>
  </si>
  <si>
    <t xml:space="preserve">2 bouche(s) à raccorder</t>
  </si>
  <si>
    <t xml:space="preserve">B404, B405</t>
  </si>
  <si>
    <t xml:space="preserve">L140</t>
  </si>
  <si>
    <t xml:space="preserve">L208</t>
  </si>
  <si>
    <t xml:space="preserve">L144</t>
  </si>
  <si>
    <t xml:space="preserve">L145</t>
  </si>
  <si>
    <t xml:space="preserve">L212</t>
  </si>
  <si>
    <t xml:space="preserve">L146</t>
  </si>
  <si>
    <t xml:space="preserve">réserve matériel</t>
  </si>
  <si>
    <t xml:space="preserve">B033, B034, B402, B403</t>
  </si>
  <si>
    <t xml:space="preserve">B366, B367, B371, B372</t>
  </si>
  <si>
    <t xml:space="preserve">3 bouche(s) à raccorder</t>
  </si>
  <si>
    <t xml:space="preserve">B379, B380, B384, B406</t>
  </si>
  <si>
    <t xml:space="preserve">SAN_WC</t>
  </si>
  <si>
    <t xml:space="preserve">VMC simple flux</t>
  </si>
  <si>
    <t xml:space="preserve">SAN_DOUCHE</t>
  </si>
  <si>
    <t xml:space="preserve">POLLUE</t>
  </si>
  <si>
    <t xml:space="preserve">OFFICE</t>
  </si>
  <si>
    <t xml:space="preserve">V013, V014, V015</t>
  </si>
  <si>
    <t xml:space="preserve">V020, V021, V022</t>
  </si>
  <si>
    <t xml:space="preserve">V031, V032, V033</t>
  </si>
  <si>
    <t xml:space="preserve">V040, V041, V042</t>
  </si>
  <si>
    <t xml:space="preserve">Sujet</t>
  </si>
  <si>
    <t xml:space="preserve">Ce que dit le dossier (DCE)</t>
  </si>
  <si>
    <t xml:space="preserve">Ce qu'on a fait dans la maquette</t>
  </si>
  <si>
    <t xml:space="preserve">Pourquoi / suite</t>
  </si>
  <si>
    <t xml:space="preserve">Raccordement des bouches</t>
  </si>
  <si>
    <t xml:space="preserve">CCTP 4.10.6 / 4.11.7 : bouches raccordées par flexible phonique M0, 50 cm maxi</t>
  </si>
  <si>
    <t xml:space="preserve">Antennes en gaine rigide jusqu'à la bouche (piquage + coudes à angle carré)</t>
  </si>
  <si>
    <t xml:space="preserve">Choix de l'équipe (pas de flexible dans la maquette). Le flexible de 50 cm pourra être ajouté au DOE / à l'exécution.</t>
  </si>
  <si>
    <t xml:space="preserve">Régulateurs de débit constant</t>
  </si>
  <si>
    <t xml:space="preserve">CCTP 4.10.5 / 4.11.5 : un régulateur Rad Régul'air ou RDC-RM à chaque bouche de soufflage</t>
  </si>
  <si>
    <t xml:space="preserve">Non modélisés (accessoire dans la gaine)</t>
  </si>
  <si>
    <t xml:space="preserve">À ajouter si on modélise les accessoires (famille d'accessoire de gaine).</t>
  </si>
  <si>
    <t xml:space="preserve">Bouches d'extraction des salles de bains</t>
  </si>
  <si>
    <t xml:space="preserve">CCTP 4.10.6 : à la charge du lot cabine préfabriquée</t>
  </si>
  <si>
    <t xml:space="preserve">Modélisées (81 bouches 90 m³/h) pour le calcul et la synthèse</t>
  </si>
  <si>
    <t xml:space="preserve">Fournies par le lot cabine, raccordées par nous.</t>
  </si>
  <si>
    <t xml:space="preserve">Débit CTA 5</t>
  </si>
  <si>
    <t xml:space="preserve">CCTP 4.11.2 : 8 800 m³/h</t>
  </si>
  <si>
    <t xml:space="preserve">Bouches dimensionnées sur nos débits réglementaires : 6 123 m³/h au soufflage</t>
  </si>
  <si>
    <t xml:space="preserve">À trancher avec le prof : garder 8 800 m³/h (bouches et gaines × 1,4 environ) ou nos minimums.</t>
  </si>
  <si>
    <t xml:space="preserve">Débit CTA 2</t>
  </si>
  <si>
    <t xml:space="preserve">CCTP 4.10.2 : 2 330 m³/h</t>
  </si>
  <si>
    <t xml:space="preserve">2 430 m³/h (27 chambres × 90 : une chambre de plus dans la maquette)</t>
  </si>
  <si>
    <t xml:space="preserve">Écart de 4 %, à signaler.</t>
  </si>
  <si>
    <t xml:space="preserve">Petits stocks (&lt; 25 m³/h)</t>
  </si>
  <si>
    <t xml:space="preserve">Débits par local : 0,36 m³/h/m² (95 m³/h au total pour 22 locaux)</t>
  </si>
  <si>
    <t xml:space="preserve">Pas de bouche : transfert d'air par la porte</t>
  </si>
  <si>
    <t xml:space="preserve">Choix d'Allan.</t>
  </si>
  <si>
    <t xml:space="preserve">VMC simple flux sanitaires</t>
  </si>
  <si>
    <t xml:space="preserve">CCTP 4.12 : caisson d'extraction C4 en toiture, gaines, bouches autoréglables</t>
  </si>
  <si>
    <t xml:space="preserve">6 caissons C4 en toiture (VMC 1 à 6), montées, collecteurs et antennes rigides : les 46 bouches (3 090 m³/h) sont raccordées</t>
  </si>
  <si>
    <t xml:space="preserve">Rejets à plus de 8 m des prises d'air neuf des CTA (vérifié). Caissons VMC 2 et VMC 4 : posés en rive, à caler avec l'acrotère.</t>
  </si>
  <si>
    <t xml:space="preserve">Compensation des sanitaires</t>
  </si>
  <si>
    <t xml:space="preserve">CCTP 4.12.6 : détalonnage &lt; 120 m³/h, bouches de transfert au-delà</t>
  </si>
  <si>
    <t xml:space="preserve">Offices et tisanerie (450 m³/h chacun) : bouches de transfert (grilles en porte ou en cloison) ; locaux &lt; 120 m³/h : détalonnage des portes</t>
  </si>
  <si>
    <t xml:space="preserve">Grilles de transfert à commander avec les menuiseries ; pas dessinées dans la maquette CVC.</t>
  </si>
  <si>
    <t xml:space="preserve">Hypothèses</t>
  </si>
  <si>
    <t xml:space="preserve">Vitesse maxi au col des bouches (m/s)</t>
  </si>
  <si>
    <t xml:space="preserve">Hypothèse équipe : vitesse basse pour limiter le bruit (CCTP § 4.10.4)</t>
  </si>
  <si>
    <t xml:space="preserve">Hauteur du col / des antennes (mm)</t>
  </si>
  <si>
    <t xml:space="preserve">Hypothèse équipe : antennes plates pour passer au-dessus des gaines principales</t>
  </si>
  <si>
    <t xml:space="preserve">Débit maxi par bouche CTA (m³/h)</t>
  </si>
  <si>
    <t xml:space="preserve">Hypothèse équipe</t>
  </si>
  <si>
    <t xml:space="preserve">Débit mini pour poser une bouche (m³/h)</t>
  </si>
  <si>
    <t xml:space="preserve">Choix d'Allan : en dessous, transfert d'air par la porte</t>
  </si>
  <si>
    <t xml:space="preserve">Débit maxi par bouche VMC (m³/h)</t>
  </si>
  <si>
    <t xml:space="preserve">Hypothèse équipe (bouche autoréglable)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</si>
</sst>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General"/>
    <numFmt numFmtId="167" formatCode="0.0000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6" min="5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n">
        <f aca="false">COUNTIFS(Bouches!$B$2:$B$271,A5,Bouches!$C$2:$C$271,B5)</f>
        <v>28</v>
      </c>
      <c r="D5" s="5" t="n">
        <f aca="false">SUMIFS(Bouches!$M$2:$M$271,Bouches!$B$2:$B$271,A5,Bouches!$C$2:$C$271,B5)</f>
        <v>2520</v>
      </c>
      <c r="E5" s="4" t="n">
        <f aca="false">COUNTIFS(Bouches!$B$2:$B$271,A5,Bouches!$C$2:$C$271,B5,Bouches!$Q$2:$Q$271,"oui")</f>
        <v>28</v>
      </c>
      <c r="F5" s="4" t="n">
        <f aca="false">C5-E5</f>
        <v>0</v>
      </c>
    </row>
    <row r="6" customFormat="false" ht="15" hidden="false" customHeight="false" outlineLevel="0" collapsed="false">
      <c r="A6" s="4" t="s">
        <v>8</v>
      </c>
      <c r="B6" s="4" t="s">
        <v>10</v>
      </c>
      <c r="C6" s="4" t="n">
        <f aca="false">COUNTIFS(Bouches!$B$2:$B$271,A6,Bouches!$C$2:$C$271,B6)</f>
        <v>28</v>
      </c>
      <c r="D6" s="5" t="n">
        <f aca="false">SUMIFS(Bouches!$M$2:$M$271,Bouches!$B$2:$B$271,A6,Bouches!$C$2:$C$271,B6)</f>
        <v>2520</v>
      </c>
      <c r="E6" s="4" t="n">
        <f aca="false">COUNTIFS(Bouches!$B$2:$B$271,A6,Bouches!$C$2:$C$271,B6,Bouches!$Q$2:$Q$271,"oui")</f>
        <v>28</v>
      </c>
      <c r="F6" s="4" t="n">
        <f aca="false">C6-E6</f>
        <v>0</v>
      </c>
    </row>
    <row r="7" customFormat="false" ht="15" hidden="false" customHeight="false" outlineLevel="0" collapsed="false">
      <c r="A7" s="4" t="s">
        <v>11</v>
      </c>
      <c r="B7" s="4" t="s">
        <v>9</v>
      </c>
      <c r="C7" s="4" t="n">
        <f aca="false">COUNTIFS(Bouches!$B$2:$B$271,A7,Bouches!$C$2:$C$271,B7)</f>
        <v>27</v>
      </c>
      <c r="D7" s="5" t="n">
        <f aca="false">SUMIFS(Bouches!$M$2:$M$271,Bouches!$B$2:$B$271,A7,Bouches!$C$2:$C$271,B7)</f>
        <v>2430</v>
      </c>
      <c r="E7" s="4" t="n">
        <f aca="false">COUNTIFS(Bouches!$B$2:$B$271,A7,Bouches!$C$2:$C$271,B7,Bouches!$Q$2:$Q$271,"oui")</f>
        <v>27</v>
      </c>
      <c r="F7" s="4" t="n">
        <f aca="false">C7-E7</f>
        <v>0</v>
      </c>
    </row>
    <row r="8" customFormat="false" ht="15" hidden="false" customHeight="false" outlineLevel="0" collapsed="false">
      <c r="A8" s="4" t="s">
        <v>11</v>
      </c>
      <c r="B8" s="4" t="s">
        <v>10</v>
      </c>
      <c r="C8" s="4" t="n">
        <f aca="false">COUNTIFS(Bouches!$B$2:$B$271,A8,Bouches!$C$2:$C$271,B8)</f>
        <v>27</v>
      </c>
      <c r="D8" s="5" t="n">
        <f aca="false">SUMIFS(Bouches!$M$2:$M$271,Bouches!$B$2:$B$271,A8,Bouches!$C$2:$C$271,B8)</f>
        <v>2430</v>
      </c>
      <c r="E8" s="4" t="n">
        <f aca="false">COUNTIFS(Bouches!$B$2:$B$271,A8,Bouches!$C$2:$C$271,B8,Bouches!$Q$2:$Q$271,"oui")</f>
        <v>26</v>
      </c>
      <c r="F8" s="4" t="n">
        <f aca="false">C8-E8</f>
        <v>1</v>
      </c>
    </row>
    <row r="9" customFormat="false" ht="15" hidden="false" customHeight="false" outlineLevel="0" collapsed="false">
      <c r="A9" s="4" t="s">
        <v>12</v>
      </c>
      <c r="B9" s="4" t="s">
        <v>9</v>
      </c>
      <c r="C9" s="4" t="n">
        <f aca="false">COUNTIFS(Bouches!$B$2:$B$271,A9,Bouches!$C$2:$C$271,B9)</f>
        <v>13</v>
      </c>
      <c r="D9" s="5" t="n">
        <f aca="false">SUMIFS(Bouches!$M$2:$M$271,Bouches!$B$2:$B$271,A9,Bouches!$C$2:$C$271,B9)</f>
        <v>1170</v>
      </c>
      <c r="E9" s="4" t="n">
        <f aca="false">COUNTIFS(Bouches!$B$2:$B$271,A9,Bouches!$C$2:$C$271,B9,Bouches!$Q$2:$Q$271,"oui")</f>
        <v>12</v>
      </c>
      <c r="F9" s="4" t="n">
        <f aca="false">C9-E9</f>
        <v>1</v>
      </c>
    </row>
    <row r="10" customFormat="false" ht="15" hidden="false" customHeight="false" outlineLevel="0" collapsed="false">
      <c r="A10" s="4" t="s">
        <v>12</v>
      </c>
      <c r="B10" s="4" t="s">
        <v>10</v>
      </c>
      <c r="C10" s="4" t="n">
        <f aca="false">COUNTIFS(Bouches!$B$2:$B$271,A10,Bouches!$C$2:$C$271,B10)</f>
        <v>13</v>
      </c>
      <c r="D10" s="5" t="n">
        <f aca="false">SUMIFS(Bouches!$M$2:$M$271,Bouches!$B$2:$B$271,A10,Bouches!$C$2:$C$271,B10)</f>
        <v>1170</v>
      </c>
      <c r="E10" s="4" t="n">
        <f aca="false">COUNTIFS(Bouches!$B$2:$B$271,A10,Bouches!$C$2:$C$271,B10,Bouches!$Q$2:$Q$271,"oui")</f>
        <v>13</v>
      </c>
      <c r="F10" s="4" t="n">
        <f aca="false">C10-E10</f>
        <v>0</v>
      </c>
    </row>
    <row r="11" customFormat="false" ht="15" hidden="false" customHeight="false" outlineLevel="0" collapsed="false">
      <c r="A11" s="4" t="s">
        <v>13</v>
      </c>
      <c r="B11" s="4" t="s">
        <v>9</v>
      </c>
      <c r="C11" s="4" t="n">
        <f aca="false">COUNTIFS(Bouches!$B$2:$B$271,A11,Bouches!$C$2:$C$271,B11)</f>
        <v>13</v>
      </c>
      <c r="D11" s="5" t="n">
        <f aca="false">SUMIFS(Bouches!$M$2:$M$271,Bouches!$B$2:$B$271,A11,Bouches!$C$2:$C$271,B11)</f>
        <v>1170</v>
      </c>
      <c r="E11" s="4" t="n">
        <f aca="false">COUNTIFS(Bouches!$B$2:$B$271,A11,Bouches!$C$2:$C$271,B11,Bouches!$Q$2:$Q$271,"oui")</f>
        <v>13</v>
      </c>
      <c r="F11" s="4" t="n">
        <f aca="false">C11-E11</f>
        <v>0</v>
      </c>
    </row>
    <row r="12" customFormat="false" ht="15" hidden="false" customHeight="false" outlineLevel="0" collapsed="false">
      <c r="A12" s="4" t="s">
        <v>13</v>
      </c>
      <c r="B12" s="4" t="s">
        <v>10</v>
      </c>
      <c r="C12" s="4" t="n">
        <f aca="false">COUNTIFS(Bouches!$B$2:$B$271,A12,Bouches!$C$2:$C$271,B12)</f>
        <v>13</v>
      </c>
      <c r="D12" s="5" t="n">
        <f aca="false">SUMIFS(Bouches!$M$2:$M$271,Bouches!$B$2:$B$271,A12,Bouches!$C$2:$C$271,B12)</f>
        <v>1170</v>
      </c>
      <c r="E12" s="4" t="n">
        <f aca="false">COUNTIFS(Bouches!$B$2:$B$271,A12,Bouches!$C$2:$C$271,B12,Bouches!$Q$2:$Q$271,"oui")</f>
        <v>12</v>
      </c>
      <c r="F12" s="4" t="n">
        <f aca="false">C12-E12</f>
        <v>1</v>
      </c>
    </row>
    <row r="13" customFormat="false" ht="15" hidden="false" customHeight="false" outlineLevel="0" collapsed="false">
      <c r="A13" s="4" t="s">
        <v>14</v>
      </c>
      <c r="B13" s="4" t="s">
        <v>9</v>
      </c>
      <c r="C13" s="4" t="n">
        <f aca="false">COUNTIFS(Bouches!$B$2:$B$271,A13,Bouches!$C$2:$C$271,B13)</f>
        <v>31</v>
      </c>
      <c r="D13" s="5" t="n">
        <f aca="false">SUMIFS(Bouches!$M$2:$M$271,Bouches!$B$2:$B$271,A13,Bouches!$C$2:$C$271,B13)</f>
        <v>6027</v>
      </c>
      <c r="E13" s="4" t="n">
        <f aca="false">COUNTIFS(Bouches!$B$2:$B$271,A13,Bouches!$C$2:$C$271,B13,Bouches!$Q$2:$Q$271,"oui")</f>
        <v>21</v>
      </c>
      <c r="F13" s="4" t="n">
        <f aca="false">C13-E13</f>
        <v>10</v>
      </c>
    </row>
    <row r="14" customFormat="false" ht="15" hidden="false" customHeight="false" outlineLevel="0" collapsed="false">
      <c r="A14" s="4" t="s">
        <v>14</v>
      </c>
      <c r="B14" s="4" t="s">
        <v>15</v>
      </c>
      <c r="C14" s="4" t="n">
        <f aca="false">COUNTIFS(Bouches!$B$2:$B$271,A14,Bouches!$C$2:$C$271,B14)</f>
        <v>31</v>
      </c>
      <c r="D14" s="5" t="n">
        <f aca="false">SUMIFS(Bouches!$M$2:$M$271,Bouches!$B$2:$B$271,A14,Bouches!$C$2:$C$271,B14)</f>
        <v>6027</v>
      </c>
      <c r="E14" s="4" t="n">
        <f aca="false">COUNTIFS(Bouches!$B$2:$B$271,A14,Bouches!$C$2:$C$271,B14,Bouches!$Q$2:$Q$271,"oui")</f>
        <v>13</v>
      </c>
      <c r="F14" s="4" t="n">
        <f aca="false">C14-E14</f>
        <v>18</v>
      </c>
    </row>
    <row r="15" customFormat="false" ht="15" hidden="false" customHeight="false" outlineLevel="0" collapsed="false">
      <c r="A15" s="4" t="s">
        <v>16</v>
      </c>
      <c r="B15" s="4" t="s">
        <v>10</v>
      </c>
      <c r="C15" s="4" t="n">
        <f aca="false">COUNTIFS(Bouches!$B$2:$B$271,A15,Bouches!$C$2:$C$271,B15)</f>
        <v>46</v>
      </c>
      <c r="D15" s="5" t="n">
        <f aca="false">SUMIFS(Bouches!$M$2:$M$271,Bouches!$B$2:$B$271,A15,Bouches!$C$2:$C$271,B15)</f>
        <v>3090</v>
      </c>
      <c r="E15" s="4" t="n">
        <f aca="false">COUNTIFS(Bouches!$B$2:$B$271,A15,Bouches!$C$2:$C$271,B15,Bouches!$Q$2:$Q$271,"oui")</f>
        <v>46</v>
      </c>
      <c r="F15" s="4" t="n">
        <f aca="false">C15-E15</f>
        <v>0</v>
      </c>
    </row>
    <row r="16" customFormat="false" ht="15" hidden="false" customHeight="false" outlineLevel="0" collapsed="false">
      <c r="A16" s="6" t="s">
        <v>17</v>
      </c>
      <c r="C16" s="7" t="n">
        <f aca="false">SUM(C5:C15)</f>
        <v>270</v>
      </c>
      <c r="D16" s="7" t="n">
        <f aca="false">SUM(D5:D15)</f>
        <v>29724</v>
      </c>
      <c r="E16" s="7" t="n">
        <f aca="false">SUM(E5:E15)</f>
        <v>239</v>
      </c>
      <c r="F16" s="7" t="n">
        <f aca="false">SUM(F5:F15)</f>
        <v>31</v>
      </c>
    </row>
    <row r="18" customFormat="false" ht="15" hidden="false" customHeight="false" outlineLevel="0" collapsed="false">
      <c r="A18" s="6" t="s">
        <v>18</v>
      </c>
      <c r="D18" s="8" t="n">
        <f aca="false">COUNTA('Contrôle DCE'!$A$2:$A$245)</f>
        <v>244</v>
      </c>
    </row>
    <row r="19" customFormat="false" ht="15" hidden="false" customHeight="false" outlineLevel="0" collapsed="false">
      <c r="A19" s="8" t="s">
        <v>19</v>
      </c>
      <c r="D19" s="8" t="n">
        <f aca="false">COUNTIF('Contrôle DCE'!$N$2:$N$245,"oui")</f>
        <v>244</v>
      </c>
    </row>
    <row r="21" customFormat="false" ht="15" hidden="false" customHeight="false" outlineLevel="0" collapsed="false">
      <c r="A21" s="6" t="s">
        <v>20</v>
      </c>
    </row>
    <row r="22" customFormat="false" ht="15" hidden="false" customHeight="false" outlineLevel="0" collapsed="false">
      <c r="A22" s="8" t="s">
        <v>21</v>
      </c>
    </row>
    <row r="23" customFormat="false" ht="15" hidden="false" customHeight="false" outlineLevel="0" collapsed="false">
      <c r="A23" s="8" t="s">
        <v>22</v>
      </c>
    </row>
    <row r="24" customFormat="false" ht="15" hidden="false" customHeight="false" outlineLevel="0" collapsed="false">
      <c r="A24" s="8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40"/>
    <col collapsed="false" customWidth="true" hidden="false" outlineLevel="0" max="10" min="10" style="0" width="11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5" min="14" style="0" width="10"/>
    <col collapsed="false" customWidth="true" hidden="false" outlineLevel="0" max="17" min="16" style="0" width="9"/>
    <col collapsed="false" customWidth="true" hidden="false" outlineLevel="0" max="18" min="18" style="0" width="60"/>
  </cols>
  <sheetData>
    <row r="1" customFormat="false" ht="46.25" hidden="false" customHeight="false" outlineLevel="0" collapsed="false">
      <c r="A1" s="3" t="s">
        <v>24</v>
      </c>
      <c r="B1" s="3" t="s">
        <v>2</v>
      </c>
      <c r="C1" s="3" t="s">
        <v>3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  <c r="N1" s="3" t="s">
        <v>35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</row>
    <row r="2" customFormat="false" ht="15" hidden="false" customHeight="false" outlineLevel="0" collapsed="false">
      <c r="A2" s="4" t="s">
        <v>41</v>
      </c>
      <c r="B2" s="4" t="s">
        <v>8</v>
      </c>
      <c r="C2" s="4" t="s">
        <v>10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4" t="s">
        <v>47</v>
      </c>
      <c r="J2" s="4" t="s">
        <v>48</v>
      </c>
      <c r="K2" s="4" t="n">
        <v>200</v>
      </c>
      <c r="L2" s="4" t="n">
        <v>60</v>
      </c>
      <c r="M2" s="9" t="n">
        <v>90</v>
      </c>
      <c r="N2" s="10" t="n">
        <f aca="false">K2*L2/1000000</f>
        <v>0.012</v>
      </c>
      <c r="O2" s="11" t="n">
        <f aca="false">M2/3600/N2</f>
        <v>2.08333333333333</v>
      </c>
      <c r="P2" s="4" t="str">
        <f aca="false">IF(O2&lt;=Hypothèses!$B$3,"oui","NON")</f>
        <v>oui</v>
      </c>
      <c r="Q2" s="4" t="s">
        <v>49</v>
      </c>
      <c r="R2" s="4"/>
      <c r="S2" s="12" t="s">
        <v>50</v>
      </c>
    </row>
    <row r="3" customFormat="false" ht="15" hidden="false" customHeight="false" outlineLevel="0" collapsed="false">
      <c r="A3" s="4" t="s">
        <v>51</v>
      </c>
      <c r="B3" s="4" t="s">
        <v>8</v>
      </c>
      <c r="C3" s="4" t="s">
        <v>10</v>
      </c>
      <c r="D3" s="4" t="s">
        <v>42</v>
      </c>
      <c r="E3" s="4" t="s">
        <v>52</v>
      </c>
      <c r="F3" s="4" t="s">
        <v>44</v>
      </c>
      <c r="G3" s="4" t="s">
        <v>45</v>
      </c>
      <c r="H3" s="4" t="s">
        <v>46</v>
      </c>
      <c r="I3" s="4" t="s">
        <v>47</v>
      </c>
      <c r="J3" s="4" t="s">
        <v>48</v>
      </c>
      <c r="K3" s="4" t="n">
        <v>200</v>
      </c>
      <c r="L3" s="4" t="n">
        <v>60</v>
      </c>
      <c r="M3" s="9" t="n">
        <v>90</v>
      </c>
      <c r="N3" s="10" t="n">
        <f aca="false">K3*L3/1000000</f>
        <v>0.012</v>
      </c>
      <c r="O3" s="11" t="n">
        <f aca="false">M3/3600/N3</f>
        <v>2.08333333333333</v>
      </c>
      <c r="P3" s="4" t="str">
        <f aca="false">IF(O3&lt;=Hypothèses!$B$3,"oui","NON")</f>
        <v>oui</v>
      </c>
      <c r="Q3" s="4" t="s">
        <v>49</v>
      </c>
      <c r="R3" s="4"/>
      <c r="S3" s="12" t="s">
        <v>53</v>
      </c>
    </row>
    <row r="4" customFormat="false" ht="15" hidden="false" customHeight="false" outlineLevel="0" collapsed="false">
      <c r="A4" s="4" t="s">
        <v>54</v>
      </c>
      <c r="B4" s="4" t="s">
        <v>8</v>
      </c>
      <c r="C4" s="4" t="s">
        <v>10</v>
      </c>
      <c r="D4" s="4" t="s">
        <v>42</v>
      </c>
      <c r="E4" s="4" t="s">
        <v>55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48</v>
      </c>
      <c r="K4" s="4" t="n">
        <v>200</v>
      </c>
      <c r="L4" s="4" t="n">
        <v>60</v>
      </c>
      <c r="M4" s="9" t="n">
        <v>90</v>
      </c>
      <c r="N4" s="10" t="n">
        <f aca="false">K4*L4/1000000</f>
        <v>0.012</v>
      </c>
      <c r="O4" s="11" t="n">
        <f aca="false">M4/3600/N4</f>
        <v>2.08333333333333</v>
      </c>
      <c r="P4" s="4" t="str">
        <f aca="false">IF(O4&lt;=Hypothèses!$B$3,"oui","NON")</f>
        <v>oui</v>
      </c>
      <c r="Q4" s="4" t="s">
        <v>49</v>
      </c>
      <c r="R4" s="4"/>
      <c r="S4" s="12" t="s">
        <v>56</v>
      </c>
    </row>
    <row r="5" customFormat="false" ht="15" hidden="false" customHeight="false" outlineLevel="0" collapsed="false">
      <c r="A5" s="4" t="s">
        <v>57</v>
      </c>
      <c r="B5" s="4" t="s">
        <v>8</v>
      </c>
      <c r="C5" s="4" t="s">
        <v>10</v>
      </c>
      <c r="D5" s="4" t="s">
        <v>42</v>
      </c>
      <c r="E5" s="4" t="s">
        <v>58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48</v>
      </c>
      <c r="K5" s="4" t="n">
        <v>200</v>
      </c>
      <c r="L5" s="4" t="n">
        <v>60</v>
      </c>
      <c r="M5" s="9" t="n">
        <v>90</v>
      </c>
      <c r="N5" s="10" t="n">
        <f aca="false">K5*L5/1000000</f>
        <v>0.012</v>
      </c>
      <c r="O5" s="11" t="n">
        <f aca="false">M5/3600/N5</f>
        <v>2.08333333333333</v>
      </c>
      <c r="P5" s="4" t="str">
        <f aca="false">IF(O5&lt;=Hypothèses!$B$3,"oui","NON")</f>
        <v>oui</v>
      </c>
      <c r="Q5" s="4" t="s">
        <v>49</v>
      </c>
      <c r="R5" s="4"/>
      <c r="S5" s="12" t="s">
        <v>59</v>
      </c>
    </row>
    <row r="6" customFormat="false" ht="15" hidden="false" customHeight="false" outlineLevel="0" collapsed="false">
      <c r="A6" s="4" t="s">
        <v>60</v>
      </c>
      <c r="B6" s="4" t="s">
        <v>8</v>
      </c>
      <c r="C6" s="4" t="s">
        <v>10</v>
      </c>
      <c r="D6" s="4" t="s">
        <v>42</v>
      </c>
      <c r="E6" s="4" t="s">
        <v>61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48</v>
      </c>
      <c r="K6" s="4" t="n">
        <v>200</v>
      </c>
      <c r="L6" s="4" t="n">
        <v>60</v>
      </c>
      <c r="M6" s="9" t="n">
        <v>90</v>
      </c>
      <c r="N6" s="10" t="n">
        <f aca="false">K6*L6/1000000</f>
        <v>0.012</v>
      </c>
      <c r="O6" s="11" t="n">
        <f aca="false">M6/3600/N6</f>
        <v>2.08333333333333</v>
      </c>
      <c r="P6" s="4" t="str">
        <f aca="false">IF(O6&lt;=Hypothèses!$B$3,"oui","NON")</f>
        <v>oui</v>
      </c>
      <c r="Q6" s="4" t="s">
        <v>49</v>
      </c>
      <c r="R6" s="4"/>
      <c r="S6" s="12" t="s">
        <v>62</v>
      </c>
    </row>
    <row r="7" customFormat="false" ht="15" hidden="false" customHeight="false" outlineLevel="0" collapsed="false">
      <c r="A7" s="4" t="s">
        <v>63</v>
      </c>
      <c r="B7" s="4" t="s">
        <v>8</v>
      </c>
      <c r="C7" s="4" t="s">
        <v>10</v>
      </c>
      <c r="D7" s="4" t="s">
        <v>42</v>
      </c>
      <c r="E7" s="4" t="s">
        <v>64</v>
      </c>
      <c r="F7" s="4" t="s">
        <v>44</v>
      </c>
      <c r="G7" s="4" t="s">
        <v>45</v>
      </c>
      <c r="H7" s="4" t="s">
        <v>46</v>
      </c>
      <c r="I7" s="4" t="s">
        <v>47</v>
      </c>
      <c r="J7" s="4" t="s">
        <v>48</v>
      </c>
      <c r="K7" s="4" t="n">
        <v>200</v>
      </c>
      <c r="L7" s="4" t="n">
        <v>60</v>
      </c>
      <c r="M7" s="9" t="n">
        <v>90</v>
      </c>
      <c r="N7" s="10" t="n">
        <f aca="false">K7*L7/1000000</f>
        <v>0.012</v>
      </c>
      <c r="O7" s="11" t="n">
        <f aca="false">M7/3600/N7</f>
        <v>2.08333333333333</v>
      </c>
      <c r="P7" s="4" t="str">
        <f aca="false">IF(O7&lt;=Hypothèses!$B$3,"oui","NON")</f>
        <v>oui</v>
      </c>
      <c r="Q7" s="4" t="s">
        <v>49</v>
      </c>
      <c r="R7" s="4"/>
      <c r="S7" s="12" t="s">
        <v>65</v>
      </c>
    </row>
    <row r="8" customFormat="false" ht="15" hidden="false" customHeight="false" outlineLevel="0" collapsed="false">
      <c r="A8" s="4" t="s">
        <v>66</v>
      </c>
      <c r="B8" s="4" t="s">
        <v>8</v>
      </c>
      <c r="C8" s="4" t="s">
        <v>10</v>
      </c>
      <c r="D8" s="4" t="s">
        <v>42</v>
      </c>
      <c r="E8" s="4" t="s">
        <v>67</v>
      </c>
      <c r="F8" s="4" t="s">
        <v>44</v>
      </c>
      <c r="G8" s="4" t="s">
        <v>45</v>
      </c>
      <c r="H8" s="4" t="s">
        <v>46</v>
      </c>
      <c r="I8" s="4" t="s">
        <v>47</v>
      </c>
      <c r="J8" s="4" t="s">
        <v>48</v>
      </c>
      <c r="K8" s="4" t="n">
        <v>200</v>
      </c>
      <c r="L8" s="4" t="n">
        <v>60</v>
      </c>
      <c r="M8" s="9" t="n">
        <v>90</v>
      </c>
      <c r="N8" s="10" t="n">
        <f aca="false">K8*L8/1000000</f>
        <v>0.012</v>
      </c>
      <c r="O8" s="11" t="n">
        <f aca="false">M8/3600/N8</f>
        <v>2.08333333333333</v>
      </c>
      <c r="P8" s="4" t="str">
        <f aca="false">IF(O8&lt;=Hypothèses!$B$3,"oui","NON")</f>
        <v>oui</v>
      </c>
      <c r="Q8" s="4" t="s">
        <v>49</v>
      </c>
      <c r="R8" s="4"/>
      <c r="S8" s="12" t="s">
        <v>68</v>
      </c>
    </row>
    <row r="9" customFormat="false" ht="15" hidden="false" customHeight="false" outlineLevel="0" collapsed="false">
      <c r="A9" s="4" t="s">
        <v>69</v>
      </c>
      <c r="B9" s="4" t="s">
        <v>8</v>
      </c>
      <c r="C9" s="4" t="s">
        <v>10</v>
      </c>
      <c r="D9" s="4" t="s">
        <v>42</v>
      </c>
      <c r="E9" s="4" t="s">
        <v>70</v>
      </c>
      <c r="F9" s="4" t="s">
        <v>44</v>
      </c>
      <c r="G9" s="4" t="s">
        <v>45</v>
      </c>
      <c r="H9" s="4" t="s">
        <v>46</v>
      </c>
      <c r="I9" s="4" t="s">
        <v>47</v>
      </c>
      <c r="J9" s="4" t="s">
        <v>48</v>
      </c>
      <c r="K9" s="4" t="n">
        <v>200</v>
      </c>
      <c r="L9" s="4" t="n">
        <v>60</v>
      </c>
      <c r="M9" s="9" t="n">
        <v>90</v>
      </c>
      <c r="N9" s="10" t="n">
        <f aca="false">K9*L9/1000000</f>
        <v>0.012</v>
      </c>
      <c r="O9" s="11" t="n">
        <f aca="false">M9/3600/N9</f>
        <v>2.08333333333333</v>
      </c>
      <c r="P9" s="4" t="str">
        <f aca="false">IF(O9&lt;=Hypothèses!$B$3,"oui","NON")</f>
        <v>oui</v>
      </c>
      <c r="Q9" s="4" t="s">
        <v>49</v>
      </c>
      <c r="R9" s="4"/>
      <c r="S9" s="12" t="s">
        <v>71</v>
      </c>
    </row>
    <row r="10" customFormat="false" ht="15" hidden="false" customHeight="false" outlineLevel="0" collapsed="false">
      <c r="A10" s="4" t="s">
        <v>72</v>
      </c>
      <c r="B10" s="4" t="s">
        <v>8</v>
      </c>
      <c r="C10" s="4" t="s">
        <v>10</v>
      </c>
      <c r="D10" s="4" t="s">
        <v>42</v>
      </c>
      <c r="E10" s="4" t="s">
        <v>73</v>
      </c>
      <c r="F10" s="4" t="s">
        <v>44</v>
      </c>
      <c r="G10" s="4" t="s">
        <v>45</v>
      </c>
      <c r="H10" s="4" t="s">
        <v>46</v>
      </c>
      <c r="I10" s="4" t="s">
        <v>47</v>
      </c>
      <c r="J10" s="4" t="s">
        <v>48</v>
      </c>
      <c r="K10" s="4" t="n">
        <v>200</v>
      </c>
      <c r="L10" s="4" t="n">
        <v>60</v>
      </c>
      <c r="M10" s="9" t="n">
        <v>90</v>
      </c>
      <c r="N10" s="10" t="n">
        <f aca="false">K10*L10/1000000</f>
        <v>0.012</v>
      </c>
      <c r="O10" s="11" t="n">
        <f aca="false">M10/3600/N10</f>
        <v>2.08333333333333</v>
      </c>
      <c r="P10" s="4" t="str">
        <f aca="false">IF(O10&lt;=Hypothèses!$B$3,"oui","NON")</f>
        <v>oui</v>
      </c>
      <c r="Q10" s="4" t="s">
        <v>49</v>
      </c>
      <c r="R10" s="4"/>
      <c r="S10" s="12" t="s">
        <v>74</v>
      </c>
    </row>
    <row r="11" customFormat="false" ht="15" hidden="false" customHeight="false" outlineLevel="0" collapsed="false">
      <c r="A11" s="4" t="s">
        <v>75</v>
      </c>
      <c r="B11" s="4" t="s">
        <v>8</v>
      </c>
      <c r="C11" s="4" t="s">
        <v>10</v>
      </c>
      <c r="D11" s="4" t="s">
        <v>42</v>
      </c>
      <c r="E11" s="4" t="s">
        <v>76</v>
      </c>
      <c r="F11" s="4" t="s">
        <v>44</v>
      </c>
      <c r="G11" s="4" t="s">
        <v>45</v>
      </c>
      <c r="H11" s="4" t="s">
        <v>46</v>
      </c>
      <c r="I11" s="4" t="s">
        <v>47</v>
      </c>
      <c r="J11" s="4" t="s">
        <v>48</v>
      </c>
      <c r="K11" s="4" t="n">
        <v>200</v>
      </c>
      <c r="L11" s="4" t="n">
        <v>60</v>
      </c>
      <c r="M11" s="9" t="n">
        <v>90</v>
      </c>
      <c r="N11" s="10" t="n">
        <f aca="false">K11*L11/1000000</f>
        <v>0.012</v>
      </c>
      <c r="O11" s="11" t="n">
        <f aca="false">M11/3600/N11</f>
        <v>2.08333333333333</v>
      </c>
      <c r="P11" s="4" t="str">
        <f aca="false">IF(O11&lt;=Hypothèses!$B$3,"oui","NON")</f>
        <v>oui</v>
      </c>
      <c r="Q11" s="4" t="s">
        <v>49</v>
      </c>
      <c r="R11" s="4"/>
      <c r="S11" s="12" t="s">
        <v>77</v>
      </c>
    </row>
    <row r="12" customFormat="false" ht="15" hidden="false" customHeight="false" outlineLevel="0" collapsed="false">
      <c r="A12" s="4" t="s">
        <v>78</v>
      </c>
      <c r="B12" s="4" t="s">
        <v>8</v>
      </c>
      <c r="C12" s="4" t="s">
        <v>10</v>
      </c>
      <c r="D12" s="4" t="s">
        <v>42</v>
      </c>
      <c r="E12" s="4" t="s">
        <v>79</v>
      </c>
      <c r="F12" s="4" t="s">
        <v>44</v>
      </c>
      <c r="G12" s="4" t="s">
        <v>45</v>
      </c>
      <c r="H12" s="4" t="s">
        <v>46</v>
      </c>
      <c r="I12" s="4" t="s">
        <v>47</v>
      </c>
      <c r="J12" s="4" t="s">
        <v>48</v>
      </c>
      <c r="K12" s="4" t="n">
        <v>200</v>
      </c>
      <c r="L12" s="4" t="n">
        <v>60</v>
      </c>
      <c r="M12" s="9" t="n">
        <v>90</v>
      </c>
      <c r="N12" s="10" t="n">
        <f aca="false">K12*L12/1000000</f>
        <v>0.012</v>
      </c>
      <c r="O12" s="11" t="n">
        <f aca="false">M12/3600/N12</f>
        <v>2.08333333333333</v>
      </c>
      <c r="P12" s="4" t="str">
        <f aca="false">IF(O12&lt;=Hypothèses!$B$3,"oui","NON")</f>
        <v>oui</v>
      </c>
      <c r="Q12" s="4" t="s">
        <v>49</v>
      </c>
      <c r="R12" s="4"/>
      <c r="S12" s="12" t="s">
        <v>80</v>
      </c>
    </row>
    <row r="13" customFormat="false" ht="15" hidden="false" customHeight="false" outlineLevel="0" collapsed="false">
      <c r="A13" s="4" t="s">
        <v>81</v>
      </c>
      <c r="B13" s="4" t="s">
        <v>8</v>
      </c>
      <c r="C13" s="4" t="s">
        <v>10</v>
      </c>
      <c r="D13" s="4" t="s">
        <v>42</v>
      </c>
      <c r="E13" s="4" t="s">
        <v>82</v>
      </c>
      <c r="F13" s="4" t="s">
        <v>44</v>
      </c>
      <c r="G13" s="4" t="s">
        <v>45</v>
      </c>
      <c r="H13" s="4" t="s">
        <v>46</v>
      </c>
      <c r="I13" s="4" t="s">
        <v>47</v>
      </c>
      <c r="J13" s="4" t="s">
        <v>48</v>
      </c>
      <c r="K13" s="4" t="n">
        <v>200</v>
      </c>
      <c r="L13" s="4" t="n">
        <v>60</v>
      </c>
      <c r="M13" s="9" t="n">
        <v>90</v>
      </c>
      <c r="N13" s="10" t="n">
        <f aca="false">K13*L13/1000000</f>
        <v>0.012</v>
      </c>
      <c r="O13" s="11" t="n">
        <f aca="false">M13/3600/N13</f>
        <v>2.08333333333333</v>
      </c>
      <c r="P13" s="4" t="str">
        <f aca="false">IF(O13&lt;=Hypothèses!$B$3,"oui","NON")</f>
        <v>oui</v>
      </c>
      <c r="Q13" s="4" t="s">
        <v>49</v>
      </c>
      <c r="R13" s="4"/>
      <c r="S13" s="12" t="s">
        <v>83</v>
      </c>
    </row>
    <row r="14" customFormat="false" ht="15" hidden="false" customHeight="false" outlineLevel="0" collapsed="false">
      <c r="A14" s="4" t="s">
        <v>84</v>
      </c>
      <c r="B14" s="4" t="s">
        <v>8</v>
      </c>
      <c r="C14" s="4" t="s">
        <v>10</v>
      </c>
      <c r="D14" s="4" t="s">
        <v>42</v>
      </c>
      <c r="E14" s="4" t="s">
        <v>85</v>
      </c>
      <c r="F14" s="4" t="s">
        <v>44</v>
      </c>
      <c r="G14" s="4" t="s">
        <v>45</v>
      </c>
      <c r="H14" s="4" t="s">
        <v>46</v>
      </c>
      <c r="I14" s="4" t="s">
        <v>47</v>
      </c>
      <c r="J14" s="4" t="s">
        <v>48</v>
      </c>
      <c r="K14" s="4" t="n">
        <v>200</v>
      </c>
      <c r="L14" s="4" t="n">
        <v>60</v>
      </c>
      <c r="M14" s="9" t="n">
        <v>90</v>
      </c>
      <c r="N14" s="10" t="n">
        <f aca="false">K14*L14/1000000</f>
        <v>0.012</v>
      </c>
      <c r="O14" s="11" t="n">
        <f aca="false">M14/3600/N14</f>
        <v>2.08333333333333</v>
      </c>
      <c r="P14" s="4" t="str">
        <f aca="false">IF(O14&lt;=Hypothèses!$B$3,"oui","NON")</f>
        <v>oui</v>
      </c>
      <c r="Q14" s="4" t="s">
        <v>49</v>
      </c>
      <c r="R14" s="4"/>
      <c r="S14" s="12" t="s">
        <v>86</v>
      </c>
    </row>
    <row r="15" customFormat="false" ht="15" hidden="false" customHeight="false" outlineLevel="0" collapsed="false">
      <c r="A15" s="4" t="s">
        <v>87</v>
      </c>
      <c r="B15" s="4" t="s">
        <v>8</v>
      </c>
      <c r="C15" s="4" t="s">
        <v>10</v>
      </c>
      <c r="D15" s="4" t="s">
        <v>42</v>
      </c>
      <c r="E15" s="4" t="s">
        <v>88</v>
      </c>
      <c r="F15" s="4" t="s">
        <v>44</v>
      </c>
      <c r="G15" s="4" t="s">
        <v>45</v>
      </c>
      <c r="H15" s="4" t="s">
        <v>46</v>
      </c>
      <c r="I15" s="4" t="s">
        <v>47</v>
      </c>
      <c r="J15" s="4" t="s">
        <v>48</v>
      </c>
      <c r="K15" s="4" t="n">
        <v>200</v>
      </c>
      <c r="L15" s="4" t="n">
        <v>60</v>
      </c>
      <c r="M15" s="9" t="n">
        <v>90</v>
      </c>
      <c r="N15" s="10" t="n">
        <f aca="false">K15*L15/1000000</f>
        <v>0.012</v>
      </c>
      <c r="O15" s="11" t="n">
        <f aca="false">M15/3600/N15</f>
        <v>2.08333333333333</v>
      </c>
      <c r="P15" s="4" t="str">
        <f aca="false">IF(O15&lt;=Hypothèses!$B$3,"oui","NON")</f>
        <v>oui</v>
      </c>
      <c r="Q15" s="4" t="s">
        <v>49</v>
      </c>
      <c r="R15" s="4"/>
      <c r="S15" s="12" t="s">
        <v>89</v>
      </c>
    </row>
    <row r="16" customFormat="false" ht="15" hidden="false" customHeight="false" outlineLevel="0" collapsed="false">
      <c r="A16" s="4" t="s">
        <v>90</v>
      </c>
      <c r="B16" s="4" t="s">
        <v>8</v>
      </c>
      <c r="C16" s="4" t="s">
        <v>10</v>
      </c>
      <c r="D16" s="4" t="s">
        <v>91</v>
      </c>
      <c r="E16" s="4" t="s">
        <v>92</v>
      </c>
      <c r="F16" s="4" t="s">
        <v>44</v>
      </c>
      <c r="G16" s="4" t="s">
        <v>45</v>
      </c>
      <c r="H16" s="4" t="s">
        <v>46</v>
      </c>
      <c r="I16" s="4" t="s">
        <v>47</v>
      </c>
      <c r="J16" s="4" t="s">
        <v>48</v>
      </c>
      <c r="K16" s="4" t="n">
        <v>200</v>
      </c>
      <c r="L16" s="4" t="n">
        <v>60</v>
      </c>
      <c r="M16" s="9" t="n">
        <v>90</v>
      </c>
      <c r="N16" s="10" t="n">
        <f aca="false">K16*L16/1000000</f>
        <v>0.012</v>
      </c>
      <c r="O16" s="11" t="n">
        <f aca="false">M16/3600/N16</f>
        <v>2.08333333333333</v>
      </c>
      <c r="P16" s="4" t="str">
        <f aca="false">IF(O16&lt;=Hypothèses!$B$3,"oui","NON")</f>
        <v>oui</v>
      </c>
      <c r="Q16" s="4" t="s">
        <v>49</v>
      </c>
      <c r="R16" s="4"/>
      <c r="S16" s="12" t="s">
        <v>93</v>
      </c>
    </row>
    <row r="17" customFormat="false" ht="15" hidden="false" customHeight="false" outlineLevel="0" collapsed="false">
      <c r="A17" s="4" t="s">
        <v>94</v>
      </c>
      <c r="B17" s="4" t="s">
        <v>8</v>
      </c>
      <c r="C17" s="4" t="s">
        <v>10</v>
      </c>
      <c r="D17" s="4" t="s">
        <v>91</v>
      </c>
      <c r="E17" s="4" t="s">
        <v>95</v>
      </c>
      <c r="F17" s="4" t="s">
        <v>44</v>
      </c>
      <c r="G17" s="4" t="s">
        <v>45</v>
      </c>
      <c r="H17" s="4" t="s">
        <v>46</v>
      </c>
      <c r="I17" s="4" t="s">
        <v>47</v>
      </c>
      <c r="J17" s="4" t="s">
        <v>48</v>
      </c>
      <c r="K17" s="4" t="n">
        <v>200</v>
      </c>
      <c r="L17" s="4" t="n">
        <v>60</v>
      </c>
      <c r="M17" s="9" t="n">
        <v>90</v>
      </c>
      <c r="N17" s="10" t="n">
        <f aca="false">K17*L17/1000000</f>
        <v>0.012</v>
      </c>
      <c r="O17" s="11" t="n">
        <f aca="false">M17/3600/N17</f>
        <v>2.08333333333333</v>
      </c>
      <c r="P17" s="4" t="str">
        <f aca="false">IF(O17&lt;=Hypothèses!$B$3,"oui","NON")</f>
        <v>oui</v>
      </c>
      <c r="Q17" s="4" t="s">
        <v>49</v>
      </c>
      <c r="R17" s="4"/>
      <c r="S17" s="12" t="s">
        <v>96</v>
      </c>
    </row>
    <row r="18" customFormat="false" ht="15" hidden="false" customHeight="false" outlineLevel="0" collapsed="false">
      <c r="A18" s="4" t="s">
        <v>97</v>
      </c>
      <c r="B18" s="4" t="s">
        <v>8</v>
      </c>
      <c r="C18" s="4" t="s">
        <v>10</v>
      </c>
      <c r="D18" s="4" t="s">
        <v>91</v>
      </c>
      <c r="E18" s="4" t="s">
        <v>98</v>
      </c>
      <c r="F18" s="4" t="s">
        <v>44</v>
      </c>
      <c r="G18" s="4" t="s">
        <v>45</v>
      </c>
      <c r="H18" s="4" t="s">
        <v>46</v>
      </c>
      <c r="I18" s="4" t="s">
        <v>47</v>
      </c>
      <c r="J18" s="4" t="s">
        <v>48</v>
      </c>
      <c r="K18" s="4" t="n">
        <v>200</v>
      </c>
      <c r="L18" s="4" t="n">
        <v>60</v>
      </c>
      <c r="M18" s="9" t="n">
        <v>90</v>
      </c>
      <c r="N18" s="10" t="n">
        <f aca="false">K18*L18/1000000</f>
        <v>0.012</v>
      </c>
      <c r="O18" s="11" t="n">
        <f aca="false">M18/3600/N18</f>
        <v>2.08333333333333</v>
      </c>
      <c r="P18" s="4" t="str">
        <f aca="false">IF(O18&lt;=Hypothèses!$B$3,"oui","NON")</f>
        <v>oui</v>
      </c>
      <c r="Q18" s="4" t="s">
        <v>49</v>
      </c>
      <c r="R18" s="4"/>
      <c r="S18" s="12" t="s">
        <v>99</v>
      </c>
    </row>
    <row r="19" customFormat="false" ht="15" hidden="false" customHeight="false" outlineLevel="0" collapsed="false">
      <c r="A19" s="4" t="s">
        <v>100</v>
      </c>
      <c r="B19" s="4" t="s">
        <v>8</v>
      </c>
      <c r="C19" s="4" t="s">
        <v>10</v>
      </c>
      <c r="D19" s="4" t="s">
        <v>91</v>
      </c>
      <c r="E19" s="4" t="s">
        <v>101</v>
      </c>
      <c r="F19" s="4" t="s">
        <v>44</v>
      </c>
      <c r="G19" s="4" t="s">
        <v>45</v>
      </c>
      <c r="H19" s="4" t="s">
        <v>46</v>
      </c>
      <c r="I19" s="4" t="s">
        <v>47</v>
      </c>
      <c r="J19" s="4" t="s">
        <v>48</v>
      </c>
      <c r="K19" s="4" t="n">
        <v>200</v>
      </c>
      <c r="L19" s="4" t="n">
        <v>60</v>
      </c>
      <c r="M19" s="9" t="n">
        <v>90</v>
      </c>
      <c r="N19" s="10" t="n">
        <f aca="false">K19*L19/1000000</f>
        <v>0.012</v>
      </c>
      <c r="O19" s="11" t="n">
        <f aca="false">M19/3600/N19</f>
        <v>2.08333333333333</v>
      </c>
      <c r="P19" s="4" t="str">
        <f aca="false">IF(O19&lt;=Hypothèses!$B$3,"oui","NON")</f>
        <v>oui</v>
      </c>
      <c r="Q19" s="4" t="s">
        <v>49</v>
      </c>
      <c r="R19" s="4"/>
      <c r="S19" s="12" t="s">
        <v>102</v>
      </c>
    </row>
    <row r="20" customFormat="false" ht="15" hidden="false" customHeight="false" outlineLevel="0" collapsed="false">
      <c r="A20" s="4" t="s">
        <v>103</v>
      </c>
      <c r="B20" s="4" t="s">
        <v>8</v>
      </c>
      <c r="C20" s="4" t="s">
        <v>10</v>
      </c>
      <c r="D20" s="4" t="s">
        <v>91</v>
      </c>
      <c r="E20" s="4" t="s">
        <v>104</v>
      </c>
      <c r="F20" s="4" t="s">
        <v>44</v>
      </c>
      <c r="G20" s="4" t="s">
        <v>45</v>
      </c>
      <c r="H20" s="4" t="s">
        <v>46</v>
      </c>
      <c r="I20" s="4" t="s">
        <v>47</v>
      </c>
      <c r="J20" s="4" t="s">
        <v>48</v>
      </c>
      <c r="K20" s="4" t="n">
        <v>200</v>
      </c>
      <c r="L20" s="4" t="n">
        <v>60</v>
      </c>
      <c r="M20" s="9" t="n">
        <v>90</v>
      </c>
      <c r="N20" s="10" t="n">
        <f aca="false">K20*L20/1000000</f>
        <v>0.012</v>
      </c>
      <c r="O20" s="11" t="n">
        <f aca="false">M20/3600/N20</f>
        <v>2.08333333333333</v>
      </c>
      <c r="P20" s="4" t="str">
        <f aca="false">IF(O20&lt;=Hypothèses!$B$3,"oui","NON")</f>
        <v>oui</v>
      </c>
      <c r="Q20" s="4" t="s">
        <v>49</v>
      </c>
      <c r="R20" s="4"/>
      <c r="S20" s="12" t="s">
        <v>105</v>
      </c>
    </row>
    <row r="21" customFormat="false" ht="15" hidden="false" customHeight="false" outlineLevel="0" collapsed="false">
      <c r="A21" s="4" t="s">
        <v>106</v>
      </c>
      <c r="B21" s="4" t="s">
        <v>8</v>
      </c>
      <c r="C21" s="4" t="s">
        <v>10</v>
      </c>
      <c r="D21" s="4" t="s">
        <v>91</v>
      </c>
      <c r="E21" s="4" t="s">
        <v>107</v>
      </c>
      <c r="F21" s="4" t="s">
        <v>44</v>
      </c>
      <c r="G21" s="4" t="s">
        <v>45</v>
      </c>
      <c r="H21" s="4" t="s">
        <v>46</v>
      </c>
      <c r="I21" s="4" t="s">
        <v>47</v>
      </c>
      <c r="J21" s="4" t="s">
        <v>48</v>
      </c>
      <c r="K21" s="4" t="n">
        <v>200</v>
      </c>
      <c r="L21" s="4" t="n">
        <v>60</v>
      </c>
      <c r="M21" s="9" t="n">
        <v>90</v>
      </c>
      <c r="N21" s="10" t="n">
        <f aca="false">K21*L21/1000000</f>
        <v>0.012</v>
      </c>
      <c r="O21" s="11" t="n">
        <f aca="false">M21/3600/N21</f>
        <v>2.08333333333333</v>
      </c>
      <c r="P21" s="4" t="str">
        <f aca="false">IF(O21&lt;=Hypothèses!$B$3,"oui","NON")</f>
        <v>oui</v>
      </c>
      <c r="Q21" s="4" t="s">
        <v>49</v>
      </c>
      <c r="R21" s="4"/>
      <c r="S21" s="12" t="s">
        <v>108</v>
      </c>
    </row>
    <row r="22" customFormat="false" ht="15" hidden="false" customHeight="false" outlineLevel="0" collapsed="false">
      <c r="A22" s="4" t="s">
        <v>109</v>
      </c>
      <c r="B22" s="4" t="s">
        <v>8</v>
      </c>
      <c r="C22" s="4" t="s">
        <v>10</v>
      </c>
      <c r="D22" s="4" t="s">
        <v>91</v>
      </c>
      <c r="E22" s="4" t="s">
        <v>110</v>
      </c>
      <c r="F22" s="4" t="s">
        <v>44</v>
      </c>
      <c r="G22" s="4" t="s">
        <v>45</v>
      </c>
      <c r="H22" s="4" t="s">
        <v>46</v>
      </c>
      <c r="I22" s="4" t="s">
        <v>47</v>
      </c>
      <c r="J22" s="4" t="s">
        <v>48</v>
      </c>
      <c r="K22" s="4" t="n">
        <v>200</v>
      </c>
      <c r="L22" s="4" t="n">
        <v>60</v>
      </c>
      <c r="M22" s="9" t="n">
        <v>90</v>
      </c>
      <c r="N22" s="10" t="n">
        <f aca="false">K22*L22/1000000</f>
        <v>0.012</v>
      </c>
      <c r="O22" s="11" t="n">
        <f aca="false">M22/3600/N22</f>
        <v>2.08333333333333</v>
      </c>
      <c r="P22" s="4" t="str">
        <f aca="false">IF(O22&lt;=Hypothèses!$B$3,"oui","NON")</f>
        <v>oui</v>
      </c>
      <c r="Q22" s="4" t="s">
        <v>49</v>
      </c>
      <c r="R22" s="4"/>
      <c r="S22" s="12" t="s">
        <v>111</v>
      </c>
    </row>
    <row r="23" customFormat="false" ht="15" hidden="false" customHeight="false" outlineLevel="0" collapsed="false">
      <c r="A23" s="4" t="s">
        <v>112</v>
      </c>
      <c r="B23" s="4" t="s">
        <v>8</v>
      </c>
      <c r="C23" s="4" t="s">
        <v>10</v>
      </c>
      <c r="D23" s="4" t="s">
        <v>91</v>
      </c>
      <c r="E23" s="4" t="s">
        <v>113</v>
      </c>
      <c r="F23" s="4" t="s">
        <v>44</v>
      </c>
      <c r="G23" s="4" t="s">
        <v>45</v>
      </c>
      <c r="H23" s="4" t="s">
        <v>46</v>
      </c>
      <c r="I23" s="4" t="s">
        <v>47</v>
      </c>
      <c r="J23" s="4" t="s">
        <v>48</v>
      </c>
      <c r="K23" s="4" t="n">
        <v>200</v>
      </c>
      <c r="L23" s="4" t="n">
        <v>60</v>
      </c>
      <c r="M23" s="9" t="n">
        <v>90</v>
      </c>
      <c r="N23" s="10" t="n">
        <f aca="false">K23*L23/1000000</f>
        <v>0.012</v>
      </c>
      <c r="O23" s="11" t="n">
        <f aca="false">M23/3600/N23</f>
        <v>2.08333333333333</v>
      </c>
      <c r="P23" s="4" t="str">
        <f aca="false">IF(O23&lt;=Hypothèses!$B$3,"oui","NON")</f>
        <v>oui</v>
      </c>
      <c r="Q23" s="4" t="s">
        <v>49</v>
      </c>
      <c r="R23" s="4"/>
      <c r="S23" s="12" t="s">
        <v>114</v>
      </c>
    </row>
    <row r="24" customFormat="false" ht="15" hidden="false" customHeight="false" outlineLevel="0" collapsed="false">
      <c r="A24" s="4" t="s">
        <v>115</v>
      </c>
      <c r="B24" s="4" t="s">
        <v>8</v>
      </c>
      <c r="C24" s="4" t="s">
        <v>10</v>
      </c>
      <c r="D24" s="4" t="s">
        <v>91</v>
      </c>
      <c r="E24" s="4" t="s">
        <v>116</v>
      </c>
      <c r="F24" s="4" t="s">
        <v>44</v>
      </c>
      <c r="G24" s="4" t="s">
        <v>45</v>
      </c>
      <c r="H24" s="4" t="s">
        <v>46</v>
      </c>
      <c r="I24" s="4" t="s">
        <v>47</v>
      </c>
      <c r="J24" s="4" t="s">
        <v>48</v>
      </c>
      <c r="K24" s="4" t="n">
        <v>200</v>
      </c>
      <c r="L24" s="4" t="n">
        <v>60</v>
      </c>
      <c r="M24" s="9" t="n">
        <v>90</v>
      </c>
      <c r="N24" s="10" t="n">
        <f aca="false">K24*L24/1000000</f>
        <v>0.012</v>
      </c>
      <c r="O24" s="11" t="n">
        <f aca="false">M24/3600/N24</f>
        <v>2.08333333333333</v>
      </c>
      <c r="P24" s="4" t="str">
        <f aca="false">IF(O24&lt;=Hypothèses!$B$3,"oui","NON")</f>
        <v>oui</v>
      </c>
      <c r="Q24" s="4" t="s">
        <v>49</v>
      </c>
      <c r="R24" s="4"/>
      <c r="S24" s="12" t="s">
        <v>117</v>
      </c>
    </row>
    <row r="25" customFormat="false" ht="15" hidden="false" customHeight="false" outlineLevel="0" collapsed="false">
      <c r="A25" s="4" t="s">
        <v>118</v>
      </c>
      <c r="B25" s="4" t="s">
        <v>8</v>
      </c>
      <c r="C25" s="4" t="s">
        <v>10</v>
      </c>
      <c r="D25" s="4" t="s">
        <v>91</v>
      </c>
      <c r="E25" s="4" t="s">
        <v>119</v>
      </c>
      <c r="F25" s="4" t="s">
        <v>44</v>
      </c>
      <c r="G25" s="4" t="s">
        <v>45</v>
      </c>
      <c r="H25" s="4" t="s">
        <v>46</v>
      </c>
      <c r="I25" s="4" t="s">
        <v>47</v>
      </c>
      <c r="J25" s="4" t="s">
        <v>48</v>
      </c>
      <c r="K25" s="4" t="n">
        <v>200</v>
      </c>
      <c r="L25" s="4" t="n">
        <v>60</v>
      </c>
      <c r="M25" s="9" t="n">
        <v>90</v>
      </c>
      <c r="N25" s="10" t="n">
        <f aca="false">K25*L25/1000000</f>
        <v>0.012</v>
      </c>
      <c r="O25" s="11" t="n">
        <f aca="false">M25/3600/N25</f>
        <v>2.08333333333333</v>
      </c>
      <c r="P25" s="4" t="str">
        <f aca="false">IF(O25&lt;=Hypothèses!$B$3,"oui","NON")</f>
        <v>oui</v>
      </c>
      <c r="Q25" s="4" t="s">
        <v>49</v>
      </c>
      <c r="R25" s="4"/>
      <c r="S25" s="12" t="s">
        <v>120</v>
      </c>
    </row>
    <row r="26" customFormat="false" ht="15" hidden="false" customHeight="false" outlineLevel="0" collapsed="false">
      <c r="A26" s="4" t="s">
        <v>121</v>
      </c>
      <c r="B26" s="4" t="s">
        <v>8</v>
      </c>
      <c r="C26" s="4" t="s">
        <v>10</v>
      </c>
      <c r="D26" s="4" t="s">
        <v>91</v>
      </c>
      <c r="E26" s="4" t="s">
        <v>122</v>
      </c>
      <c r="F26" s="4" t="s">
        <v>44</v>
      </c>
      <c r="G26" s="4" t="s">
        <v>45</v>
      </c>
      <c r="H26" s="4" t="s">
        <v>46</v>
      </c>
      <c r="I26" s="4" t="s">
        <v>47</v>
      </c>
      <c r="J26" s="4" t="s">
        <v>48</v>
      </c>
      <c r="K26" s="4" t="n">
        <v>200</v>
      </c>
      <c r="L26" s="4" t="n">
        <v>60</v>
      </c>
      <c r="M26" s="9" t="n">
        <v>90</v>
      </c>
      <c r="N26" s="10" t="n">
        <f aca="false">K26*L26/1000000</f>
        <v>0.012</v>
      </c>
      <c r="O26" s="11" t="n">
        <f aca="false">M26/3600/N26</f>
        <v>2.08333333333333</v>
      </c>
      <c r="P26" s="4" t="str">
        <f aca="false">IF(O26&lt;=Hypothèses!$B$3,"oui","NON")</f>
        <v>oui</v>
      </c>
      <c r="Q26" s="4" t="s">
        <v>49</v>
      </c>
      <c r="R26" s="4"/>
      <c r="S26" s="12" t="s">
        <v>123</v>
      </c>
    </row>
    <row r="27" customFormat="false" ht="15" hidden="false" customHeight="false" outlineLevel="0" collapsed="false">
      <c r="A27" s="4" t="s">
        <v>124</v>
      </c>
      <c r="B27" s="4" t="s">
        <v>8</v>
      </c>
      <c r="C27" s="4" t="s">
        <v>10</v>
      </c>
      <c r="D27" s="4" t="s">
        <v>91</v>
      </c>
      <c r="E27" s="4" t="s">
        <v>125</v>
      </c>
      <c r="F27" s="4" t="s">
        <v>44</v>
      </c>
      <c r="G27" s="4" t="s">
        <v>45</v>
      </c>
      <c r="H27" s="4" t="s">
        <v>46</v>
      </c>
      <c r="I27" s="4" t="s">
        <v>47</v>
      </c>
      <c r="J27" s="4" t="s">
        <v>48</v>
      </c>
      <c r="K27" s="4" t="n">
        <v>200</v>
      </c>
      <c r="L27" s="4" t="n">
        <v>60</v>
      </c>
      <c r="M27" s="9" t="n">
        <v>90</v>
      </c>
      <c r="N27" s="10" t="n">
        <f aca="false">K27*L27/1000000</f>
        <v>0.012</v>
      </c>
      <c r="O27" s="11" t="n">
        <f aca="false">M27/3600/N27</f>
        <v>2.08333333333333</v>
      </c>
      <c r="P27" s="4" t="str">
        <f aca="false">IF(O27&lt;=Hypothèses!$B$3,"oui","NON")</f>
        <v>oui</v>
      </c>
      <c r="Q27" s="4" t="s">
        <v>49</v>
      </c>
      <c r="R27" s="4"/>
      <c r="S27" s="12" t="s">
        <v>126</v>
      </c>
    </row>
    <row r="28" customFormat="false" ht="15" hidden="false" customHeight="false" outlineLevel="0" collapsed="false">
      <c r="A28" s="4" t="s">
        <v>127</v>
      </c>
      <c r="B28" s="4" t="s">
        <v>8</v>
      </c>
      <c r="C28" s="4" t="s">
        <v>10</v>
      </c>
      <c r="D28" s="4" t="s">
        <v>91</v>
      </c>
      <c r="E28" s="4" t="s">
        <v>128</v>
      </c>
      <c r="F28" s="4" t="s">
        <v>44</v>
      </c>
      <c r="G28" s="4" t="s">
        <v>45</v>
      </c>
      <c r="H28" s="4" t="s">
        <v>46</v>
      </c>
      <c r="I28" s="4" t="s">
        <v>47</v>
      </c>
      <c r="J28" s="4" t="s">
        <v>48</v>
      </c>
      <c r="K28" s="4" t="n">
        <v>200</v>
      </c>
      <c r="L28" s="4" t="n">
        <v>60</v>
      </c>
      <c r="M28" s="9" t="n">
        <v>90</v>
      </c>
      <c r="N28" s="10" t="n">
        <f aca="false">K28*L28/1000000</f>
        <v>0.012</v>
      </c>
      <c r="O28" s="11" t="n">
        <f aca="false">M28/3600/N28</f>
        <v>2.08333333333333</v>
      </c>
      <c r="P28" s="4" t="str">
        <f aca="false">IF(O28&lt;=Hypothèses!$B$3,"oui","NON")</f>
        <v>oui</v>
      </c>
      <c r="Q28" s="4" t="s">
        <v>49</v>
      </c>
      <c r="R28" s="4"/>
      <c r="S28" s="12" t="s">
        <v>129</v>
      </c>
    </row>
    <row r="29" customFormat="false" ht="15" hidden="false" customHeight="false" outlineLevel="0" collapsed="false">
      <c r="A29" s="4" t="s">
        <v>130</v>
      </c>
      <c r="B29" s="4" t="s">
        <v>8</v>
      </c>
      <c r="C29" s="4" t="s">
        <v>10</v>
      </c>
      <c r="D29" s="4" t="s">
        <v>91</v>
      </c>
      <c r="E29" s="4" t="s">
        <v>131</v>
      </c>
      <c r="F29" s="4" t="s">
        <v>44</v>
      </c>
      <c r="G29" s="4" t="s">
        <v>45</v>
      </c>
      <c r="H29" s="4" t="s">
        <v>46</v>
      </c>
      <c r="I29" s="4" t="s">
        <v>47</v>
      </c>
      <c r="J29" s="4" t="s">
        <v>48</v>
      </c>
      <c r="K29" s="4" t="n">
        <v>200</v>
      </c>
      <c r="L29" s="4" t="n">
        <v>60</v>
      </c>
      <c r="M29" s="9" t="n">
        <v>90</v>
      </c>
      <c r="N29" s="10" t="n">
        <f aca="false">K29*L29/1000000</f>
        <v>0.012</v>
      </c>
      <c r="O29" s="11" t="n">
        <f aca="false">M29/3600/N29</f>
        <v>2.08333333333333</v>
      </c>
      <c r="P29" s="4" t="str">
        <f aca="false">IF(O29&lt;=Hypothèses!$B$3,"oui","NON")</f>
        <v>oui</v>
      </c>
      <c r="Q29" s="4" t="s">
        <v>49</v>
      </c>
      <c r="R29" s="4"/>
      <c r="S29" s="12" t="s">
        <v>132</v>
      </c>
    </row>
    <row r="30" customFormat="false" ht="15" hidden="false" customHeight="false" outlineLevel="0" collapsed="false">
      <c r="A30" s="4" t="s">
        <v>133</v>
      </c>
      <c r="B30" s="4" t="s">
        <v>8</v>
      </c>
      <c r="C30" s="4" t="s">
        <v>9</v>
      </c>
      <c r="D30" s="4" t="s">
        <v>42</v>
      </c>
      <c r="E30" s="4" t="s">
        <v>134</v>
      </c>
      <c r="F30" s="4" t="s">
        <v>135</v>
      </c>
      <c r="G30" s="4" t="s">
        <v>136</v>
      </c>
      <c r="H30" s="4" t="s">
        <v>137</v>
      </c>
      <c r="I30" s="4" t="s">
        <v>138</v>
      </c>
      <c r="J30" s="4" t="s">
        <v>48</v>
      </c>
      <c r="K30" s="4" t="n">
        <v>200</v>
      </c>
      <c r="L30" s="4" t="n">
        <v>60</v>
      </c>
      <c r="M30" s="9" t="n">
        <v>90</v>
      </c>
      <c r="N30" s="10" t="n">
        <f aca="false">K30*L30/1000000</f>
        <v>0.012</v>
      </c>
      <c r="O30" s="11" t="n">
        <f aca="false">M30/3600/N30</f>
        <v>2.08333333333333</v>
      </c>
      <c r="P30" s="4" t="str">
        <f aca="false">IF(O30&lt;=Hypothèses!$B$3,"oui","NON")</f>
        <v>oui</v>
      </c>
      <c r="Q30" s="4" t="s">
        <v>49</v>
      </c>
      <c r="R30" s="4"/>
      <c r="S30" s="12" t="s">
        <v>139</v>
      </c>
    </row>
    <row r="31" customFormat="false" ht="15" hidden="false" customHeight="false" outlineLevel="0" collapsed="false">
      <c r="A31" s="4" t="s">
        <v>140</v>
      </c>
      <c r="B31" s="4" t="s">
        <v>8</v>
      </c>
      <c r="C31" s="4" t="s">
        <v>9</v>
      </c>
      <c r="D31" s="4" t="s">
        <v>42</v>
      </c>
      <c r="E31" s="4" t="s">
        <v>134</v>
      </c>
      <c r="F31" s="4" t="s">
        <v>135</v>
      </c>
      <c r="G31" s="4" t="s">
        <v>136</v>
      </c>
      <c r="H31" s="4" t="s">
        <v>137</v>
      </c>
      <c r="I31" s="4" t="s">
        <v>138</v>
      </c>
      <c r="J31" s="4" t="s">
        <v>48</v>
      </c>
      <c r="K31" s="4" t="n">
        <v>200</v>
      </c>
      <c r="L31" s="4" t="n">
        <v>60</v>
      </c>
      <c r="M31" s="9" t="n">
        <v>90</v>
      </c>
      <c r="N31" s="10" t="n">
        <f aca="false">K31*L31/1000000</f>
        <v>0.012</v>
      </c>
      <c r="O31" s="11" t="n">
        <f aca="false">M31/3600/N31</f>
        <v>2.08333333333333</v>
      </c>
      <c r="P31" s="4" t="str">
        <f aca="false">IF(O31&lt;=Hypothèses!$B$3,"oui","NON")</f>
        <v>oui</v>
      </c>
      <c r="Q31" s="4" t="s">
        <v>49</v>
      </c>
      <c r="R31" s="4"/>
      <c r="S31" s="12" t="s">
        <v>141</v>
      </c>
    </row>
    <row r="32" customFormat="false" ht="15" hidden="false" customHeight="false" outlineLevel="0" collapsed="false">
      <c r="A32" s="4" t="s">
        <v>142</v>
      </c>
      <c r="B32" s="4" t="s">
        <v>8</v>
      </c>
      <c r="C32" s="4" t="s">
        <v>9</v>
      </c>
      <c r="D32" s="4" t="s">
        <v>42</v>
      </c>
      <c r="E32" s="4" t="s">
        <v>134</v>
      </c>
      <c r="F32" s="4" t="s">
        <v>143</v>
      </c>
      <c r="G32" s="4" t="s">
        <v>136</v>
      </c>
      <c r="H32" s="4" t="s">
        <v>137</v>
      </c>
      <c r="I32" s="4" t="s">
        <v>138</v>
      </c>
      <c r="J32" s="4" t="s">
        <v>48</v>
      </c>
      <c r="K32" s="4" t="n">
        <v>200</v>
      </c>
      <c r="L32" s="4" t="n">
        <v>60</v>
      </c>
      <c r="M32" s="9" t="n">
        <v>90</v>
      </c>
      <c r="N32" s="10" t="n">
        <f aca="false">K32*L32/1000000</f>
        <v>0.012</v>
      </c>
      <c r="O32" s="11" t="n">
        <f aca="false">M32/3600/N32</f>
        <v>2.08333333333333</v>
      </c>
      <c r="P32" s="4" t="str">
        <f aca="false">IF(O32&lt;=Hypothèses!$B$3,"oui","NON")</f>
        <v>oui</v>
      </c>
      <c r="Q32" s="4" t="s">
        <v>49</v>
      </c>
      <c r="R32" s="4"/>
      <c r="S32" s="12" t="s">
        <v>144</v>
      </c>
    </row>
    <row r="33" customFormat="false" ht="15" hidden="false" customHeight="false" outlineLevel="0" collapsed="false">
      <c r="A33" s="4" t="s">
        <v>145</v>
      </c>
      <c r="B33" s="4" t="s">
        <v>8</v>
      </c>
      <c r="C33" s="4" t="s">
        <v>9</v>
      </c>
      <c r="D33" s="4" t="s">
        <v>42</v>
      </c>
      <c r="E33" s="4" t="s">
        <v>134</v>
      </c>
      <c r="F33" s="4" t="s">
        <v>143</v>
      </c>
      <c r="G33" s="4" t="s">
        <v>136</v>
      </c>
      <c r="H33" s="4" t="s">
        <v>137</v>
      </c>
      <c r="I33" s="4" t="s">
        <v>138</v>
      </c>
      <c r="J33" s="4" t="s">
        <v>48</v>
      </c>
      <c r="K33" s="4" t="n">
        <v>200</v>
      </c>
      <c r="L33" s="4" t="n">
        <v>60</v>
      </c>
      <c r="M33" s="9" t="n">
        <v>90</v>
      </c>
      <c r="N33" s="10" t="n">
        <f aca="false">K33*L33/1000000</f>
        <v>0.012</v>
      </c>
      <c r="O33" s="11" t="n">
        <f aca="false">M33/3600/N33</f>
        <v>2.08333333333333</v>
      </c>
      <c r="P33" s="4" t="str">
        <f aca="false">IF(O33&lt;=Hypothèses!$B$3,"oui","NON")</f>
        <v>oui</v>
      </c>
      <c r="Q33" s="4" t="s">
        <v>49</v>
      </c>
      <c r="R33" s="4"/>
      <c r="S33" s="12" t="s">
        <v>146</v>
      </c>
    </row>
    <row r="34" customFormat="false" ht="15" hidden="false" customHeight="false" outlineLevel="0" collapsed="false">
      <c r="A34" s="4" t="s">
        <v>147</v>
      </c>
      <c r="B34" s="4" t="s">
        <v>8</v>
      </c>
      <c r="C34" s="4" t="s">
        <v>9</v>
      </c>
      <c r="D34" s="4" t="s">
        <v>42</v>
      </c>
      <c r="E34" s="4" t="s">
        <v>134</v>
      </c>
      <c r="F34" s="4" t="s">
        <v>143</v>
      </c>
      <c r="G34" s="4" t="s">
        <v>136</v>
      </c>
      <c r="H34" s="4" t="s">
        <v>137</v>
      </c>
      <c r="I34" s="4" t="s">
        <v>138</v>
      </c>
      <c r="J34" s="4" t="s">
        <v>48</v>
      </c>
      <c r="K34" s="4" t="n">
        <v>200</v>
      </c>
      <c r="L34" s="4" t="n">
        <v>60</v>
      </c>
      <c r="M34" s="9" t="n">
        <v>90</v>
      </c>
      <c r="N34" s="10" t="n">
        <f aca="false">K34*L34/1000000</f>
        <v>0.012</v>
      </c>
      <c r="O34" s="11" t="n">
        <f aca="false">M34/3600/N34</f>
        <v>2.08333333333333</v>
      </c>
      <c r="P34" s="4" t="str">
        <f aca="false">IF(O34&lt;=Hypothèses!$B$3,"oui","NON")</f>
        <v>oui</v>
      </c>
      <c r="Q34" s="4" t="s">
        <v>49</v>
      </c>
      <c r="R34" s="4"/>
      <c r="S34" s="12" t="s">
        <v>148</v>
      </c>
    </row>
    <row r="35" customFormat="false" ht="15" hidden="false" customHeight="false" outlineLevel="0" collapsed="false">
      <c r="A35" s="4" t="s">
        <v>149</v>
      </c>
      <c r="B35" s="4" t="s">
        <v>8</v>
      </c>
      <c r="C35" s="4" t="s">
        <v>9</v>
      </c>
      <c r="D35" s="4" t="s">
        <v>42</v>
      </c>
      <c r="E35" s="4" t="s">
        <v>134</v>
      </c>
      <c r="F35" s="4" t="s">
        <v>143</v>
      </c>
      <c r="G35" s="4" t="s">
        <v>136</v>
      </c>
      <c r="H35" s="4" t="s">
        <v>137</v>
      </c>
      <c r="I35" s="4" t="s">
        <v>138</v>
      </c>
      <c r="J35" s="4" t="s">
        <v>48</v>
      </c>
      <c r="K35" s="4" t="n">
        <v>200</v>
      </c>
      <c r="L35" s="4" t="n">
        <v>60</v>
      </c>
      <c r="M35" s="9" t="n">
        <v>90</v>
      </c>
      <c r="N35" s="10" t="n">
        <f aca="false">K35*L35/1000000</f>
        <v>0.012</v>
      </c>
      <c r="O35" s="11" t="n">
        <f aca="false">M35/3600/N35</f>
        <v>2.08333333333333</v>
      </c>
      <c r="P35" s="4" t="str">
        <f aca="false">IF(O35&lt;=Hypothèses!$B$3,"oui","NON")</f>
        <v>oui</v>
      </c>
      <c r="Q35" s="4" t="s">
        <v>49</v>
      </c>
      <c r="R35" s="4"/>
      <c r="S35" s="12" t="s">
        <v>150</v>
      </c>
    </row>
    <row r="36" customFormat="false" ht="15" hidden="false" customHeight="false" outlineLevel="0" collapsed="false">
      <c r="A36" s="4" t="s">
        <v>151</v>
      </c>
      <c r="B36" s="4" t="s">
        <v>8</v>
      </c>
      <c r="C36" s="4" t="s">
        <v>9</v>
      </c>
      <c r="D36" s="4" t="s">
        <v>42</v>
      </c>
      <c r="E36" s="4" t="s">
        <v>134</v>
      </c>
      <c r="F36" s="4" t="s">
        <v>143</v>
      </c>
      <c r="G36" s="4" t="s">
        <v>136</v>
      </c>
      <c r="H36" s="4" t="s">
        <v>137</v>
      </c>
      <c r="I36" s="4" t="s">
        <v>138</v>
      </c>
      <c r="J36" s="4" t="s">
        <v>48</v>
      </c>
      <c r="K36" s="4" t="n">
        <v>200</v>
      </c>
      <c r="L36" s="4" t="n">
        <v>60</v>
      </c>
      <c r="M36" s="9" t="n">
        <v>90</v>
      </c>
      <c r="N36" s="10" t="n">
        <f aca="false">K36*L36/1000000</f>
        <v>0.012</v>
      </c>
      <c r="O36" s="11" t="n">
        <f aca="false">M36/3600/N36</f>
        <v>2.08333333333333</v>
      </c>
      <c r="P36" s="4" t="str">
        <f aca="false">IF(O36&lt;=Hypothèses!$B$3,"oui","NON")</f>
        <v>oui</v>
      </c>
      <c r="Q36" s="4" t="s">
        <v>49</v>
      </c>
      <c r="R36" s="4"/>
      <c r="S36" s="12" t="s">
        <v>152</v>
      </c>
    </row>
    <row r="37" customFormat="false" ht="15" hidden="false" customHeight="false" outlineLevel="0" collapsed="false">
      <c r="A37" s="4" t="s">
        <v>153</v>
      </c>
      <c r="B37" s="4" t="s">
        <v>8</v>
      </c>
      <c r="C37" s="4" t="s">
        <v>9</v>
      </c>
      <c r="D37" s="4" t="s">
        <v>42</v>
      </c>
      <c r="E37" s="4" t="s">
        <v>134</v>
      </c>
      <c r="F37" s="4" t="s">
        <v>143</v>
      </c>
      <c r="G37" s="4" t="s">
        <v>136</v>
      </c>
      <c r="H37" s="4" t="s">
        <v>137</v>
      </c>
      <c r="I37" s="4" t="s">
        <v>138</v>
      </c>
      <c r="J37" s="4" t="s">
        <v>48</v>
      </c>
      <c r="K37" s="4" t="n">
        <v>200</v>
      </c>
      <c r="L37" s="4" t="n">
        <v>60</v>
      </c>
      <c r="M37" s="9" t="n">
        <v>90</v>
      </c>
      <c r="N37" s="10" t="n">
        <f aca="false">K37*L37/1000000</f>
        <v>0.012</v>
      </c>
      <c r="O37" s="11" t="n">
        <f aca="false">M37/3600/N37</f>
        <v>2.08333333333333</v>
      </c>
      <c r="P37" s="4" t="str">
        <f aca="false">IF(O37&lt;=Hypothèses!$B$3,"oui","NON")</f>
        <v>oui</v>
      </c>
      <c r="Q37" s="4" t="s">
        <v>49</v>
      </c>
      <c r="R37" s="4"/>
      <c r="S37" s="12" t="s">
        <v>154</v>
      </c>
    </row>
    <row r="38" customFormat="false" ht="15" hidden="false" customHeight="false" outlineLevel="0" collapsed="false">
      <c r="A38" s="4" t="s">
        <v>155</v>
      </c>
      <c r="B38" s="4" t="s">
        <v>8</v>
      </c>
      <c r="C38" s="4" t="s">
        <v>9</v>
      </c>
      <c r="D38" s="4" t="s">
        <v>42</v>
      </c>
      <c r="E38" s="4" t="s">
        <v>134</v>
      </c>
      <c r="F38" s="4" t="s">
        <v>143</v>
      </c>
      <c r="G38" s="4" t="s">
        <v>136</v>
      </c>
      <c r="H38" s="4" t="s">
        <v>137</v>
      </c>
      <c r="I38" s="4" t="s">
        <v>138</v>
      </c>
      <c r="J38" s="4" t="s">
        <v>48</v>
      </c>
      <c r="K38" s="4" t="n">
        <v>200</v>
      </c>
      <c r="L38" s="4" t="n">
        <v>60</v>
      </c>
      <c r="M38" s="9" t="n">
        <v>90</v>
      </c>
      <c r="N38" s="10" t="n">
        <f aca="false">K38*L38/1000000</f>
        <v>0.012</v>
      </c>
      <c r="O38" s="11" t="n">
        <f aca="false">M38/3600/N38</f>
        <v>2.08333333333333</v>
      </c>
      <c r="P38" s="4" t="str">
        <f aca="false">IF(O38&lt;=Hypothèses!$B$3,"oui","NON")</f>
        <v>oui</v>
      </c>
      <c r="Q38" s="4" t="s">
        <v>49</v>
      </c>
      <c r="R38" s="4"/>
      <c r="S38" s="12" t="s">
        <v>156</v>
      </c>
    </row>
    <row r="39" customFormat="false" ht="15" hidden="false" customHeight="false" outlineLevel="0" collapsed="false">
      <c r="A39" s="4" t="s">
        <v>157</v>
      </c>
      <c r="B39" s="4" t="s">
        <v>8</v>
      </c>
      <c r="C39" s="4" t="s">
        <v>9</v>
      </c>
      <c r="D39" s="4" t="s">
        <v>42</v>
      </c>
      <c r="E39" s="4" t="s">
        <v>134</v>
      </c>
      <c r="F39" s="4" t="s">
        <v>143</v>
      </c>
      <c r="G39" s="4" t="s">
        <v>136</v>
      </c>
      <c r="H39" s="4" t="s">
        <v>137</v>
      </c>
      <c r="I39" s="4" t="s">
        <v>138</v>
      </c>
      <c r="J39" s="4" t="s">
        <v>48</v>
      </c>
      <c r="K39" s="4" t="n">
        <v>200</v>
      </c>
      <c r="L39" s="4" t="n">
        <v>60</v>
      </c>
      <c r="M39" s="9" t="n">
        <v>90</v>
      </c>
      <c r="N39" s="10" t="n">
        <f aca="false">K39*L39/1000000</f>
        <v>0.012</v>
      </c>
      <c r="O39" s="11" t="n">
        <f aca="false">M39/3600/N39</f>
        <v>2.08333333333333</v>
      </c>
      <c r="P39" s="4" t="str">
        <f aca="false">IF(O39&lt;=Hypothèses!$B$3,"oui","NON")</f>
        <v>oui</v>
      </c>
      <c r="Q39" s="4" t="s">
        <v>49</v>
      </c>
      <c r="R39" s="4"/>
      <c r="S39" s="12" t="s">
        <v>158</v>
      </c>
    </row>
    <row r="40" customFormat="false" ht="15" hidden="false" customHeight="false" outlineLevel="0" collapsed="false">
      <c r="A40" s="4" t="s">
        <v>159</v>
      </c>
      <c r="B40" s="4" t="s">
        <v>8</v>
      </c>
      <c r="C40" s="4" t="s">
        <v>9</v>
      </c>
      <c r="D40" s="4" t="s">
        <v>42</v>
      </c>
      <c r="E40" s="4" t="s">
        <v>134</v>
      </c>
      <c r="F40" s="4" t="s">
        <v>143</v>
      </c>
      <c r="G40" s="4" t="s">
        <v>136</v>
      </c>
      <c r="H40" s="4" t="s">
        <v>137</v>
      </c>
      <c r="I40" s="4" t="s">
        <v>138</v>
      </c>
      <c r="J40" s="4" t="s">
        <v>48</v>
      </c>
      <c r="K40" s="4" t="n">
        <v>200</v>
      </c>
      <c r="L40" s="4" t="n">
        <v>60</v>
      </c>
      <c r="M40" s="9" t="n">
        <v>90</v>
      </c>
      <c r="N40" s="10" t="n">
        <f aca="false">K40*L40/1000000</f>
        <v>0.012</v>
      </c>
      <c r="O40" s="11" t="n">
        <f aca="false">M40/3600/N40</f>
        <v>2.08333333333333</v>
      </c>
      <c r="P40" s="4" t="str">
        <f aca="false">IF(O40&lt;=Hypothèses!$B$3,"oui","NON")</f>
        <v>oui</v>
      </c>
      <c r="Q40" s="4" t="s">
        <v>49</v>
      </c>
      <c r="R40" s="4"/>
      <c r="S40" s="12" t="s">
        <v>160</v>
      </c>
    </row>
    <row r="41" customFormat="false" ht="15" hidden="false" customHeight="false" outlineLevel="0" collapsed="false">
      <c r="A41" s="4" t="s">
        <v>161</v>
      </c>
      <c r="B41" s="4" t="s">
        <v>8</v>
      </c>
      <c r="C41" s="4" t="s">
        <v>9</v>
      </c>
      <c r="D41" s="4" t="s">
        <v>42</v>
      </c>
      <c r="E41" s="4" t="s">
        <v>134</v>
      </c>
      <c r="F41" s="4" t="s">
        <v>143</v>
      </c>
      <c r="G41" s="4" t="s">
        <v>136</v>
      </c>
      <c r="H41" s="4" t="s">
        <v>137</v>
      </c>
      <c r="I41" s="4" t="s">
        <v>138</v>
      </c>
      <c r="J41" s="4" t="s">
        <v>48</v>
      </c>
      <c r="K41" s="4" t="n">
        <v>200</v>
      </c>
      <c r="L41" s="4" t="n">
        <v>60</v>
      </c>
      <c r="M41" s="9" t="n">
        <v>90</v>
      </c>
      <c r="N41" s="10" t="n">
        <f aca="false">K41*L41/1000000</f>
        <v>0.012</v>
      </c>
      <c r="O41" s="11" t="n">
        <f aca="false">M41/3600/N41</f>
        <v>2.08333333333333</v>
      </c>
      <c r="P41" s="4" t="str">
        <f aca="false">IF(O41&lt;=Hypothèses!$B$3,"oui","NON")</f>
        <v>oui</v>
      </c>
      <c r="Q41" s="4" t="s">
        <v>49</v>
      </c>
      <c r="R41" s="4"/>
      <c r="S41" s="12" t="s">
        <v>162</v>
      </c>
    </row>
    <row r="42" customFormat="false" ht="15" hidden="false" customHeight="false" outlineLevel="0" collapsed="false">
      <c r="A42" s="4" t="s">
        <v>163</v>
      </c>
      <c r="B42" s="4" t="s">
        <v>8</v>
      </c>
      <c r="C42" s="4" t="s">
        <v>9</v>
      </c>
      <c r="D42" s="4" t="s">
        <v>42</v>
      </c>
      <c r="E42" s="4" t="s">
        <v>134</v>
      </c>
      <c r="F42" s="4" t="s">
        <v>143</v>
      </c>
      <c r="G42" s="4" t="s">
        <v>136</v>
      </c>
      <c r="H42" s="4" t="s">
        <v>137</v>
      </c>
      <c r="I42" s="4" t="s">
        <v>138</v>
      </c>
      <c r="J42" s="4" t="s">
        <v>48</v>
      </c>
      <c r="K42" s="4" t="n">
        <v>200</v>
      </c>
      <c r="L42" s="4" t="n">
        <v>60</v>
      </c>
      <c r="M42" s="9" t="n">
        <v>90</v>
      </c>
      <c r="N42" s="10" t="n">
        <f aca="false">K42*L42/1000000</f>
        <v>0.012</v>
      </c>
      <c r="O42" s="11" t="n">
        <f aca="false">M42/3600/N42</f>
        <v>2.08333333333333</v>
      </c>
      <c r="P42" s="4" t="str">
        <f aca="false">IF(O42&lt;=Hypothèses!$B$3,"oui","NON")</f>
        <v>oui</v>
      </c>
      <c r="Q42" s="4" t="s">
        <v>49</v>
      </c>
      <c r="R42" s="4"/>
      <c r="S42" s="12" t="s">
        <v>164</v>
      </c>
    </row>
    <row r="43" customFormat="false" ht="15" hidden="false" customHeight="false" outlineLevel="0" collapsed="false">
      <c r="A43" s="4" t="s">
        <v>165</v>
      </c>
      <c r="B43" s="4" t="s">
        <v>8</v>
      </c>
      <c r="C43" s="4" t="s">
        <v>9</v>
      </c>
      <c r="D43" s="4" t="s">
        <v>42</v>
      </c>
      <c r="E43" s="4" t="s">
        <v>134</v>
      </c>
      <c r="F43" s="4" t="s">
        <v>143</v>
      </c>
      <c r="G43" s="4" t="s">
        <v>136</v>
      </c>
      <c r="H43" s="4" t="s">
        <v>137</v>
      </c>
      <c r="I43" s="4" t="s">
        <v>138</v>
      </c>
      <c r="J43" s="4" t="s">
        <v>48</v>
      </c>
      <c r="K43" s="4" t="n">
        <v>200</v>
      </c>
      <c r="L43" s="4" t="n">
        <v>60</v>
      </c>
      <c r="M43" s="9" t="n">
        <v>90</v>
      </c>
      <c r="N43" s="10" t="n">
        <f aca="false">K43*L43/1000000</f>
        <v>0.012</v>
      </c>
      <c r="O43" s="11" t="n">
        <f aca="false">M43/3600/N43</f>
        <v>2.08333333333333</v>
      </c>
      <c r="P43" s="4" t="str">
        <f aca="false">IF(O43&lt;=Hypothèses!$B$3,"oui","NON")</f>
        <v>oui</v>
      </c>
      <c r="Q43" s="4" t="s">
        <v>49</v>
      </c>
      <c r="R43" s="4"/>
      <c r="S43" s="12" t="s">
        <v>166</v>
      </c>
    </row>
    <row r="44" customFormat="false" ht="15" hidden="false" customHeight="false" outlineLevel="0" collapsed="false">
      <c r="A44" s="4" t="s">
        <v>167</v>
      </c>
      <c r="B44" s="4" t="s">
        <v>8</v>
      </c>
      <c r="C44" s="4" t="s">
        <v>9</v>
      </c>
      <c r="D44" s="4" t="s">
        <v>91</v>
      </c>
      <c r="E44" s="4" t="s">
        <v>134</v>
      </c>
      <c r="F44" s="4" t="s">
        <v>135</v>
      </c>
      <c r="G44" s="4" t="s">
        <v>136</v>
      </c>
      <c r="H44" s="4" t="s">
        <v>137</v>
      </c>
      <c r="I44" s="4" t="s">
        <v>138</v>
      </c>
      <c r="J44" s="4" t="s">
        <v>48</v>
      </c>
      <c r="K44" s="4" t="n">
        <v>200</v>
      </c>
      <c r="L44" s="4" t="n">
        <v>60</v>
      </c>
      <c r="M44" s="9" t="n">
        <v>90</v>
      </c>
      <c r="N44" s="10" t="n">
        <f aca="false">K44*L44/1000000</f>
        <v>0.012</v>
      </c>
      <c r="O44" s="11" t="n">
        <f aca="false">M44/3600/N44</f>
        <v>2.08333333333333</v>
      </c>
      <c r="P44" s="4" t="str">
        <f aca="false">IF(O44&lt;=Hypothèses!$B$3,"oui","NON")</f>
        <v>oui</v>
      </c>
      <c r="Q44" s="4" t="s">
        <v>49</v>
      </c>
      <c r="R44" s="4"/>
      <c r="S44" s="12" t="s">
        <v>168</v>
      </c>
    </row>
    <row r="45" customFormat="false" ht="15" hidden="false" customHeight="false" outlineLevel="0" collapsed="false">
      <c r="A45" s="4" t="s">
        <v>169</v>
      </c>
      <c r="B45" s="4" t="s">
        <v>8</v>
      </c>
      <c r="C45" s="4" t="s">
        <v>9</v>
      </c>
      <c r="D45" s="4" t="s">
        <v>91</v>
      </c>
      <c r="E45" s="4" t="s">
        <v>134</v>
      </c>
      <c r="F45" s="4" t="s">
        <v>135</v>
      </c>
      <c r="G45" s="4" t="s">
        <v>136</v>
      </c>
      <c r="H45" s="4" t="s">
        <v>137</v>
      </c>
      <c r="I45" s="4" t="s">
        <v>138</v>
      </c>
      <c r="J45" s="4" t="s">
        <v>48</v>
      </c>
      <c r="K45" s="4" t="n">
        <v>200</v>
      </c>
      <c r="L45" s="4" t="n">
        <v>60</v>
      </c>
      <c r="M45" s="9" t="n">
        <v>90</v>
      </c>
      <c r="N45" s="10" t="n">
        <f aca="false">K45*L45/1000000</f>
        <v>0.012</v>
      </c>
      <c r="O45" s="11" t="n">
        <f aca="false">M45/3600/N45</f>
        <v>2.08333333333333</v>
      </c>
      <c r="P45" s="4" t="str">
        <f aca="false">IF(O45&lt;=Hypothèses!$B$3,"oui","NON")</f>
        <v>oui</v>
      </c>
      <c r="Q45" s="4" t="s">
        <v>49</v>
      </c>
      <c r="R45" s="4"/>
      <c r="S45" s="12" t="s">
        <v>170</v>
      </c>
    </row>
    <row r="46" customFormat="false" ht="15" hidden="false" customHeight="false" outlineLevel="0" collapsed="false">
      <c r="A46" s="4" t="s">
        <v>171</v>
      </c>
      <c r="B46" s="4" t="s">
        <v>8</v>
      </c>
      <c r="C46" s="4" t="s">
        <v>9</v>
      </c>
      <c r="D46" s="4" t="s">
        <v>91</v>
      </c>
      <c r="E46" s="4" t="s">
        <v>134</v>
      </c>
      <c r="F46" s="4" t="s">
        <v>143</v>
      </c>
      <c r="G46" s="4" t="s">
        <v>136</v>
      </c>
      <c r="H46" s="4" t="s">
        <v>137</v>
      </c>
      <c r="I46" s="4" t="s">
        <v>138</v>
      </c>
      <c r="J46" s="4" t="s">
        <v>48</v>
      </c>
      <c r="K46" s="4" t="n">
        <v>200</v>
      </c>
      <c r="L46" s="4" t="n">
        <v>60</v>
      </c>
      <c r="M46" s="9" t="n">
        <v>90</v>
      </c>
      <c r="N46" s="10" t="n">
        <f aca="false">K46*L46/1000000</f>
        <v>0.012</v>
      </c>
      <c r="O46" s="11" t="n">
        <f aca="false">M46/3600/N46</f>
        <v>2.08333333333333</v>
      </c>
      <c r="P46" s="4" t="str">
        <f aca="false">IF(O46&lt;=Hypothèses!$B$3,"oui","NON")</f>
        <v>oui</v>
      </c>
      <c r="Q46" s="4" t="s">
        <v>49</v>
      </c>
      <c r="R46" s="4"/>
      <c r="S46" s="12" t="s">
        <v>172</v>
      </c>
    </row>
    <row r="47" customFormat="false" ht="15" hidden="false" customHeight="false" outlineLevel="0" collapsed="false">
      <c r="A47" s="4" t="s">
        <v>173</v>
      </c>
      <c r="B47" s="4" t="s">
        <v>8</v>
      </c>
      <c r="C47" s="4" t="s">
        <v>9</v>
      </c>
      <c r="D47" s="4" t="s">
        <v>91</v>
      </c>
      <c r="E47" s="4" t="s">
        <v>134</v>
      </c>
      <c r="F47" s="4" t="s">
        <v>143</v>
      </c>
      <c r="G47" s="4" t="s">
        <v>136</v>
      </c>
      <c r="H47" s="4" t="s">
        <v>137</v>
      </c>
      <c r="I47" s="4" t="s">
        <v>138</v>
      </c>
      <c r="J47" s="4" t="s">
        <v>48</v>
      </c>
      <c r="K47" s="4" t="n">
        <v>200</v>
      </c>
      <c r="L47" s="4" t="n">
        <v>60</v>
      </c>
      <c r="M47" s="9" t="n">
        <v>90</v>
      </c>
      <c r="N47" s="10" t="n">
        <f aca="false">K47*L47/1000000</f>
        <v>0.012</v>
      </c>
      <c r="O47" s="11" t="n">
        <f aca="false">M47/3600/N47</f>
        <v>2.08333333333333</v>
      </c>
      <c r="P47" s="4" t="str">
        <f aca="false">IF(O47&lt;=Hypothèses!$B$3,"oui","NON")</f>
        <v>oui</v>
      </c>
      <c r="Q47" s="4" t="s">
        <v>49</v>
      </c>
      <c r="R47" s="4"/>
      <c r="S47" s="12" t="s">
        <v>174</v>
      </c>
    </row>
    <row r="48" customFormat="false" ht="15" hidden="false" customHeight="false" outlineLevel="0" collapsed="false">
      <c r="A48" s="4" t="s">
        <v>175</v>
      </c>
      <c r="B48" s="4" t="s">
        <v>8</v>
      </c>
      <c r="C48" s="4" t="s">
        <v>9</v>
      </c>
      <c r="D48" s="4" t="s">
        <v>91</v>
      </c>
      <c r="E48" s="4" t="s">
        <v>134</v>
      </c>
      <c r="F48" s="4" t="s">
        <v>143</v>
      </c>
      <c r="G48" s="4" t="s">
        <v>136</v>
      </c>
      <c r="H48" s="4" t="s">
        <v>137</v>
      </c>
      <c r="I48" s="4" t="s">
        <v>138</v>
      </c>
      <c r="J48" s="4" t="s">
        <v>48</v>
      </c>
      <c r="K48" s="4" t="n">
        <v>200</v>
      </c>
      <c r="L48" s="4" t="n">
        <v>60</v>
      </c>
      <c r="M48" s="9" t="n">
        <v>90</v>
      </c>
      <c r="N48" s="10" t="n">
        <f aca="false">K48*L48/1000000</f>
        <v>0.012</v>
      </c>
      <c r="O48" s="11" t="n">
        <f aca="false">M48/3600/N48</f>
        <v>2.08333333333333</v>
      </c>
      <c r="P48" s="4" t="str">
        <f aca="false">IF(O48&lt;=Hypothèses!$B$3,"oui","NON")</f>
        <v>oui</v>
      </c>
      <c r="Q48" s="4" t="s">
        <v>49</v>
      </c>
      <c r="R48" s="4"/>
      <c r="S48" s="12" t="s">
        <v>176</v>
      </c>
    </row>
    <row r="49" customFormat="false" ht="15" hidden="false" customHeight="false" outlineLevel="0" collapsed="false">
      <c r="A49" s="4" t="s">
        <v>177</v>
      </c>
      <c r="B49" s="4" t="s">
        <v>8</v>
      </c>
      <c r="C49" s="4" t="s">
        <v>9</v>
      </c>
      <c r="D49" s="4" t="s">
        <v>91</v>
      </c>
      <c r="E49" s="4" t="s">
        <v>134</v>
      </c>
      <c r="F49" s="4" t="s">
        <v>143</v>
      </c>
      <c r="G49" s="4" t="s">
        <v>136</v>
      </c>
      <c r="H49" s="4" t="s">
        <v>137</v>
      </c>
      <c r="I49" s="4" t="s">
        <v>138</v>
      </c>
      <c r="J49" s="4" t="s">
        <v>48</v>
      </c>
      <c r="K49" s="4" t="n">
        <v>200</v>
      </c>
      <c r="L49" s="4" t="n">
        <v>60</v>
      </c>
      <c r="M49" s="9" t="n">
        <v>90</v>
      </c>
      <c r="N49" s="10" t="n">
        <f aca="false">K49*L49/1000000</f>
        <v>0.012</v>
      </c>
      <c r="O49" s="11" t="n">
        <f aca="false">M49/3600/N49</f>
        <v>2.08333333333333</v>
      </c>
      <c r="P49" s="4" t="str">
        <f aca="false">IF(O49&lt;=Hypothèses!$B$3,"oui","NON")</f>
        <v>oui</v>
      </c>
      <c r="Q49" s="4" t="s">
        <v>49</v>
      </c>
      <c r="R49" s="4"/>
      <c r="S49" s="12" t="s">
        <v>178</v>
      </c>
    </row>
    <row r="50" customFormat="false" ht="15" hidden="false" customHeight="false" outlineLevel="0" collapsed="false">
      <c r="A50" s="4" t="s">
        <v>179</v>
      </c>
      <c r="B50" s="4" t="s">
        <v>8</v>
      </c>
      <c r="C50" s="4" t="s">
        <v>9</v>
      </c>
      <c r="D50" s="4" t="s">
        <v>91</v>
      </c>
      <c r="E50" s="4" t="s">
        <v>134</v>
      </c>
      <c r="F50" s="4" t="s">
        <v>143</v>
      </c>
      <c r="G50" s="4" t="s">
        <v>136</v>
      </c>
      <c r="H50" s="4" t="s">
        <v>137</v>
      </c>
      <c r="I50" s="4" t="s">
        <v>138</v>
      </c>
      <c r="J50" s="4" t="s">
        <v>48</v>
      </c>
      <c r="K50" s="4" t="n">
        <v>200</v>
      </c>
      <c r="L50" s="4" t="n">
        <v>60</v>
      </c>
      <c r="M50" s="9" t="n">
        <v>90</v>
      </c>
      <c r="N50" s="10" t="n">
        <f aca="false">K50*L50/1000000</f>
        <v>0.012</v>
      </c>
      <c r="O50" s="11" t="n">
        <f aca="false">M50/3600/N50</f>
        <v>2.08333333333333</v>
      </c>
      <c r="P50" s="4" t="str">
        <f aca="false">IF(O50&lt;=Hypothèses!$B$3,"oui","NON")</f>
        <v>oui</v>
      </c>
      <c r="Q50" s="4" t="s">
        <v>49</v>
      </c>
      <c r="R50" s="4"/>
      <c r="S50" s="12" t="s">
        <v>180</v>
      </c>
    </row>
    <row r="51" customFormat="false" ht="15" hidden="false" customHeight="false" outlineLevel="0" collapsed="false">
      <c r="A51" s="4" t="s">
        <v>181</v>
      </c>
      <c r="B51" s="4" t="s">
        <v>8</v>
      </c>
      <c r="C51" s="4" t="s">
        <v>9</v>
      </c>
      <c r="D51" s="4" t="s">
        <v>91</v>
      </c>
      <c r="E51" s="4" t="s">
        <v>134</v>
      </c>
      <c r="F51" s="4" t="s">
        <v>143</v>
      </c>
      <c r="G51" s="4" t="s">
        <v>136</v>
      </c>
      <c r="H51" s="4" t="s">
        <v>137</v>
      </c>
      <c r="I51" s="4" t="s">
        <v>138</v>
      </c>
      <c r="J51" s="4" t="s">
        <v>48</v>
      </c>
      <c r="K51" s="4" t="n">
        <v>200</v>
      </c>
      <c r="L51" s="4" t="n">
        <v>60</v>
      </c>
      <c r="M51" s="9" t="n">
        <v>90</v>
      </c>
      <c r="N51" s="10" t="n">
        <f aca="false">K51*L51/1000000</f>
        <v>0.012</v>
      </c>
      <c r="O51" s="11" t="n">
        <f aca="false">M51/3600/N51</f>
        <v>2.08333333333333</v>
      </c>
      <c r="P51" s="4" t="str">
        <f aca="false">IF(O51&lt;=Hypothèses!$B$3,"oui","NON")</f>
        <v>oui</v>
      </c>
      <c r="Q51" s="4" t="s">
        <v>49</v>
      </c>
      <c r="R51" s="4"/>
      <c r="S51" s="12" t="s">
        <v>182</v>
      </c>
    </row>
    <row r="52" customFormat="false" ht="15" hidden="false" customHeight="false" outlineLevel="0" collapsed="false">
      <c r="A52" s="4" t="s">
        <v>183</v>
      </c>
      <c r="B52" s="4" t="s">
        <v>8</v>
      </c>
      <c r="C52" s="4" t="s">
        <v>9</v>
      </c>
      <c r="D52" s="4" t="s">
        <v>91</v>
      </c>
      <c r="E52" s="4" t="s">
        <v>134</v>
      </c>
      <c r="F52" s="4" t="s">
        <v>143</v>
      </c>
      <c r="G52" s="4" t="s">
        <v>136</v>
      </c>
      <c r="H52" s="4" t="s">
        <v>137</v>
      </c>
      <c r="I52" s="4" t="s">
        <v>138</v>
      </c>
      <c r="J52" s="4" t="s">
        <v>48</v>
      </c>
      <c r="K52" s="4" t="n">
        <v>200</v>
      </c>
      <c r="L52" s="4" t="n">
        <v>60</v>
      </c>
      <c r="M52" s="9" t="n">
        <v>90</v>
      </c>
      <c r="N52" s="10" t="n">
        <f aca="false">K52*L52/1000000</f>
        <v>0.012</v>
      </c>
      <c r="O52" s="11" t="n">
        <f aca="false">M52/3600/N52</f>
        <v>2.08333333333333</v>
      </c>
      <c r="P52" s="4" t="str">
        <f aca="false">IF(O52&lt;=Hypothèses!$B$3,"oui","NON")</f>
        <v>oui</v>
      </c>
      <c r="Q52" s="4" t="s">
        <v>49</v>
      </c>
      <c r="R52" s="4"/>
      <c r="S52" s="12" t="s">
        <v>184</v>
      </c>
    </row>
    <row r="53" customFormat="false" ht="15" hidden="false" customHeight="false" outlineLevel="0" collapsed="false">
      <c r="A53" s="4" t="s">
        <v>185</v>
      </c>
      <c r="B53" s="4" t="s">
        <v>8</v>
      </c>
      <c r="C53" s="4" t="s">
        <v>9</v>
      </c>
      <c r="D53" s="4" t="s">
        <v>91</v>
      </c>
      <c r="E53" s="4" t="s">
        <v>134</v>
      </c>
      <c r="F53" s="4" t="s">
        <v>143</v>
      </c>
      <c r="G53" s="4" t="s">
        <v>136</v>
      </c>
      <c r="H53" s="4" t="s">
        <v>137</v>
      </c>
      <c r="I53" s="4" t="s">
        <v>138</v>
      </c>
      <c r="J53" s="4" t="s">
        <v>48</v>
      </c>
      <c r="K53" s="4" t="n">
        <v>200</v>
      </c>
      <c r="L53" s="4" t="n">
        <v>60</v>
      </c>
      <c r="M53" s="9" t="n">
        <v>90</v>
      </c>
      <c r="N53" s="10" t="n">
        <f aca="false">K53*L53/1000000</f>
        <v>0.012</v>
      </c>
      <c r="O53" s="11" t="n">
        <f aca="false">M53/3600/N53</f>
        <v>2.08333333333333</v>
      </c>
      <c r="P53" s="4" t="str">
        <f aca="false">IF(O53&lt;=Hypothèses!$B$3,"oui","NON")</f>
        <v>oui</v>
      </c>
      <c r="Q53" s="4" t="s">
        <v>49</v>
      </c>
      <c r="R53" s="4"/>
      <c r="S53" s="12" t="s">
        <v>186</v>
      </c>
    </row>
    <row r="54" customFormat="false" ht="15" hidden="false" customHeight="false" outlineLevel="0" collapsed="false">
      <c r="A54" s="4" t="s">
        <v>187</v>
      </c>
      <c r="B54" s="4" t="s">
        <v>8</v>
      </c>
      <c r="C54" s="4" t="s">
        <v>9</v>
      </c>
      <c r="D54" s="4" t="s">
        <v>91</v>
      </c>
      <c r="E54" s="4" t="s">
        <v>134</v>
      </c>
      <c r="F54" s="4" t="s">
        <v>143</v>
      </c>
      <c r="G54" s="4" t="s">
        <v>136</v>
      </c>
      <c r="H54" s="4" t="s">
        <v>137</v>
      </c>
      <c r="I54" s="4" t="s">
        <v>138</v>
      </c>
      <c r="J54" s="4" t="s">
        <v>48</v>
      </c>
      <c r="K54" s="4" t="n">
        <v>200</v>
      </c>
      <c r="L54" s="4" t="n">
        <v>60</v>
      </c>
      <c r="M54" s="9" t="n">
        <v>90</v>
      </c>
      <c r="N54" s="10" t="n">
        <f aca="false">K54*L54/1000000</f>
        <v>0.012</v>
      </c>
      <c r="O54" s="11" t="n">
        <f aca="false">M54/3600/N54</f>
        <v>2.08333333333333</v>
      </c>
      <c r="P54" s="4" t="str">
        <f aca="false">IF(O54&lt;=Hypothèses!$B$3,"oui","NON")</f>
        <v>oui</v>
      </c>
      <c r="Q54" s="4" t="s">
        <v>49</v>
      </c>
      <c r="R54" s="4"/>
      <c r="S54" s="12" t="s">
        <v>188</v>
      </c>
    </row>
    <row r="55" customFormat="false" ht="15" hidden="false" customHeight="false" outlineLevel="0" collapsed="false">
      <c r="A55" s="4" t="s">
        <v>189</v>
      </c>
      <c r="B55" s="4" t="s">
        <v>8</v>
      </c>
      <c r="C55" s="4" t="s">
        <v>9</v>
      </c>
      <c r="D55" s="4" t="s">
        <v>91</v>
      </c>
      <c r="E55" s="4" t="s">
        <v>134</v>
      </c>
      <c r="F55" s="4" t="s">
        <v>143</v>
      </c>
      <c r="G55" s="4" t="s">
        <v>136</v>
      </c>
      <c r="H55" s="4" t="s">
        <v>137</v>
      </c>
      <c r="I55" s="4" t="s">
        <v>138</v>
      </c>
      <c r="J55" s="4" t="s">
        <v>48</v>
      </c>
      <c r="K55" s="4" t="n">
        <v>200</v>
      </c>
      <c r="L55" s="4" t="n">
        <v>60</v>
      </c>
      <c r="M55" s="9" t="n">
        <v>90</v>
      </c>
      <c r="N55" s="10" t="n">
        <f aca="false">K55*L55/1000000</f>
        <v>0.012</v>
      </c>
      <c r="O55" s="11" t="n">
        <f aca="false">M55/3600/N55</f>
        <v>2.08333333333333</v>
      </c>
      <c r="P55" s="4" t="str">
        <f aca="false">IF(O55&lt;=Hypothèses!$B$3,"oui","NON")</f>
        <v>oui</v>
      </c>
      <c r="Q55" s="4" t="s">
        <v>49</v>
      </c>
      <c r="R55" s="4"/>
      <c r="S55" s="12" t="s">
        <v>190</v>
      </c>
    </row>
    <row r="56" customFormat="false" ht="15" hidden="false" customHeight="false" outlineLevel="0" collapsed="false">
      <c r="A56" s="4" t="s">
        <v>191</v>
      </c>
      <c r="B56" s="4" t="s">
        <v>8</v>
      </c>
      <c r="C56" s="4" t="s">
        <v>9</v>
      </c>
      <c r="D56" s="4" t="s">
        <v>91</v>
      </c>
      <c r="E56" s="4" t="s">
        <v>134</v>
      </c>
      <c r="F56" s="4" t="s">
        <v>143</v>
      </c>
      <c r="G56" s="4" t="s">
        <v>136</v>
      </c>
      <c r="H56" s="4" t="s">
        <v>137</v>
      </c>
      <c r="I56" s="4" t="s">
        <v>138</v>
      </c>
      <c r="J56" s="4" t="s">
        <v>48</v>
      </c>
      <c r="K56" s="4" t="n">
        <v>200</v>
      </c>
      <c r="L56" s="4" t="n">
        <v>60</v>
      </c>
      <c r="M56" s="9" t="n">
        <v>90</v>
      </c>
      <c r="N56" s="10" t="n">
        <f aca="false">K56*L56/1000000</f>
        <v>0.012</v>
      </c>
      <c r="O56" s="11" t="n">
        <f aca="false">M56/3600/N56</f>
        <v>2.08333333333333</v>
      </c>
      <c r="P56" s="4" t="str">
        <f aca="false">IF(O56&lt;=Hypothèses!$B$3,"oui","NON")</f>
        <v>oui</v>
      </c>
      <c r="Q56" s="4" t="s">
        <v>49</v>
      </c>
      <c r="R56" s="4"/>
      <c r="S56" s="12" t="s">
        <v>192</v>
      </c>
    </row>
    <row r="57" customFormat="false" ht="15" hidden="false" customHeight="false" outlineLevel="0" collapsed="false">
      <c r="A57" s="4" t="s">
        <v>193</v>
      </c>
      <c r="B57" s="4" t="s">
        <v>8</v>
      </c>
      <c r="C57" s="4" t="s">
        <v>9</v>
      </c>
      <c r="D57" s="4" t="s">
        <v>91</v>
      </c>
      <c r="E57" s="4" t="s">
        <v>134</v>
      </c>
      <c r="F57" s="4" t="s">
        <v>143</v>
      </c>
      <c r="G57" s="4" t="s">
        <v>136</v>
      </c>
      <c r="H57" s="4" t="s">
        <v>137</v>
      </c>
      <c r="I57" s="4" t="s">
        <v>138</v>
      </c>
      <c r="J57" s="4" t="s">
        <v>48</v>
      </c>
      <c r="K57" s="4" t="n">
        <v>200</v>
      </c>
      <c r="L57" s="4" t="n">
        <v>60</v>
      </c>
      <c r="M57" s="9" t="n">
        <v>90</v>
      </c>
      <c r="N57" s="10" t="n">
        <f aca="false">K57*L57/1000000</f>
        <v>0.012</v>
      </c>
      <c r="O57" s="11" t="n">
        <f aca="false">M57/3600/N57</f>
        <v>2.08333333333333</v>
      </c>
      <c r="P57" s="4" t="str">
        <f aca="false">IF(O57&lt;=Hypothèses!$B$3,"oui","NON")</f>
        <v>oui</v>
      </c>
      <c r="Q57" s="4" t="s">
        <v>49</v>
      </c>
      <c r="R57" s="4"/>
      <c r="S57" s="12" t="s">
        <v>194</v>
      </c>
    </row>
    <row r="58" customFormat="false" ht="15" hidden="false" customHeight="false" outlineLevel="0" collapsed="false">
      <c r="A58" s="4" t="s">
        <v>195</v>
      </c>
      <c r="B58" s="4" t="s">
        <v>11</v>
      </c>
      <c r="C58" s="4" t="s">
        <v>10</v>
      </c>
      <c r="D58" s="4" t="s">
        <v>42</v>
      </c>
      <c r="E58" s="4" t="s">
        <v>196</v>
      </c>
      <c r="F58" s="4" t="s">
        <v>44</v>
      </c>
      <c r="G58" s="4" t="s">
        <v>45</v>
      </c>
      <c r="H58" s="4" t="s">
        <v>46</v>
      </c>
      <c r="I58" s="4" t="s">
        <v>47</v>
      </c>
      <c r="J58" s="4" t="s">
        <v>48</v>
      </c>
      <c r="K58" s="4" t="n">
        <v>200</v>
      </c>
      <c r="L58" s="4" t="n">
        <v>60</v>
      </c>
      <c r="M58" s="9" t="n">
        <v>90</v>
      </c>
      <c r="N58" s="10" t="n">
        <f aca="false">K58*L58/1000000</f>
        <v>0.012</v>
      </c>
      <c r="O58" s="11" t="n">
        <f aca="false">M58/3600/N58</f>
        <v>2.08333333333333</v>
      </c>
      <c r="P58" s="4" t="str">
        <f aca="false">IF(O58&lt;=Hypothèses!$B$3,"oui","NON")</f>
        <v>oui</v>
      </c>
      <c r="Q58" s="4" t="s">
        <v>49</v>
      </c>
      <c r="R58" s="4"/>
      <c r="S58" s="12" t="s">
        <v>197</v>
      </c>
    </row>
    <row r="59" customFormat="false" ht="15" hidden="false" customHeight="false" outlineLevel="0" collapsed="false">
      <c r="A59" s="4" t="s">
        <v>198</v>
      </c>
      <c r="B59" s="4" t="s">
        <v>11</v>
      </c>
      <c r="C59" s="4" t="s">
        <v>10</v>
      </c>
      <c r="D59" s="4" t="s">
        <v>42</v>
      </c>
      <c r="E59" s="4" t="s">
        <v>199</v>
      </c>
      <c r="F59" s="4" t="s">
        <v>44</v>
      </c>
      <c r="G59" s="4" t="s">
        <v>45</v>
      </c>
      <c r="H59" s="4" t="s">
        <v>46</v>
      </c>
      <c r="I59" s="4" t="s">
        <v>47</v>
      </c>
      <c r="J59" s="4" t="s">
        <v>48</v>
      </c>
      <c r="K59" s="4" t="n">
        <v>200</v>
      </c>
      <c r="L59" s="4" t="n">
        <v>60</v>
      </c>
      <c r="M59" s="9" t="n">
        <v>90</v>
      </c>
      <c r="N59" s="10" t="n">
        <f aca="false">K59*L59/1000000</f>
        <v>0.012</v>
      </c>
      <c r="O59" s="11" t="n">
        <f aca="false">M59/3600/N59</f>
        <v>2.08333333333333</v>
      </c>
      <c r="P59" s="4" t="str">
        <f aca="false">IF(O59&lt;=Hypothèses!$B$3,"oui","NON")</f>
        <v>oui</v>
      </c>
      <c r="Q59" s="4" t="s">
        <v>49</v>
      </c>
      <c r="R59" s="4"/>
      <c r="S59" s="12" t="s">
        <v>200</v>
      </c>
    </row>
    <row r="60" customFormat="false" ht="15" hidden="false" customHeight="false" outlineLevel="0" collapsed="false">
      <c r="A60" s="4" t="s">
        <v>201</v>
      </c>
      <c r="B60" s="4" t="s">
        <v>11</v>
      </c>
      <c r="C60" s="4" t="s">
        <v>10</v>
      </c>
      <c r="D60" s="4" t="s">
        <v>42</v>
      </c>
      <c r="E60" s="4" t="s">
        <v>202</v>
      </c>
      <c r="F60" s="4" t="s">
        <v>44</v>
      </c>
      <c r="G60" s="4" t="s">
        <v>45</v>
      </c>
      <c r="H60" s="4" t="s">
        <v>46</v>
      </c>
      <c r="I60" s="4" t="s">
        <v>47</v>
      </c>
      <c r="J60" s="4" t="s">
        <v>48</v>
      </c>
      <c r="K60" s="4" t="n">
        <v>200</v>
      </c>
      <c r="L60" s="4" t="n">
        <v>60</v>
      </c>
      <c r="M60" s="9" t="n">
        <v>90</v>
      </c>
      <c r="N60" s="10" t="n">
        <f aca="false">K60*L60/1000000</f>
        <v>0.012</v>
      </c>
      <c r="O60" s="11" t="n">
        <f aca="false">M60/3600/N60</f>
        <v>2.08333333333333</v>
      </c>
      <c r="P60" s="4" t="str">
        <f aca="false">IF(O60&lt;=Hypothèses!$B$3,"oui","NON")</f>
        <v>oui</v>
      </c>
      <c r="Q60" s="4" t="s">
        <v>49</v>
      </c>
      <c r="R60" s="4"/>
      <c r="S60" s="12" t="s">
        <v>203</v>
      </c>
    </row>
    <row r="61" customFormat="false" ht="15" hidden="false" customHeight="false" outlineLevel="0" collapsed="false">
      <c r="A61" s="4" t="s">
        <v>204</v>
      </c>
      <c r="B61" s="4" t="s">
        <v>11</v>
      </c>
      <c r="C61" s="4" t="s">
        <v>10</v>
      </c>
      <c r="D61" s="4" t="s">
        <v>42</v>
      </c>
      <c r="E61" s="4" t="s">
        <v>205</v>
      </c>
      <c r="F61" s="4" t="s">
        <v>44</v>
      </c>
      <c r="G61" s="4" t="s">
        <v>45</v>
      </c>
      <c r="H61" s="4" t="s">
        <v>46</v>
      </c>
      <c r="I61" s="4" t="s">
        <v>47</v>
      </c>
      <c r="J61" s="4" t="s">
        <v>48</v>
      </c>
      <c r="K61" s="4" t="n">
        <v>200</v>
      </c>
      <c r="L61" s="4" t="n">
        <v>60</v>
      </c>
      <c r="M61" s="9" t="n">
        <v>90</v>
      </c>
      <c r="N61" s="10" t="n">
        <f aca="false">K61*L61/1000000</f>
        <v>0.012</v>
      </c>
      <c r="O61" s="11" t="n">
        <f aca="false">M61/3600/N61</f>
        <v>2.08333333333333</v>
      </c>
      <c r="P61" s="4" t="str">
        <f aca="false">IF(O61&lt;=Hypothèses!$B$3,"oui","NON")</f>
        <v>oui</v>
      </c>
      <c r="Q61" s="4" t="s">
        <v>49</v>
      </c>
      <c r="R61" s="4"/>
      <c r="S61" s="12" t="s">
        <v>206</v>
      </c>
    </row>
    <row r="62" customFormat="false" ht="15" hidden="false" customHeight="false" outlineLevel="0" collapsed="false">
      <c r="A62" s="4" t="s">
        <v>207</v>
      </c>
      <c r="B62" s="4" t="s">
        <v>11</v>
      </c>
      <c r="C62" s="4" t="s">
        <v>10</v>
      </c>
      <c r="D62" s="4" t="s">
        <v>42</v>
      </c>
      <c r="E62" s="4" t="s">
        <v>208</v>
      </c>
      <c r="F62" s="4" t="s">
        <v>44</v>
      </c>
      <c r="G62" s="4" t="s">
        <v>45</v>
      </c>
      <c r="H62" s="4" t="s">
        <v>46</v>
      </c>
      <c r="I62" s="4" t="s">
        <v>47</v>
      </c>
      <c r="J62" s="4" t="s">
        <v>48</v>
      </c>
      <c r="K62" s="4" t="n">
        <v>200</v>
      </c>
      <c r="L62" s="4" t="n">
        <v>60</v>
      </c>
      <c r="M62" s="9" t="n">
        <v>90</v>
      </c>
      <c r="N62" s="10" t="n">
        <f aca="false">K62*L62/1000000</f>
        <v>0.012</v>
      </c>
      <c r="O62" s="11" t="n">
        <f aca="false">M62/3600/N62</f>
        <v>2.08333333333333</v>
      </c>
      <c r="P62" s="4" t="str">
        <f aca="false">IF(O62&lt;=Hypothèses!$B$3,"oui","NON")</f>
        <v>oui</v>
      </c>
      <c r="Q62" s="4" t="s">
        <v>49</v>
      </c>
      <c r="R62" s="4"/>
      <c r="S62" s="12" t="s">
        <v>209</v>
      </c>
    </row>
    <row r="63" customFormat="false" ht="15" hidden="false" customHeight="false" outlineLevel="0" collapsed="false">
      <c r="A63" s="4" t="s">
        <v>210</v>
      </c>
      <c r="B63" s="4" t="s">
        <v>11</v>
      </c>
      <c r="C63" s="4" t="s">
        <v>10</v>
      </c>
      <c r="D63" s="4" t="s">
        <v>42</v>
      </c>
      <c r="E63" s="4" t="s">
        <v>211</v>
      </c>
      <c r="F63" s="4" t="s">
        <v>44</v>
      </c>
      <c r="G63" s="4" t="s">
        <v>45</v>
      </c>
      <c r="H63" s="4" t="s">
        <v>46</v>
      </c>
      <c r="I63" s="4" t="s">
        <v>47</v>
      </c>
      <c r="J63" s="4" t="s">
        <v>48</v>
      </c>
      <c r="K63" s="4" t="n">
        <v>200</v>
      </c>
      <c r="L63" s="4" t="n">
        <v>60</v>
      </c>
      <c r="M63" s="9" t="n">
        <v>90</v>
      </c>
      <c r="N63" s="10" t="n">
        <f aca="false">K63*L63/1000000</f>
        <v>0.012</v>
      </c>
      <c r="O63" s="11" t="n">
        <f aca="false">M63/3600/N63</f>
        <v>2.08333333333333</v>
      </c>
      <c r="P63" s="4" t="str">
        <f aca="false">IF(O63&lt;=Hypothèses!$B$3,"oui","NON")</f>
        <v>oui</v>
      </c>
      <c r="Q63" s="4" t="s">
        <v>49</v>
      </c>
      <c r="R63" s="4"/>
      <c r="S63" s="12" t="s">
        <v>212</v>
      </c>
    </row>
    <row r="64" customFormat="false" ht="15" hidden="false" customHeight="false" outlineLevel="0" collapsed="false">
      <c r="A64" s="4" t="s">
        <v>213</v>
      </c>
      <c r="B64" s="4" t="s">
        <v>11</v>
      </c>
      <c r="C64" s="4" t="s">
        <v>10</v>
      </c>
      <c r="D64" s="4" t="s">
        <v>42</v>
      </c>
      <c r="E64" s="4" t="s">
        <v>214</v>
      </c>
      <c r="F64" s="4" t="s">
        <v>44</v>
      </c>
      <c r="G64" s="4" t="s">
        <v>45</v>
      </c>
      <c r="H64" s="4" t="s">
        <v>46</v>
      </c>
      <c r="I64" s="4" t="s">
        <v>47</v>
      </c>
      <c r="J64" s="4" t="s">
        <v>48</v>
      </c>
      <c r="K64" s="4" t="n">
        <v>200</v>
      </c>
      <c r="L64" s="4" t="n">
        <v>60</v>
      </c>
      <c r="M64" s="9" t="n">
        <v>90</v>
      </c>
      <c r="N64" s="10" t="n">
        <f aca="false">K64*L64/1000000</f>
        <v>0.012</v>
      </c>
      <c r="O64" s="11" t="n">
        <f aca="false">M64/3600/N64</f>
        <v>2.08333333333333</v>
      </c>
      <c r="P64" s="4" t="str">
        <f aca="false">IF(O64&lt;=Hypothèses!$B$3,"oui","NON")</f>
        <v>oui</v>
      </c>
      <c r="Q64" s="4" t="s">
        <v>49</v>
      </c>
      <c r="R64" s="4"/>
      <c r="S64" s="12" t="s">
        <v>215</v>
      </c>
    </row>
    <row r="65" customFormat="false" ht="15" hidden="false" customHeight="false" outlineLevel="0" collapsed="false">
      <c r="A65" s="4" t="s">
        <v>216</v>
      </c>
      <c r="B65" s="4" t="s">
        <v>11</v>
      </c>
      <c r="C65" s="4" t="s">
        <v>10</v>
      </c>
      <c r="D65" s="4" t="s">
        <v>42</v>
      </c>
      <c r="E65" s="4" t="s">
        <v>217</v>
      </c>
      <c r="F65" s="4" t="s">
        <v>44</v>
      </c>
      <c r="G65" s="4" t="s">
        <v>45</v>
      </c>
      <c r="H65" s="4" t="s">
        <v>46</v>
      </c>
      <c r="I65" s="4" t="s">
        <v>47</v>
      </c>
      <c r="J65" s="4" t="s">
        <v>48</v>
      </c>
      <c r="K65" s="4" t="n">
        <v>200</v>
      </c>
      <c r="L65" s="4" t="n">
        <v>60</v>
      </c>
      <c r="M65" s="9" t="n">
        <v>90</v>
      </c>
      <c r="N65" s="10" t="n">
        <f aca="false">K65*L65/1000000</f>
        <v>0.012</v>
      </c>
      <c r="O65" s="11" t="n">
        <f aca="false">M65/3600/N65</f>
        <v>2.08333333333333</v>
      </c>
      <c r="P65" s="4" t="str">
        <f aca="false">IF(O65&lt;=Hypothèses!$B$3,"oui","NON")</f>
        <v>oui</v>
      </c>
      <c r="Q65" s="4" t="s">
        <v>49</v>
      </c>
      <c r="R65" s="4"/>
      <c r="S65" s="12" t="s">
        <v>218</v>
      </c>
    </row>
    <row r="66" customFormat="false" ht="15" hidden="false" customHeight="false" outlineLevel="0" collapsed="false">
      <c r="A66" s="4" t="s">
        <v>219</v>
      </c>
      <c r="B66" s="4" t="s">
        <v>11</v>
      </c>
      <c r="C66" s="4" t="s">
        <v>10</v>
      </c>
      <c r="D66" s="4" t="s">
        <v>42</v>
      </c>
      <c r="E66" s="4" t="s">
        <v>220</v>
      </c>
      <c r="F66" s="4" t="s">
        <v>44</v>
      </c>
      <c r="G66" s="4" t="s">
        <v>45</v>
      </c>
      <c r="H66" s="4" t="s">
        <v>46</v>
      </c>
      <c r="I66" s="4" t="s">
        <v>47</v>
      </c>
      <c r="J66" s="4" t="s">
        <v>48</v>
      </c>
      <c r="K66" s="4" t="n">
        <v>200</v>
      </c>
      <c r="L66" s="4" t="n">
        <v>60</v>
      </c>
      <c r="M66" s="9" t="n">
        <v>90</v>
      </c>
      <c r="N66" s="10" t="n">
        <f aca="false">K66*L66/1000000</f>
        <v>0.012</v>
      </c>
      <c r="O66" s="11" t="n">
        <f aca="false">M66/3600/N66</f>
        <v>2.08333333333333</v>
      </c>
      <c r="P66" s="4" t="str">
        <f aca="false">IF(O66&lt;=Hypothèses!$B$3,"oui","NON")</f>
        <v>oui</v>
      </c>
      <c r="Q66" s="4" t="s">
        <v>49</v>
      </c>
      <c r="R66" s="4"/>
      <c r="S66" s="12" t="s">
        <v>221</v>
      </c>
    </row>
    <row r="67" customFormat="false" ht="15" hidden="false" customHeight="false" outlineLevel="0" collapsed="false">
      <c r="A67" s="4" t="s">
        <v>222</v>
      </c>
      <c r="B67" s="4" t="s">
        <v>11</v>
      </c>
      <c r="C67" s="4" t="s">
        <v>10</v>
      </c>
      <c r="D67" s="4" t="s">
        <v>42</v>
      </c>
      <c r="E67" s="4" t="s">
        <v>223</v>
      </c>
      <c r="F67" s="4" t="s">
        <v>44</v>
      </c>
      <c r="G67" s="4" t="s">
        <v>45</v>
      </c>
      <c r="H67" s="4" t="s">
        <v>46</v>
      </c>
      <c r="I67" s="4" t="s">
        <v>47</v>
      </c>
      <c r="J67" s="4" t="s">
        <v>48</v>
      </c>
      <c r="K67" s="4" t="n">
        <v>200</v>
      </c>
      <c r="L67" s="4" t="n">
        <v>60</v>
      </c>
      <c r="M67" s="9" t="n">
        <v>90</v>
      </c>
      <c r="N67" s="10" t="n">
        <f aca="false">K67*L67/1000000</f>
        <v>0.012</v>
      </c>
      <c r="O67" s="11" t="n">
        <f aca="false">M67/3600/N67</f>
        <v>2.08333333333333</v>
      </c>
      <c r="P67" s="4" t="str">
        <f aca="false">IF(O67&lt;=Hypothèses!$B$3,"oui","NON")</f>
        <v>oui</v>
      </c>
      <c r="Q67" s="4" t="s">
        <v>49</v>
      </c>
      <c r="R67" s="4"/>
      <c r="S67" s="12" t="s">
        <v>224</v>
      </c>
    </row>
    <row r="68" customFormat="false" ht="15" hidden="false" customHeight="false" outlineLevel="0" collapsed="false">
      <c r="A68" s="4" t="s">
        <v>225</v>
      </c>
      <c r="B68" s="4" t="s">
        <v>11</v>
      </c>
      <c r="C68" s="4" t="s">
        <v>10</v>
      </c>
      <c r="D68" s="4" t="s">
        <v>42</v>
      </c>
      <c r="E68" s="4" t="s">
        <v>226</v>
      </c>
      <c r="F68" s="4" t="s">
        <v>44</v>
      </c>
      <c r="G68" s="4" t="s">
        <v>45</v>
      </c>
      <c r="H68" s="4" t="s">
        <v>46</v>
      </c>
      <c r="I68" s="4" t="s">
        <v>47</v>
      </c>
      <c r="J68" s="4" t="s">
        <v>48</v>
      </c>
      <c r="K68" s="4" t="n">
        <v>200</v>
      </c>
      <c r="L68" s="4" t="n">
        <v>60</v>
      </c>
      <c r="M68" s="9" t="n">
        <v>90</v>
      </c>
      <c r="N68" s="10" t="n">
        <f aca="false">K68*L68/1000000</f>
        <v>0.012</v>
      </c>
      <c r="O68" s="11" t="n">
        <f aca="false">M68/3600/N68</f>
        <v>2.08333333333333</v>
      </c>
      <c r="P68" s="4" t="str">
        <f aca="false">IF(O68&lt;=Hypothèses!$B$3,"oui","NON")</f>
        <v>oui</v>
      </c>
      <c r="Q68" s="4" t="s">
        <v>49</v>
      </c>
      <c r="R68" s="4"/>
      <c r="S68" s="12" t="s">
        <v>227</v>
      </c>
    </row>
    <row r="69" customFormat="false" ht="15" hidden="false" customHeight="false" outlineLevel="0" collapsed="false">
      <c r="A69" s="4" t="s">
        <v>228</v>
      </c>
      <c r="B69" s="4" t="s">
        <v>11</v>
      </c>
      <c r="C69" s="4" t="s">
        <v>10</v>
      </c>
      <c r="D69" s="4" t="s">
        <v>42</v>
      </c>
      <c r="E69" s="4" t="s">
        <v>229</v>
      </c>
      <c r="F69" s="4" t="s">
        <v>44</v>
      </c>
      <c r="G69" s="4" t="s">
        <v>45</v>
      </c>
      <c r="H69" s="4" t="s">
        <v>46</v>
      </c>
      <c r="I69" s="4" t="s">
        <v>47</v>
      </c>
      <c r="J69" s="4" t="s">
        <v>48</v>
      </c>
      <c r="K69" s="4" t="n">
        <v>200</v>
      </c>
      <c r="L69" s="4" t="n">
        <v>60</v>
      </c>
      <c r="M69" s="9" t="n">
        <v>90</v>
      </c>
      <c r="N69" s="10" t="n">
        <f aca="false">K69*L69/1000000</f>
        <v>0.012</v>
      </c>
      <c r="O69" s="11" t="n">
        <f aca="false">M69/3600/N69</f>
        <v>2.08333333333333</v>
      </c>
      <c r="P69" s="4" t="str">
        <f aca="false">IF(O69&lt;=Hypothèses!$B$3,"oui","NON")</f>
        <v>oui</v>
      </c>
      <c r="Q69" s="4" t="s">
        <v>49</v>
      </c>
      <c r="R69" s="4"/>
      <c r="S69" s="12" t="s">
        <v>230</v>
      </c>
    </row>
    <row r="70" customFormat="false" ht="15" hidden="false" customHeight="false" outlineLevel="0" collapsed="false">
      <c r="A70" s="4" t="s">
        <v>231</v>
      </c>
      <c r="B70" s="4" t="s">
        <v>11</v>
      </c>
      <c r="C70" s="4" t="s">
        <v>10</v>
      </c>
      <c r="D70" s="4" t="s">
        <v>42</v>
      </c>
      <c r="E70" s="4" t="s">
        <v>232</v>
      </c>
      <c r="F70" s="4" t="s">
        <v>44</v>
      </c>
      <c r="G70" s="4" t="s">
        <v>45</v>
      </c>
      <c r="H70" s="4" t="s">
        <v>46</v>
      </c>
      <c r="I70" s="4" t="s">
        <v>47</v>
      </c>
      <c r="J70" s="4" t="s">
        <v>48</v>
      </c>
      <c r="K70" s="4" t="n">
        <v>200</v>
      </c>
      <c r="L70" s="4" t="n">
        <v>60</v>
      </c>
      <c r="M70" s="9" t="n">
        <v>90</v>
      </c>
      <c r="N70" s="10" t="n">
        <f aca="false">K70*L70/1000000</f>
        <v>0.012</v>
      </c>
      <c r="O70" s="11" t="n">
        <f aca="false">M70/3600/N70</f>
        <v>2.08333333333333</v>
      </c>
      <c r="P70" s="4" t="str">
        <f aca="false">IF(O70&lt;=Hypothèses!$B$3,"oui","NON")</f>
        <v>oui</v>
      </c>
      <c r="Q70" s="4" t="s">
        <v>49</v>
      </c>
      <c r="R70" s="4"/>
      <c r="S70" s="12" t="s">
        <v>233</v>
      </c>
    </row>
    <row r="71" customFormat="false" ht="15" hidden="false" customHeight="false" outlineLevel="0" collapsed="false">
      <c r="A71" s="4" t="s">
        <v>234</v>
      </c>
      <c r="B71" s="4" t="s">
        <v>11</v>
      </c>
      <c r="C71" s="4" t="s">
        <v>10</v>
      </c>
      <c r="D71" s="4" t="s">
        <v>42</v>
      </c>
      <c r="E71" s="4" t="s">
        <v>235</v>
      </c>
      <c r="F71" s="4" t="s">
        <v>44</v>
      </c>
      <c r="G71" s="4" t="s">
        <v>45</v>
      </c>
      <c r="H71" s="4" t="s">
        <v>46</v>
      </c>
      <c r="I71" s="4" t="s">
        <v>47</v>
      </c>
      <c r="J71" s="4" t="s">
        <v>48</v>
      </c>
      <c r="K71" s="4" t="n">
        <v>200</v>
      </c>
      <c r="L71" s="4" t="n">
        <v>60</v>
      </c>
      <c r="M71" s="9" t="n">
        <v>90</v>
      </c>
      <c r="N71" s="10" t="n">
        <f aca="false">K71*L71/1000000</f>
        <v>0.012</v>
      </c>
      <c r="O71" s="11" t="n">
        <f aca="false">M71/3600/N71</f>
        <v>2.08333333333333</v>
      </c>
      <c r="P71" s="4" t="str">
        <f aca="false">IF(O71&lt;=Hypothèses!$B$3,"oui","NON")</f>
        <v>oui</v>
      </c>
      <c r="Q71" s="4" t="s">
        <v>49</v>
      </c>
      <c r="R71" s="4"/>
      <c r="S71" s="12" t="s">
        <v>236</v>
      </c>
    </row>
    <row r="72" customFormat="false" ht="15" hidden="false" customHeight="false" outlineLevel="0" collapsed="false">
      <c r="A72" s="4" t="s">
        <v>237</v>
      </c>
      <c r="B72" s="4" t="s">
        <v>11</v>
      </c>
      <c r="C72" s="4" t="s">
        <v>10</v>
      </c>
      <c r="D72" s="4" t="s">
        <v>91</v>
      </c>
      <c r="E72" s="4" t="s">
        <v>238</v>
      </c>
      <c r="F72" s="4" t="s">
        <v>44</v>
      </c>
      <c r="G72" s="4" t="s">
        <v>45</v>
      </c>
      <c r="H72" s="4" t="s">
        <v>46</v>
      </c>
      <c r="I72" s="4" t="s">
        <v>47</v>
      </c>
      <c r="J72" s="4" t="s">
        <v>48</v>
      </c>
      <c r="K72" s="4" t="n">
        <v>200</v>
      </c>
      <c r="L72" s="4" t="n">
        <v>60</v>
      </c>
      <c r="M72" s="9" t="n">
        <v>90</v>
      </c>
      <c r="N72" s="10" t="n">
        <f aca="false">K72*L72/1000000</f>
        <v>0.012</v>
      </c>
      <c r="O72" s="11" t="n">
        <f aca="false">M72/3600/N72</f>
        <v>2.08333333333333</v>
      </c>
      <c r="P72" s="4" t="str">
        <f aca="false">IF(O72&lt;=Hypothèses!$B$3,"oui","NON")</f>
        <v>oui</v>
      </c>
      <c r="Q72" s="4" t="s">
        <v>49</v>
      </c>
      <c r="R72" s="4"/>
      <c r="S72" s="12" t="s">
        <v>239</v>
      </c>
    </row>
    <row r="73" customFormat="false" ht="15" hidden="false" customHeight="false" outlineLevel="0" collapsed="false">
      <c r="A73" s="4" t="s">
        <v>240</v>
      </c>
      <c r="B73" s="4" t="s">
        <v>11</v>
      </c>
      <c r="C73" s="4" t="s">
        <v>10</v>
      </c>
      <c r="D73" s="4" t="s">
        <v>91</v>
      </c>
      <c r="E73" s="4" t="s">
        <v>241</v>
      </c>
      <c r="F73" s="4" t="s">
        <v>44</v>
      </c>
      <c r="G73" s="4" t="s">
        <v>45</v>
      </c>
      <c r="H73" s="4" t="s">
        <v>46</v>
      </c>
      <c r="I73" s="4" t="s">
        <v>47</v>
      </c>
      <c r="J73" s="4" t="s">
        <v>48</v>
      </c>
      <c r="K73" s="4" t="n">
        <v>200</v>
      </c>
      <c r="L73" s="4" t="n">
        <v>60</v>
      </c>
      <c r="M73" s="9" t="n">
        <v>90</v>
      </c>
      <c r="N73" s="10" t="n">
        <f aca="false">K73*L73/1000000</f>
        <v>0.012</v>
      </c>
      <c r="O73" s="11" t="n">
        <f aca="false">M73/3600/N73</f>
        <v>2.08333333333333</v>
      </c>
      <c r="P73" s="4" t="str">
        <f aca="false">IF(O73&lt;=Hypothèses!$B$3,"oui","NON")</f>
        <v>oui</v>
      </c>
      <c r="Q73" s="4" t="s">
        <v>49</v>
      </c>
      <c r="R73" s="4"/>
      <c r="S73" s="12" t="s">
        <v>242</v>
      </c>
    </row>
    <row r="74" customFormat="false" ht="15" hidden="false" customHeight="false" outlineLevel="0" collapsed="false">
      <c r="A74" s="4" t="s">
        <v>243</v>
      </c>
      <c r="B74" s="4" t="s">
        <v>11</v>
      </c>
      <c r="C74" s="4" t="s">
        <v>10</v>
      </c>
      <c r="D74" s="4" t="s">
        <v>91</v>
      </c>
      <c r="E74" s="4" t="s">
        <v>244</v>
      </c>
      <c r="F74" s="4" t="s">
        <v>44</v>
      </c>
      <c r="G74" s="4" t="s">
        <v>45</v>
      </c>
      <c r="H74" s="4" t="s">
        <v>46</v>
      </c>
      <c r="I74" s="4" t="s">
        <v>47</v>
      </c>
      <c r="J74" s="4" t="s">
        <v>48</v>
      </c>
      <c r="K74" s="4" t="n">
        <v>200</v>
      </c>
      <c r="L74" s="4" t="n">
        <v>60</v>
      </c>
      <c r="M74" s="9" t="n">
        <v>90</v>
      </c>
      <c r="N74" s="10" t="n">
        <f aca="false">K74*L74/1000000</f>
        <v>0.012</v>
      </c>
      <c r="O74" s="11" t="n">
        <f aca="false">M74/3600/N74</f>
        <v>2.08333333333333</v>
      </c>
      <c r="P74" s="4" t="str">
        <f aca="false">IF(O74&lt;=Hypothèses!$B$3,"oui","NON")</f>
        <v>oui</v>
      </c>
      <c r="Q74" s="4" t="s">
        <v>49</v>
      </c>
      <c r="R74" s="4"/>
      <c r="S74" s="12" t="s">
        <v>245</v>
      </c>
    </row>
    <row r="75" customFormat="false" ht="15" hidden="false" customHeight="false" outlineLevel="0" collapsed="false">
      <c r="A75" s="4" t="s">
        <v>246</v>
      </c>
      <c r="B75" s="4" t="s">
        <v>11</v>
      </c>
      <c r="C75" s="4" t="s">
        <v>10</v>
      </c>
      <c r="D75" s="4" t="s">
        <v>91</v>
      </c>
      <c r="E75" s="4" t="s">
        <v>247</v>
      </c>
      <c r="F75" s="4" t="s">
        <v>44</v>
      </c>
      <c r="G75" s="4" t="s">
        <v>45</v>
      </c>
      <c r="H75" s="4" t="s">
        <v>46</v>
      </c>
      <c r="I75" s="4" t="s">
        <v>47</v>
      </c>
      <c r="J75" s="4" t="s">
        <v>48</v>
      </c>
      <c r="K75" s="4" t="n">
        <v>200</v>
      </c>
      <c r="L75" s="4" t="n">
        <v>60</v>
      </c>
      <c r="M75" s="9" t="n">
        <v>90</v>
      </c>
      <c r="N75" s="10" t="n">
        <f aca="false">K75*L75/1000000</f>
        <v>0.012</v>
      </c>
      <c r="O75" s="11" t="n">
        <f aca="false">M75/3600/N75</f>
        <v>2.08333333333333</v>
      </c>
      <c r="P75" s="4" t="str">
        <f aca="false">IF(O75&lt;=Hypothèses!$B$3,"oui","NON")</f>
        <v>oui</v>
      </c>
      <c r="Q75" s="4" t="s">
        <v>49</v>
      </c>
      <c r="R75" s="4"/>
      <c r="S75" s="12" t="s">
        <v>248</v>
      </c>
    </row>
    <row r="76" customFormat="false" ht="15" hidden="false" customHeight="false" outlineLevel="0" collapsed="false">
      <c r="A76" s="4" t="s">
        <v>249</v>
      </c>
      <c r="B76" s="4" t="s">
        <v>11</v>
      </c>
      <c r="C76" s="4" t="s">
        <v>10</v>
      </c>
      <c r="D76" s="4" t="s">
        <v>91</v>
      </c>
      <c r="E76" s="4" t="s">
        <v>250</v>
      </c>
      <c r="F76" s="4" t="s">
        <v>44</v>
      </c>
      <c r="G76" s="4" t="s">
        <v>45</v>
      </c>
      <c r="H76" s="4" t="s">
        <v>46</v>
      </c>
      <c r="I76" s="4" t="s">
        <v>47</v>
      </c>
      <c r="J76" s="4" t="s">
        <v>48</v>
      </c>
      <c r="K76" s="4" t="n">
        <v>200</v>
      </c>
      <c r="L76" s="4" t="n">
        <v>60</v>
      </c>
      <c r="M76" s="9" t="n">
        <v>90</v>
      </c>
      <c r="N76" s="10" t="n">
        <f aca="false">K76*L76/1000000</f>
        <v>0.012</v>
      </c>
      <c r="O76" s="11" t="n">
        <f aca="false">M76/3600/N76</f>
        <v>2.08333333333333</v>
      </c>
      <c r="P76" s="4" t="str">
        <f aca="false">IF(O76&lt;=Hypothèses!$B$3,"oui","NON")</f>
        <v>oui</v>
      </c>
      <c r="Q76" s="4" t="s">
        <v>49</v>
      </c>
      <c r="R76" s="4"/>
      <c r="S76" s="12" t="s">
        <v>251</v>
      </c>
    </row>
    <row r="77" customFormat="false" ht="15" hidden="false" customHeight="false" outlineLevel="0" collapsed="false">
      <c r="A77" s="4" t="s">
        <v>252</v>
      </c>
      <c r="B77" s="4" t="s">
        <v>11</v>
      </c>
      <c r="C77" s="4" t="s">
        <v>10</v>
      </c>
      <c r="D77" s="4" t="s">
        <v>91</v>
      </c>
      <c r="E77" s="4" t="s">
        <v>253</v>
      </c>
      <c r="F77" s="4" t="s">
        <v>44</v>
      </c>
      <c r="G77" s="4" t="s">
        <v>45</v>
      </c>
      <c r="H77" s="4" t="s">
        <v>46</v>
      </c>
      <c r="I77" s="4" t="s">
        <v>47</v>
      </c>
      <c r="J77" s="4" t="s">
        <v>48</v>
      </c>
      <c r="K77" s="4" t="n">
        <v>200</v>
      </c>
      <c r="L77" s="4" t="n">
        <v>60</v>
      </c>
      <c r="M77" s="9" t="n">
        <v>90</v>
      </c>
      <c r="N77" s="10" t="n">
        <f aca="false">K77*L77/1000000</f>
        <v>0.012</v>
      </c>
      <c r="O77" s="11" t="n">
        <f aca="false">M77/3600/N77</f>
        <v>2.08333333333333</v>
      </c>
      <c r="P77" s="4" t="str">
        <f aca="false">IF(O77&lt;=Hypothèses!$B$3,"oui","NON")</f>
        <v>oui</v>
      </c>
      <c r="Q77" s="4" t="s">
        <v>49</v>
      </c>
      <c r="R77" s="4"/>
      <c r="S77" s="12" t="s">
        <v>254</v>
      </c>
    </row>
    <row r="78" customFormat="false" ht="15" hidden="false" customHeight="false" outlineLevel="0" collapsed="false">
      <c r="A78" s="4" t="s">
        <v>255</v>
      </c>
      <c r="B78" s="4" t="s">
        <v>11</v>
      </c>
      <c r="C78" s="4" t="s">
        <v>10</v>
      </c>
      <c r="D78" s="4" t="s">
        <v>91</v>
      </c>
      <c r="E78" s="4" t="s">
        <v>256</v>
      </c>
      <c r="F78" s="4" t="s">
        <v>44</v>
      </c>
      <c r="G78" s="4" t="s">
        <v>45</v>
      </c>
      <c r="H78" s="4" t="s">
        <v>46</v>
      </c>
      <c r="I78" s="4" t="s">
        <v>47</v>
      </c>
      <c r="J78" s="4" t="s">
        <v>48</v>
      </c>
      <c r="K78" s="4" t="n">
        <v>200</v>
      </c>
      <c r="L78" s="4" t="n">
        <v>60</v>
      </c>
      <c r="M78" s="9" t="n">
        <v>90</v>
      </c>
      <c r="N78" s="10" t="n">
        <f aca="false">K78*L78/1000000</f>
        <v>0.012</v>
      </c>
      <c r="O78" s="11" t="n">
        <f aca="false">M78/3600/N78</f>
        <v>2.08333333333333</v>
      </c>
      <c r="P78" s="4" t="str">
        <f aca="false">IF(O78&lt;=Hypothèses!$B$3,"oui","NON")</f>
        <v>oui</v>
      </c>
      <c r="Q78" s="4" t="s">
        <v>49</v>
      </c>
      <c r="R78" s="4"/>
      <c r="S78" s="12" t="s">
        <v>257</v>
      </c>
    </row>
    <row r="79" customFormat="false" ht="15" hidden="false" customHeight="false" outlineLevel="0" collapsed="false">
      <c r="A79" s="4" t="s">
        <v>258</v>
      </c>
      <c r="B79" s="4" t="s">
        <v>11</v>
      </c>
      <c r="C79" s="4" t="s">
        <v>10</v>
      </c>
      <c r="D79" s="4" t="s">
        <v>91</v>
      </c>
      <c r="E79" s="4" t="s">
        <v>259</v>
      </c>
      <c r="F79" s="4" t="s">
        <v>44</v>
      </c>
      <c r="G79" s="4" t="s">
        <v>45</v>
      </c>
      <c r="H79" s="4" t="s">
        <v>46</v>
      </c>
      <c r="I79" s="4" t="s">
        <v>47</v>
      </c>
      <c r="J79" s="4" t="s">
        <v>48</v>
      </c>
      <c r="K79" s="4" t="n">
        <v>200</v>
      </c>
      <c r="L79" s="4" t="n">
        <v>60</v>
      </c>
      <c r="M79" s="9" t="n">
        <v>90</v>
      </c>
      <c r="N79" s="10" t="n">
        <f aca="false">K79*L79/1000000</f>
        <v>0.012</v>
      </c>
      <c r="O79" s="11" t="n">
        <f aca="false">M79/3600/N79</f>
        <v>2.08333333333333</v>
      </c>
      <c r="P79" s="4" t="str">
        <f aca="false">IF(O79&lt;=Hypothèses!$B$3,"oui","NON")</f>
        <v>oui</v>
      </c>
      <c r="Q79" s="4" t="s">
        <v>49</v>
      </c>
      <c r="R79" s="4"/>
      <c r="S79" s="12" t="s">
        <v>260</v>
      </c>
    </row>
    <row r="80" customFormat="false" ht="15" hidden="false" customHeight="false" outlineLevel="0" collapsed="false">
      <c r="A80" s="4" t="s">
        <v>261</v>
      </c>
      <c r="B80" s="4" t="s">
        <v>11</v>
      </c>
      <c r="C80" s="4" t="s">
        <v>10</v>
      </c>
      <c r="D80" s="4" t="s">
        <v>91</v>
      </c>
      <c r="E80" s="4" t="s">
        <v>262</v>
      </c>
      <c r="F80" s="4" t="s">
        <v>44</v>
      </c>
      <c r="G80" s="4" t="s">
        <v>45</v>
      </c>
      <c r="H80" s="4" t="s">
        <v>46</v>
      </c>
      <c r="I80" s="4" t="s">
        <v>47</v>
      </c>
      <c r="J80" s="4" t="s">
        <v>48</v>
      </c>
      <c r="K80" s="4" t="n">
        <v>200</v>
      </c>
      <c r="L80" s="4" t="n">
        <v>60</v>
      </c>
      <c r="M80" s="9" t="n">
        <v>90</v>
      </c>
      <c r="N80" s="10" t="n">
        <f aca="false">K80*L80/1000000</f>
        <v>0.012</v>
      </c>
      <c r="O80" s="11" t="n">
        <f aca="false">M80/3600/N80</f>
        <v>2.08333333333333</v>
      </c>
      <c r="P80" s="4" t="str">
        <f aca="false">IF(O80&lt;=Hypothèses!$B$3,"oui","NON")</f>
        <v>oui</v>
      </c>
      <c r="Q80" s="4" t="s">
        <v>49</v>
      </c>
      <c r="R80" s="4"/>
      <c r="S80" s="12" t="s">
        <v>263</v>
      </c>
    </row>
    <row r="81" customFormat="false" ht="15" hidden="false" customHeight="false" outlineLevel="0" collapsed="false">
      <c r="A81" s="4" t="s">
        <v>264</v>
      </c>
      <c r="B81" s="4" t="s">
        <v>11</v>
      </c>
      <c r="C81" s="4" t="s">
        <v>10</v>
      </c>
      <c r="D81" s="4" t="s">
        <v>91</v>
      </c>
      <c r="E81" s="4" t="s">
        <v>265</v>
      </c>
      <c r="F81" s="4" t="s">
        <v>44</v>
      </c>
      <c r="G81" s="4" t="s">
        <v>45</v>
      </c>
      <c r="H81" s="4" t="s">
        <v>46</v>
      </c>
      <c r="I81" s="4" t="s">
        <v>47</v>
      </c>
      <c r="J81" s="4" t="s">
        <v>48</v>
      </c>
      <c r="K81" s="4" t="n">
        <v>200</v>
      </c>
      <c r="L81" s="4" t="n">
        <v>60</v>
      </c>
      <c r="M81" s="9" t="n">
        <v>90</v>
      </c>
      <c r="N81" s="10" t="n">
        <f aca="false">K81*L81/1000000</f>
        <v>0.012</v>
      </c>
      <c r="O81" s="11" t="n">
        <f aca="false">M81/3600/N81</f>
        <v>2.08333333333333</v>
      </c>
      <c r="P81" s="4" t="str">
        <f aca="false">IF(O81&lt;=Hypothèses!$B$3,"oui","NON")</f>
        <v>oui</v>
      </c>
      <c r="Q81" s="4" t="s">
        <v>49</v>
      </c>
      <c r="R81" s="4"/>
      <c r="S81" s="12" t="s">
        <v>266</v>
      </c>
    </row>
    <row r="82" customFormat="false" ht="15" hidden="false" customHeight="false" outlineLevel="0" collapsed="false">
      <c r="A82" s="4" t="s">
        <v>267</v>
      </c>
      <c r="B82" s="4" t="s">
        <v>11</v>
      </c>
      <c r="C82" s="4" t="s">
        <v>10</v>
      </c>
      <c r="D82" s="4" t="s">
        <v>91</v>
      </c>
      <c r="E82" s="4" t="s">
        <v>268</v>
      </c>
      <c r="F82" s="4" t="s">
        <v>44</v>
      </c>
      <c r="G82" s="4" t="s">
        <v>45</v>
      </c>
      <c r="H82" s="4" t="s">
        <v>46</v>
      </c>
      <c r="I82" s="4" t="s">
        <v>47</v>
      </c>
      <c r="J82" s="4" t="s">
        <v>48</v>
      </c>
      <c r="K82" s="4" t="n">
        <v>200</v>
      </c>
      <c r="L82" s="4" t="n">
        <v>60</v>
      </c>
      <c r="M82" s="9" t="n">
        <v>90</v>
      </c>
      <c r="N82" s="10" t="n">
        <f aca="false">K82*L82/1000000</f>
        <v>0.012</v>
      </c>
      <c r="O82" s="11" t="n">
        <f aca="false">M82/3600/N82</f>
        <v>2.08333333333333</v>
      </c>
      <c r="P82" s="4" t="str">
        <f aca="false">IF(O82&lt;=Hypothèses!$B$3,"oui","NON")</f>
        <v>oui</v>
      </c>
      <c r="Q82" s="4" t="s">
        <v>49</v>
      </c>
      <c r="R82" s="4"/>
      <c r="S82" s="12" t="s">
        <v>269</v>
      </c>
    </row>
    <row r="83" customFormat="false" ht="15" hidden="false" customHeight="false" outlineLevel="0" collapsed="false">
      <c r="A83" s="4" t="s">
        <v>270</v>
      </c>
      <c r="B83" s="4" t="s">
        <v>11</v>
      </c>
      <c r="C83" s="4" t="s">
        <v>10</v>
      </c>
      <c r="D83" s="4" t="s">
        <v>91</v>
      </c>
      <c r="E83" s="4" t="s">
        <v>271</v>
      </c>
      <c r="F83" s="4" t="s">
        <v>44</v>
      </c>
      <c r="G83" s="4" t="s">
        <v>45</v>
      </c>
      <c r="H83" s="4" t="s">
        <v>46</v>
      </c>
      <c r="I83" s="4" t="s">
        <v>47</v>
      </c>
      <c r="J83" s="4" t="s">
        <v>48</v>
      </c>
      <c r="K83" s="4" t="n">
        <v>200</v>
      </c>
      <c r="L83" s="4" t="n">
        <v>60</v>
      </c>
      <c r="M83" s="9" t="n">
        <v>90</v>
      </c>
      <c r="N83" s="10" t="n">
        <f aca="false">K83*L83/1000000</f>
        <v>0.012</v>
      </c>
      <c r="O83" s="11" t="n">
        <f aca="false">M83/3600/N83</f>
        <v>2.08333333333333</v>
      </c>
      <c r="P83" s="4" t="str">
        <f aca="false">IF(O83&lt;=Hypothèses!$B$3,"oui","NON")</f>
        <v>oui</v>
      </c>
      <c r="Q83" s="4" t="s">
        <v>49</v>
      </c>
      <c r="R83" s="4"/>
      <c r="S83" s="12" t="s">
        <v>272</v>
      </c>
    </row>
    <row r="84" customFormat="false" ht="15" hidden="false" customHeight="false" outlineLevel="0" collapsed="false">
      <c r="A84" s="4" t="s">
        <v>273</v>
      </c>
      <c r="B84" s="4" t="s">
        <v>11</v>
      </c>
      <c r="C84" s="4" t="s">
        <v>10</v>
      </c>
      <c r="D84" s="4" t="s">
        <v>91</v>
      </c>
      <c r="E84" s="4" t="s">
        <v>274</v>
      </c>
      <c r="F84" s="4" t="s">
        <v>44</v>
      </c>
      <c r="G84" s="4" t="s">
        <v>45</v>
      </c>
      <c r="H84" s="4" t="s">
        <v>46</v>
      </c>
      <c r="I84" s="4" t="s">
        <v>47</v>
      </c>
      <c r="J84" s="4" t="s">
        <v>48</v>
      </c>
      <c r="K84" s="4" t="n">
        <v>200</v>
      </c>
      <c r="L84" s="4" t="n">
        <v>60</v>
      </c>
      <c r="M84" s="9" t="n">
        <v>90</v>
      </c>
      <c r="N84" s="10" t="n">
        <f aca="false">K84*L84/1000000</f>
        <v>0.012</v>
      </c>
      <c r="O84" s="11" t="n">
        <f aca="false">M84/3600/N84</f>
        <v>2.08333333333333</v>
      </c>
      <c r="P84" s="4" t="str">
        <f aca="false">IF(O84&lt;=Hypothèses!$B$3,"oui","NON")</f>
        <v>oui</v>
      </c>
      <c r="Q84" s="13" t="s">
        <v>275</v>
      </c>
      <c r="R84" s="13" t="s">
        <v>276</v>
      </c>
      <c r="S84" s="12" t="s">
        <v>277</v>
      </c>
    </row>
    <row r="85" customFormat="false" ht="15" hidden="false" customHeight="false" outlineLevel="0" collapsed="false">
      <c r="A85" s="4" t="s">
        <v>278</v>
      </c>
      <c r="B85" s="4" t="s">
        <v>11</v>
      </c>
      <c r="C85" s="4" t="s">
        <v>9</v>
      </c>
      <c r="D85" s="4" t="s">
        <v>42</v>
      </c>
      <c r="E85" s="4" t="s">
        <v>134</v>
      </c>
      <c r="F85" s="4" t="s">
        <v>279</v>
      </c>
      <c r="G85" s="4" t="s">
        <v>136</v>
      </c>
      <c r="H85" s="4" t="s">
        <v>137</v>
      </c>
      <c r="I85" s="4" t="s">
        <v>138</v>
      </c>
      <c r="J85" s="4" t="s">
        <v>48</v>
      </c>
      <c r="K85" s="4" t="n">
        <v>200</v>
      </c>
      <c r="L85" s="4" t="n">
        <v>60</v>
      </c>
      <c r="M85" s="9" t="n">
        <v>90</v>
      </c>
      <c r="N85" s="10" t="n">
        <f aca="false">K85*L85/1000000</f>
        <v>0.012</v>
      </c>
      <c r="O85" s="11" t="n">
        <f aca="false">M85/3600/N85</f>
        <v>2.08333333333333</v>
      </c>
      <c r="P85" s="4" t="str">
        <f aca="false">IF(O85&lt;=Hypothèses!$B$3,"oui","NON")</f>
        <v>oui</v>
      </c>
      <c r="Q85" s="4" t="s">
        <v>49</v>
      </c>
      <c r="R85" s="4"/>
      <c r="S85" s="12" t="s">
        <v>280</v>
      </c>
    </row>
    <row r="86" customFormat="false" ht="15" hidden="false" customHeight="false" outlineLevel="0" collapsed="false">
      <c r="A86" s="4" t="s">
        <v>281</v>
      </c>
      <c r="B86" s="4" t="s">
        <v>11</v>
      </c>
      <c r="C86" s="4" t="s">
        <v>9</v>
      </c>
      <c r="D86" s="4" t="s">
        <v>42</v>
      </c>
      <c r="E86" s="4" t="s">
        <v>134</v>
      </c>
      <c r="F86" s="4" t="s">
        <v>279</v>
      </c>
      <c r="G86" s="4" t="s">
        <v>136</v>
      </c>
      <c r="H86" s="4" t="s">
        <v>137</v>
      </c>
      <c r="I86" s="4" t="s">
        <v>138</v>
      </c>
      <c r="J86" s="4" t="s">
        <v>48</v>
      </c>
      <c r="K86" s="4" t="n">
        <v>200</v>
      </c>
      <c r="L86" s="4" t="n">
        <v>60</v>
      </c>
      <c r="M86" s="9" t="n">
        <v>90</v>
      </c>
      <c r="N86" s="10" t="n">
        <f aca="false">K86*L86/1000000</f>
        <v>0.012</v>
      </c>
      <c r="O86" s="11" t="n">
        <f aca="false">M86/3600/N86</f>
        <v>2.08333333333333</v>
      </c>
      <c r="P86" s="4" t="str">
        <f aca="false">IF(O86&lt;=Hypothèses!$B$3,"oui","NON")</f>
        <v>oui</v>
      </c>
      <c r="Q86" s="4" t="s">
        <v>49</v>
      </c>
      <c r="R86" s="4"/>
      <c r="S86" s="12" t="s">
        <v>282</v>
      </c>
    </row>
    <row r="87" customFormat="false" ht="15" hidden="false" customHeight="false" outlineLevel="0" collapsed="false">
      <c r="A87" s="4" t="s">
        <v>283</v>
      </c>
      <c r="B87" s="4" t="s">
        <v>11</v>
      </c>
      <c r="C87" s="4" t="s">
        <v>9</v>
      </c>
      <c r="D87" s="4" t="s">
        <v>42</v>
      </c>
      <c r="E87" s="4" t="s">
        <v>134</v>
      </c>
      <c r="F87" s="4" t="s">
        <v>279</v>
      </c>
      <c r="G87" s="4" t="s">
        <v>136</v>
      </c>
      <c r="H87" s="4" t="s">
        <v>137</v>
      </c>
      <c r="I87" s="4" t="s">
        <v>138</v>
      </c>
      <c r="J87" s="4" t="s">
        <v>48</v>
      </c>
      <c r="K87" s="4" t="n">
        <v>200</v>
      </c>
      <c r="L87" s="4" t="n">
        <v>60</v>
      </c>
      <c r="M87" s="9" t="n">
        <v>90</v>
      </c>
      <c r="N87" s="10" t="n">
        <f aca="false">K87*L87/1000000</f>
        <v>0.012</v>
      </c>
      <c r="O87" s="11" t="n">
        <f aca="false">M87/3600/N87</f>
        <v>2.08333333333333</v>
      </c>
      <c r="P87" s="4" t="str">
        <f aca="false">IF(O87&lt;=Hypothèses!$B$3,"oui","NON")</f>
        <v>oui</v>
      </c>
      <c r="Q87" s="4" t="s">
        <v>49</v>
      </c>
      <c r="R87" s="4"/>
      <c r="S87" s="12" t="s">
        <v>284</v>
      </c>
    </row>
    <row r="88" customFormat="false" ht="15" hidden="false" customHeight="false" outlineLevel="0" collapsed="false">
      <c r="A88" s="4" t="s">
        <v>285</v>
      </c>
      <c r="B88" s="4" t="s">
        <v>11</v>
      </c>
      <c r="C88" s="4" t="s">
        <v>9</v>
      </c>
      <c r="D88" s="4" t="s">
        <v>42</v>
      </c>
      <c r="E88" s="4" t="s">
        <v>134</v>
      </c>
      <c r="F88" s="4" t="s">
        <v>279</v>
      </c>
      <c r="G88" s="4" t="s">
        <v>136</v>
      </c>
      <c r="H88" s="4" t="s">
        <v>137</v>
      </c>
      <c r="I88" s="4" t="s">
        <v>138</v>
      </c>
      <c r="J88" s="4" t="s">
        <v>48</v>
      </c>
      <c r="K88" s="4" t="n">
        <v>200</v>
      </c>
      <c r="L88" s="4" t="n">
        <v>60</v>
      </c>
      <c r="M88" s="9" t="n">
        <v>90</v>
      </c>
      <c r="N88" s="10" t="n">
        <f aca="false">K88*L88/1000000</f>
        <v>0.012</v>
      </c>
      <c r="O88" s="11" t="n">
        <f aca="false">M88/3600/N88</f>
        <v>2.08333333333333</v>
      </c>
      <c r="P88" s="4" t="str">
        <f aca="false">IF(O88&lt;=Hypothèses!$B$3,"oui","NON")</f>
        <v>oui</v>
      </c>
      <c r="Q88" s="4" t="s">
        <v>49</v>
      </c>
      <c r="R88" s="4"/>
      <c r="S88" s="12" t="s">
        <v>286</v>
      </c>
    </row>
    <row r="89" customFormat="false" ht="15" hidden="false" customHeight="false" outlineLevel="0" collapsed="false">
      <c r="A89" s="4" t="s">
        <v>287</v>
      </c>
      <c r="B89" s="4" t="s">
        <v>11</v>
      </c>
      <c r="C89" s="4" t="s">
        <v>9</v>
      </c>
      <c r="D89" s="4" t="s">
        <v>42</v>
      </c>
      <c r="E89" s="4" t="s">
        <v>134</v>
      </c>
      <c r="F89" s="4" t="s">
        <v>135</v>
      </c>
      <c r="G89" s="4" t="s">
        <v>136</v>
      </c>
      <c r="H89" s="4" t="s">
        <v>137</v>
      </c>
      <c r="I89" s="4" t="s">
        <v>138</v>
      </c>
      <c r="J89" s="4" t="s">
        <v>48</v>
      </c>
      <c r="K89" s="4" t="n">
        <v>200</v>
      </c>
      <c r="L89" s="4" t="n">
        <v>60</v>
      </c>
      <c r="M89" s="9" t="n">
        <v>90</v>
      </c>
      <c r="N89" s="10" t="n">
        <f aca="false">K89*L89/1000000</f>
        <v>0.012</v>
      </c>
      <c r="O89" s="11" t="n">
        <f aca="false">M89/3600/N89</f>
        <v>2.08333333333333</v>
      </c>
      <c r="P89" s="4" t="str">
        <f aca="false">IF(O89&lt;=Hypothèses!$B$3,"oui","NON")</f>
        <v>oui</v>
      </c>
      <c r="Q89" s="4" t="s">
        <v>49</v>
      </c>
      <c r="R89" s="4"/>
      <c r="S89" s="12" t="s">
        <v>288</v>
      </c>
    </row>
    <row r="90" customFormat="false" ht="15" hidden="false" customHeight="false" outlineLevel="0" collapsed="false">
      <c r="A90" s="4" t="s">
        <v>289</v>
      </c>
      <c r="B90" s="4" t="s">
        <v>11</v>
      </c>
      <c r="C90" s="4" t="s">
        <v>9</v>
      </c>
      <c r="D90" s="4" t="s">
        <v>42</v>
      </c>
      <c r="E90" s="4" t="s">
        <v>134</v>
      </c>
      <c r="F90" s="4" t="s">
        <v>135</v>
      </c>
      <c r="G90" s="4" t="s">
        <v>136</v>
      </c>
      <c r="H90" s="4" t="s">
        <v>137</v>
      </c>
      <c r="I90" s="4" t="s">
        <v>138</v>
      </c>
      <c r="J90" s="4" t="s">
        <v>48</v>
      </c>
      <c r="K90" s="4" t="n">
        <v>200</v>
      </c>
      <c r="L90" s="4" t="n">
        <v>60</v>
      </c>
      <c r="M90" s="9" t="n">
        <v>90</v>
      </c>
      <c r="N90" s="10" t="n">
        <f aca="false">K90*L90/1000000</f>
        <v>0.012</v>
      </c>
      <c r="O90" s="11" t="n">
        <f aca="false">M90/3600/N90</f>
        <v>2.08333333333333</v>
      </c>
      <c r="P90" s="4" t="str">
        <f aca="false">IF(O90&lt;=Hypothèses!$B$3,"oui","NON")</f>
        <v>oui</v>
      </c>
      <c r="Q90" s="4" t="s">
        <v>49</v>
      </c>
      <c r="R90" s="4"/>
      <c r="S90" s="12" t="s">
        <v>290</v>
      </c>
    </row>
    <row r="91" customFormat="false" ht="15" hidden="false" customHeight="false" outlineLevel="0" collapsed="false">
      <c r="A91" s="4" t="s">
        <v>291</v>
      </c>
      <c r="B91" s="4" t="s">
        <v>11</v>
      </c>
      <c r="C91" s="4" t="s">
        <v>9</v>
      </c>
      <c r="D91" s="4" t="s">
        <v>42</v>
      </c>
      <c r="E91" s="4" t="s">
        <v>134</v>
      </c>
      <c r="F91" s="4" t="s">
        <v>135</v>
      </c>
      <c r="G91" s="4" t="s">
        <v>136</v>
      </c>
      <c r="H91" s="4" t="s">
        <v>137</v>
      </c>
      <c r="I91" s="4" t="s">
        <v>138</v>
      </c>
      <c r="J91" s="4" t="s">
        <v>48</v>
      </c>
      <c r="K91" s="4" t="n">
        <v>200</v>
      </c>
      <c r="L91" s="4" t="n">
        <v>60</v>
      </c>
      <c r="M91" s="9" t="n">
        <v>90</v>
      </c>
      <c r="N91" s="10" t="n">
        <f aca="false">K91*L91/1000000</f>
        <v>0.012</v>
      </c>
      <c r="O91" s="11" t="n">
        <f aca="false">M91/3600/N91</f>
        <v>2.08333333333333</v>
      </c>
      <c r="P91" s="4" t="str">
        <f aca="false">IF(O91&lt;=Hypothèses!$B$3,"oui","NON")</f>
        <v>oui</v>
      </c>
      <c r="Q91" s="4" t="s">
        <v>49</v>
      </c>
      <c r="R91" s="4"/>
      <c r="S91" s="12" t="s">
        <v>292</v>
      </c>
    </row>
    <row r="92" customFormat="false" ht="15" hidden="false" customHeight="false" outlineLevel="0" collapsed="false">
      <c r="A92" s="4" t="s">
        <v>293</v>
      </c>
      <c r="B92" s="4" t="s">
        <v>11</v>
      </c>
      <c r="C92" s="4" t="s">
        <v>9</v>
      </c>
      <c r="D92" s="4" t="s">
        <v>42</v>
      </c>
      <c r="E92" s="4" t="s">
        <v>134</v>
      </c>
      <c r="F92" s="4" t="s">
        <v>135</v>
      </c>
      <c r="G92" s="4" t="s">
        <v>136</v>
      </c>
      <c r="H92" s="4" t="s">
        <v>137</v>
      </c>
      <c r="I92" s="4" t="s">
        <v>138</v>
      </c>
      <c r="J92" s="4" t="s">
        <v>48</v>
      </c>
      <c r="K92" s="4" t="n">
        <v>200</v>
      </c>
      <c r="L92" s="4" t="n">
        <v>60</v>
      </c>
      <c r="M92" s="9" t="n">
        <v>90</v>
      </c>
      <c r="N92" s="10" t="n">
        <f aca="false">K92*L92/1000000</f>
        <v>0.012</v>
      </c>
      <c r="O92" s="11" t="n">
        <f aca="false">M92/3600/N92</f>
        <v>2.08333333333333</v>
      </c>
      <c r="P92" s="4" t="str">
        <f aca="false">IF(O92&lt;=Hypothèses!$B$3,"oui","NON")</f>
        <v>oui</v>
      </c>
      <c r="Q92" s="4" t="s">
        <v>49</v>
      </c>
      <c r="R92" s="4"/>
      <c r="S92" s="12" t="s">
        <v>294</v>
      </c>
    </row>
    <row r="93" customFormat="false" ht="15" hidden="false" customHeight="false" outlineLevel="0" collapsed="false">
      <c r="A93" s="4" t="s">
        <v>295</v>
      </c>
      <c r="B93" s="4" t="s">
        <v>11</v>
      </c>
      <c r="C93" s="4" t="s">
        <v>9</v>
      </c>
      <c r="D93" s="4" t="s">
        <v>42</v>
      </c>
      <c r="E93" s="4" t="s">
        <v>134</v>
      </c>
      <c r="F93" s="4" t="s">
        <v>143</v>
      </c>
      <c r="G93" s="4" t="s">
        <v>136</v>
      </c>
      <c r="H93" s="4" t="s">
        <v>137</v>
      </c>
      <c r="I93" s="4" t="s">
        <v>138</v>
      </c>
      <c r="J93" s="4" t="s">
        <v>48</v>
      </c>
      <c r="K93" s="4" t="n">
        <v>200</v>
      </c>
      <c r="L93" s="4" t="n">
        <v>60</v>
      </c>
      <c r="M93" s="9" t="n">
        <v>90</v>
      </c>
      <c r="N93" s="10" t="n">
        <f aca="false">K93*L93/1000000</f>
        <v>0.012</v>
      </c>
      <c r="O93" s="11" t="n">
        <f aca="false">M93/3600/N93</f>
        <v>2.08333333333333</v>
      </c>
      <c r="P93" s="4" t="str">
        <f aca="false">IF(O93&lt;=Hypothèses!$B$3,"oui","NON")</f>
        <v>oui</v>
      </c>
      <c r="Q93" s="4" t="s">
        <v>49</v>
      </c>
      <c r="R93" s="4"/>
      <c r="S93" s="12" t="s">
        <v>296</v>
      </c>
    </row>
    <row r="94" customFormat="false" ht="15" hidden="false" customHeight="false" outlineLevel="0" collapsed="false">
      <c r="A94" s="4" t="s">
        <v>297</v>
      </c>
      <c r="B94" s="4" t="s">
        <v>11</v>
      </c>
      <c r="C94" s="4" t="s">
        <v>9</v>
      </c>
      <c r="D94" s="4" t="s">
        <v>42</v>
      </c>
      <c r="E94" s="4" t="s">
        <v>134</v>
      </c>
      <c r="F94" s="4" t="s">
        <v>143</v>
      </c>
      <c r="G94" s="4" t="s">
        <v>136</v>
      </c>
      <c r="H94" s="4" t="s">
        <v>137</v>
      </c>
      <c r="I94" s="4" t="s">
        <v>138</v>
      </c>
      <c r="J94" s="4" t="s">
        <v>48</v>
      </c>
      <c r="K94" s="4" t="n">
        <v>200</v>
      </c>
      <c r="L94" s="4" t="n">
        <v>60</v>
      </c>
      <c r="M94" s="9" t="n">
        <v>90</v>
      </c>
      <c r="N94" s="10" t="n">
        <f aca="false">K94*L94/1000000</f>
        <v>0.012</v>
      </c>
      <c r="O94" s="11" t="n">
        <f aca="false">M94/3600/N94</f>
        <v>2.08333333333333</v>
      </c>
      <c r="P94" s="4" t="str">
        <f aca="false">IF(O94&lt;=Hypothèses!$B$3,"oui","NON")</f>
        <v>oui</v>
      </c>
      <c r="Q94" s="4" t="s">
        <v>49</v>
      </c>
      <c r="R94" s="4"/>
      <c r="S94" s="12" t="s">
        <v>298</v>
      </c>
    </row>
    <row r="95" customFormat="false" ht="15" hidden="false" customHeight="false" outlineLevel="0" collapsed="false">
      <c r="A95" s="4" t="s">
        <v>299</v>
      </c>
      <c r="B95" s="4" t="s">
        <v>11</v>
      </c>
      <c r="C95" s="4" t="s">
        <v>9</v>
      </c>
      <c r="D95" s="4" t="s">
        <v>42</v>
      </c>
      <c r="E95" s="4" t="s">
        <v>134</v>
      </c>
      <c r="F95" s="4" t="s">
        <v>143</v>
      </c>
      <c r="G95" s="4" t="s">
        <v>136</v>
      </c>
      <c r="H95" s="4" t="s">
        <v>137</v>
      </c>
      <c r="I95" s="4" t="s">
        <v>138</v>
      </c>
      <c r="J95" s="4" t="s">
        <v>48</v>
      </c>
      <c r="K95" s="4" t="n">
        <v>200</v>
      </c>
      <c r="L95" s="4" t="n">
        <v>60</v>
      </c>
      <c r="M95" s="9" t="n">
        <v>90</v>
      </c>
      <c r="N95" s="10" t="n">
        <f aca="false">K95*L95/1000000</f>
        <v>0.012</v>
      </c>
      <c r="O95" s="11" t="n">
        <f aca="false">M95/3600/N95</f>
        <v>2.08333333333333</v>
      </c>
      <c r="P95" s="4" t="str">
        <f aca="false">IF(O95&lt;=Hypothèses!$B$3,"oui","NON")</f>
        <v>oui</v>
      </c>
      <c r="Q95" s="4" t="s">
        <v>49</v>
      </c>
      <c r="R95" s="4"/>
      <c r="S95" s="12" t="s">
        <v>300</v>
      </c>
    </row>
    <row r="96" customFormat="false" ht="15" hidden="false" customHeight="false" outlineLevel="0" collapsed="false">
      <c r="A96" s="4" t="s">
        <v>301</v>
      </c>
      <c r="B96" s="4" t="s">
        <v>11</v>
      </c>
      <c r="C96" s="4" t="s">
        <v>9</v>
      </c>
      <c r="D96" s="4" t="s">
        <v>42</v>
      </c>
      <c r="E96" s="4" t="s">
        <v>134</v>
      </c>
      <c r="F96" s="4" t="s">
        <v>143</v>
      </c>
      <c r="G96" s="4" t="s">
        <v>136</v>
      </c>
      <c r="H96" s="4" t="s">
        <v>137</v>
      </c>
      <c r="I96" s="4" t="s">
        <v>138</v>
      </c>
      <c r="J96" s="4" t="s">
        <v>48</v>
      </c>
      <c r="K96" s="4" t="n">
        <v>200</v>
      </c>
      <c r="L96" s="4" t="n">
        <v>60</v>
      </c>
      <c r="M96" s="9" t="n">
        <v>90</v>
      </c>
      <c r="N96" s="10" t="n">
        <f aca="false">K96*L96/1000000</f>
        <v>0.012</v>
      </c>
      <c r="O96" s="11" t="n">
        <f aca="false">M96/3600/N96</f>
        <v>2.08333333333333</v>
      </c>
      <c r="P96" s="4" t="str">
        <f aca="false">IF(O96&lt;=Hypothèses!$B$3,"oui","NON")</f>
        <v>oui</v>
      </c>
      <c r="Q96" s="4" t="s">
        <v>49</v>
      </c>
      <c r="R96" s="4"/>
      <c r="S96" s="12" t="s">
        <v>302</v>
      </c>
    </row>
    <row r="97" customFormat="false" ht="15" hidden="false" customHeight="false" outlineLevel="0" collapsed="false">
      <c r="A97" s="4" t="s">
        <v>303</v>
      </c>
      <c r="B97" s="4" t="s">
        <v>11</v>
      </c>
      <c r="C97" s="4" t="s">
        <v>9</v>
      </c>
      <c r="D97" s="4" t="s">
        <v>42</v>
      </c>
      <c r="E97" s="4" t="s">
        <v>134</v>
      </c>
      <c r="F97" s="4" t="s">
        <v>143</v>
      </c>
      <c r="G97" s="4" t="s">
        <v>136</v>
      </c>
      <c r="H97" s="4" t="s">
        <v>137</v>
      </c>
      <c r="I97" s="4" t="s">
        <v>138</v>
      </c>
      <c r="J97" s="4" t="s">
        <v>48</v>
      </c>
      <c r="K97" s="4" t="n">
        <v>200</v>
      </c>
      <c r="L97" s="4" t="n">
        <v>60</v>
      </c>
      <c r="M97" s="9" t="n">
        <v>90</v>
      </c>
      <c r="N97" s="10" t="n">
        <f aca="false">K97*L97/1000000</f>
        <v>0.012</v>
      </c>
      <c r="O97" s="11" t="n">
        <f aca="false">M97/3600/N97</f>
        <v>2.08333333333333</v>
      </c>
      <c r="P97" s="4" t="str">
        <f aca="false">IF(O97&lt;=Hypothèses!$B$3,"oui","NON")</f>
        <v>oui</v>
      </c>
      <c r="Q97" s="4" t="s">
        <v>49</v>
      </c>
      <c r="R97" s="4"/>
      <c r="S97" s="12" t="s">
        <v>304</v>
      </c>
    </row>
    <row r="98" customFormat="false" ht="15" hidden="false" customHeight="false" outlineLevel="0" collapsed="false">
      <c r="A98" s="4" t="s">
        <v>305</v>
      </c>
      <c r="B98" s="4" t="s">
        <v>11</v>
      </c>
      <c r="C98" s="4" t="s">
        <v>9</v>
      </c>
      <c r="D98" s="4" t="s">
        <v>42</v>
      </c>
      <c r="E98" s="4" t="s">
        <v>134</v>
      </c>
      <c r="F98" s="4" t="s">
        <v>143</v>
      </c>
      <c r="G98" s="4" t="s">
        <v>136</v>
      </c>
      <c r="H98" s="4" t="s">
        <v>137</v>
      </c>
      <c r="I98" s="4" t="s">
        <v>138</v>
      </c>
      <c r="J98" s="4" t="s">
        <v>48</v>
      </c>
      <c r="K98" s="4" t="n">
        <v>200</v>
      </c>
      <c r="L98" s="4" t="n">
        <v>60</v>
      </c>
      <c r="M98" s="9" t="n">
        <v>90</v>
      </c>
      <c r="N98" s="10" t="n">
        <f aca="false">K98*L98/1000000</f>
        <v>0.012</v>
      </c>
      <c r="O98" s="11" t="n">
        <f aca="false">M98/3600/N98</f>
        <v>2.08333333333333</v>
      </c>
      <c r="P98" s="4" t="str">
        <f aca="false">IF(O98&lt;=Hypothèses!$B$3,"oui","NON")</f>
        <v>oui</v>
      </c>
      <c r="Q98" s="4" t="s">
        <v>49</v>
      </c>
      <c r="R98" s="4"/>
      <c r="S98" s="12" t="s">
        <v>306</v>
      </c>
    </row>
    <row r="99" customFormat="false" ht="15" hidden="false" customHeight="false" outlineLevel="0" collapsed="false">
      <c r="A99" s="4" t="s">
        <v>307</v>
      </c>
      <c r="B99" s="4" t="s">
        <v>11</v>
      </c>
      <c r="C99" s="4" t="s">
        <v>9</v>
      </c>
      <c r="D99" s="4" t="s">
        <v>91</v>
      </c>
      <c r="E99" s="4" t="s">
        <v>134</v>
      </c>
      <c r="F99" s="4" t="s">
        <v>279</v>
      </c>
      <c r="G99" s="4" t="s">
        <v>136</v>
      </c>
      <c r="H99" s="4" t="s">
        <v>137</v>
      </c>
      <c r="I99" s="4" t="s">
        <v>138</v>
      </c>
      <c r="J99" s="4" t="s">
        <v>48</v>
      </c>
      <c r="K99" s="4" t="n">
        <v>200</v>
      </c>
      <c r="L99" s="4" t="n">
        <v>60</v>
      </c>
      <c r="M99" s="9" t="n">
        <v>90</v>
      </c>
      <c r="N99" s="10" t="n">
        <f aca="false">K99*L99/1000000</f>
        <v>0.012</v>
      </c>
      <c r="O99" s="11" t="n">
        <f aca="false">M99/3600/N99</f>
        <v>2.08333333333333</v>
      </c>
      <c r="P99" s="4" t="str">
        <f aca="false">IF(O99&lt;=Hypothèses!$B$3,"oui","NON")</f>
        <v>oui</v>
      </c>
      <c r="Q99" s="4" t="s">
        <v>49</v>
      </c>
      <c r="R99" s="4"/>
      <c r="S99" s="12" t="s">
        <v>308</v>
      </c>
    </row>
    <row r="100" customFormat="false" ht="15" hidden="false" customHeight="false" outlineLevel="0" collapsed="false">
      <c r="A100" s="4" t="s">
        <v>309</v>
      </c>
      <c r="B100" s="4" t="s">
        <v>11</v>
      </c>
      <c r="C100" s="4" t="s">
        <v>9</v>
      </c>
      <c r="D100" s="4" t="s">
        <v>91</v>
      </c>
      <c r="E100" s="4" t="s">
        <v>134</v>
      </c>
      <c r="F100" s="4" t="s">
        <v>279</v>
      </c>
      <c r="G100" s="4" t="s">
        <v>136</v>
      </c>
      <c r="H100" s="4" t="s">
        <v>137</v>
      </c>
      <c r="I100" s="4" t="s">
        <v>138</v>
      </c>
      <c r="J100" s="4" t="s">
        <v>48</v>
      </c>
      <c r="K100" s="4" t="n">
        <v>200</v>
      </c>
      <c r="L100" s="4" t="n">
        <v>60</v>
      </c>
      <c r="M100" s="9" t="n">
        <v>90</v>
      </c>
      <c r="N100" s="10" t="n">
        <f aca="false">K100*L100/1000000</f>
        <v>0.012</v>
      </c>
      <c r="O100" s="11" t="n">
        <f aca="false">M100/3600/N100</f>
        <v>2.08333333333333</v>
      </c>
      <c r="P100" s="4" t="str">
        <f aca="false">IF(O100&lt;=Hypothèses!$B$3,"oui","NON")</f>
        <v>oui</v>
      </c>
      <c r="Q100" s="4" t="s">
        <v>49</v>
      </c>
      <c r="R100" s="4"/>
      <c r="S100" s="12" t="s">
        <v>310</v>
      </c>
    </row>
    <row r="101" customFormat="false" ht="15" hidden="false" customHeight="false" outlineLevel="0" collapsed="false">
      <c r="A101" s="4" t="s">
        <v>311</v>
      </c>
      <c r="B101" s="4" t="s">
        <v>11</v>
      </c>
      <c r="C101" s="4" t="s">
        <v>9</v>
      </c>
      <c r="D101" s="4" t="s">
        <v>91</v>
      </c>
      <c r="E101" s="4" t="s">
        <v>134</v>
      </c>
      <c r="F101" s="4" t="s">
        <v>279</v>
      </c>
      <c r="G101" s="4" t="s">
        <v>136</v>
      </c>
      <c r="H101" s="4" t="s">
        <v>137</v>
      </c>
      <c r="I101" s="4" t="s">
        <v>138</v>
      </c>
      <c r="J101" s="4" t="s">
        <v>48</v>
      </c>
      <c r="K101" s="4" t="n">
        <v>200</v>
      </c>
      <c r="L101" s="4" t="n">
        <v>60</v>
      </c>
      <c r="M101" s="9" t="n">
        <v>90</v>
      </c>
      <c r="N101" s="10" t="n">
        <f aca="false">K101*L101/1000000</f>
        <v>0.012</v>
      </c>
      <c r="O101" s="11" t="n">
        <f aca="false">M101/3600/N101</f>
        <v>2.08333333333333</v>
      </c>
      <c r="P101" s="4" t="str">
        <f aca="false">IF(O101&lt;=Hypothèses!$B$3,"oui","NON")</f>
        <v>oui</v>
      </c>
      <c r="Q101" s="4" t="s">
        <v>49</v>
      </c>
      <c r="R101" s="4"/>
      <c r="S101" s="12" t="s">
        <v>312</v>
      </c>
    </row>
    <row r="102" customFormat="false" ht="15" hidden="false" customHeight="false" outlineLevel="0" collapsed="false">
      <c r="A102" s="4" t="s">
        <v>313</v>
      </c>
      <c r="B102" s="4" t="s">
        <v>11</v>
      </c>
      <c r="C102" s="4" t="s">
        <v>9</v>
      </c>
      <c r="D102" s="4" t="s">
        <v>91</v>
      </c>
      <c r="E102" s="4" t="s">
        <v>134</v>
      </c>
      <c r="F102" s="4" t="s">
        <v>279</v>
      </c>
      <c r="G102" s="4" t="s">
        <v>136</v>
      </c>
      <c r="H102" s="4" t="s">
        <v>137</v>
      </c>
      <c r="I102" s="4" t="s">
        <v>138</v>
      </c>
      <c r="J102" s="4" t="s">
        <v>48</v>
      </c>
      <c r="K102" s="4" t="n">
        <v>200</v>
      </c>
      <c r="L102" s="4" t="n">
        <v>60</v>
      </c>
      <c r="M102" s="9" t="n">
        <v>90</v>
      </c>
      <c r="N102" s="10" t="n">
        <f aca="false">K102*L102/1000000</f>
        <v>0.012</v>
      </c>
      <c r="O102" s="11" t="n">
        <f aca="false">M102/3600/N102</f>
        <v>2.08333333333333</v>
      </c>
      <c r="P102" s="4" t="str">
        <f aca="false">IF(O102&lt;=Hypothèses!$B$3,"oui","NON")</f>
        <v>oui</v>
      </c>
      <c r="Q102" s="4" t="s">
        <v>49</v>
      </c>
      <c r="R102" s="4"/>
      <c r="S102" s="12" t="s">
        <v>314</v>
      </c>
    </row>
    <row r="103" customFormat="false" ht="15" hidden="false" customHeight="false" outlineLevel="0" collapsed="false">
      <c r="A103" s="4" t="s">
        <v>315</v>
      </c>
      <c r="B103" s="4" t="s">
        <v>11</v>
      </c>
      <c r="C103" s="4" t="s">
        <v>9</v>
      </c>
      <c r="D103" s="4" t="s">
        <v>91</v>
      </c>
      <c r="E103" s="4" t="s">
        <v>134</v>
      </c>
      <c r="F103" s="4" t="s">
        <v>135</v>
      </c>
      <c r="G103" s="4" t="s">
        <v>136</v>
      </c>
      <c r="H103" s="4" t="s">
        <v>137</v>
      </c>
      <c r="I103" s="4" t="s">
        <v>138</v>
      </c>
      <c r="J103" s="4" t="s">
        <v>48</v>
      </c>
      <c r="K103" s="4" t="n">
        <v>200</v>
      </c>
      <c r="L103" s="4" t="n">
        <v>60</v>
      </c>
      <c r="M103" s="9" t="n">
        <v>90</v>
      </c>
      <c r="N103" s="10" t="n">
        <f aca="false">K103*L103/1000000</f>
        <v>0.012</v>
      </c>
      <c r="O103" s="11" t="n">
        <f aca="false">M103/3600/N103</f>
        <v>2.08333333333333</v>
      </c>
      <c r="P103" s="4" t="str">
        <f aca="false">IF(O103&lt;=Hypothèses!$B$3,"oui","NON")</f>
        <v>oui</v>
      </c>
      <c r="Q103" s="4" t="s">
        <v>49</v>
      </c>
      <c r="R103" s="4"/>
      <c r="S103" s="12" t="s">
        <v>316</v>
      </c>
    </row>
    <row r="104" customFormat="false" ht="15" hidden="false" customHeight="false" outlineLevel="0" collapsed="false">
      <c r="A104" s="4" t="s">
        <v>317</v>
      </c>
      <c r="B104" s="4" t="s">
        <v>11</v>
      </c>
      <c r="C104" s="4" t="s">
        <v>9</v>
      </c>
      <c r="D104" s="4" t="s">
        <v>91</v>
      </c>
      <c r="E104" s="4" t="s">
        <v>134</v>
      </c>
      <c r="F104" s="4" t="s">
        <v>135</v>
      </c>
      <c r="G104" s="4" t="s">
        <v>136</v>
      </c>
      <c r="H104" s="4" t="s">
        <v>137</v>
      </c>
      <c r="I104" s="4" t="s">
        <v>138</v>
      </c>
      <c r="J104" s="4" t="s">
        <v>48</v>
      </c>
      <c r="K104" s="4" t="n">
        <v>200</v>
      </c>
      <c r="L104" s="4" t="n">
        <v>60</v>
      </c>
      <c r="M104" s="9" t="n">
        <v>90</v>
      </c>
      <c r="N104" s="10" t="n">
        <f aca="false">K104*L104/1000000</f>
        <v>0.012</v>
      </c>
      <c r="O104" s="11" t="n">
        <f aca="false">M104/3600/N104</f>
        <v>2.08333333333333</v>
      </c>
      <c r="P104" s="4" t="str">
        <f aca="false">IF(O104&lt;=Hypothèses!$B$3,"oui","NON")</f>
        <v>oui</v>
      </c>
      <c r="Q104" s="4" t="s">
        <v>49</v>
      </c>
      <c r="R104" s="4"/>
      <c r="S104" s="12" t="s">
        <v>318</v>
      </c>
    </row>
    <row r="105" customFormat="false" ht="15" hidden="false" customHeight="false" outlineLevel="0" collapsed="false">
      <c r="A105" s="4" t="s">
        <v>319</v>
      </c>
      <c r="B105" s="4" t="s">
        <v>11</v>
      </c>
      <c r="C105" s="4" t="s">
        <v>9</v>
      </c>
      <c r="D105" s="4" t="s">
        <v>91</v>
      </c>
      <c r="E105" s="4" t="s">
        <v>134</v>
      </c>
      <c r="F105" s="4" t="s">
        <v>135</v>
      </c>
      <c r="G105" s="4" t="s">
        <v>136</v>
      </c>
      <c r="H105" s="4" t="s">
        <v>137</v>
      </c>
      <c r="I105" s="4" t="s">
        <v>138</v>
      </c>
      <c r="J105" s="4" t="s">
        <v>48</v>
      </c>
      <c r="K105" s="4" t="n">
        <v>200</v>
      </c>
      <c r="L105" s="4" t="n">
        <v>60</v>
      </c>
      <c r="M105" s="9" t="n">
        <v>90</v>
      </c>
      <c r="N105" s="10" t="n">
        <f aca="false">K105*L105/1000000</f>
        <v>0.012</v>
      </c>
      <c r="O105" s="11" t="n">
        <f aca="false">M105/3600/N105</f>
        <v>2.08333333333333</v>
      </c>
      <c r="P105" s="4" t="str">
        <f aca="false">IF(O105&lt;=Hypothèses!$B$3,"oui","NON")</f>
        <v>oui</v>
      </c>
      <c r="Q105" s="4" t="s">
        <v>49</v>
      </c>
      <c r="R105" s="4"/>
      <c r="S105" s="12" t="s">
        <v>320</v>
      </c>
    </row>
    <row r="106" customFormat="false" ht="15" hidden="false" customHeight="false" outlineLevel="0" collapsed="false">
      <c r="A106" s="4" t="s">
        <v>321</v>
      </c>
      <c r="B106" s="4" t="s">
        <v>11</v>
      </c>
      <c r="C106" s="4" t="s">
        <v>9</v>
      </c>
      <c r="D106" s="4" t="s">
        <v>91</v>
      </c>
      <c r="E106" s="4" t="s">
        <v>134</v>
      </c>
      <c r="F106" s="4" t="s">
        <v>143</v>
      </c>
      <c r="G106" s="4" t="s">
        <v>136</v>
      </c>
      <c r="H106" s="4" t="s">
        <v>137</v>
      </c>
      <c r="I106" s="4" t="s">
        <v>138</v>
      </c>
      <c r="J106" s="4" t="s">
        <v>48</v>
      </c>
      <c r="K106" s="4" t="n">
        <v>200</v>
      </c>
      <c r="L106" s="4" t="n">
        <v>60</v>
      </c>
      <c r="M106" s="9" t="n">
        <v>90</v>
      </c>
      <c r="N106" s="10" t="n">
        <f aca="false">K106*L106/1000000</f>
        <v>0.012</v>
      </c>
      <c r="O106" s="11" t="n">
        <f aca="false">M106/3600/N106</f>
        <v>2.08333333333333</v>
      </c>
      <c r="P106" s="4" t="str">
        <f aca="false">IF(O106&lt;=Hypothèses!$B$3,"oui","NON")</f>
        <v>oui</v>
      </c>
      <c r="Q106" s="4" t="s">
        <v>49</v>
      </c>
      <c r="R106" s="4"/>
      <c r="S106" s="12" t="s">
        <v>322</v>
      </c>
    </row>
    <row r="107" customFormat="false" ht="15" hidden="false" customHeight="false" outlineLevel="0" collapsed="false">
      <c r="A107" s="4" t="s">
        <v>323</v>
      </c>
      <c r="B107" s="4" t="s">
        <v>11</v>
      </c>
      <c r="C107" s="4" t="s">
        <v>9</v>
      </c>
      <c r="D107" s="4" t="s">
        <v>91</v>
      </c>
      <c r="E107" s="4" t="s">
        <v>324</v>
      </c>
      <c r="F107" s="4" t="s">
        <v>143</v>
      </c>
      <c r="G107" s="4" t="s">
        <v>136</v>
      </c>
      <c r="H107" s="4" t="s">
        <v>137</v>
      </c>
      <c r="I107" s="4" t="s">
        <v>138</v>
      </c>
      <c r="J107" s="4" t="s">
        <v>48</v>
      </c>
      <c r="K107" s="4" t="n">
        <v>200</v>
      </c>
      <c r="L107" s="4" t="n">
        <v>60</v>
      </c>
      <c r="M107" s="9" t="n">
        <v>90</v>
      </c>
      <c r="N107" s="10" t="n">
        <f aca="false">K107*L107/1000000</f>
        <v>0.012</v>
      </c>
      <c r="O107" s="11" t="n">
        <f aca="false">M107/3600/N107</f>
        <v>2.08333333333333</v>
      </c>
      <c r="P107" s="4" t="str">
        <f aca="false">IF(O107&lt;=Hypothèses!$B$3,"oui","NON")</f>
        <v>oui</v>
      </c>
      <c r="Q107" s="4" t="s">
        <v>49</v>
      </c>
      <c r="R107" s="4"/>
      <c r="S107" s="12" t="s">
        <v>325</v>
      </c>
    </row>
    <row r="108" customFormat="false" ht="15" hidden="false" customHeight="false" outlineLevel="0" collapsed="false">
      <c r="A108" s="4" t="s">
        <v>326</v>
      </c>
      <c r="B108" s="4" t="s">
        <v>11</v>
      </c>
      <c r="C108" s="4" t="s">
        <v>9</v>
      </c>
      <c r="D108" s="4" t="s">
        <v>91</v>
      </c>
      <c r="E108" s="4" t="s">
        <v>134</v>
      </c>
      <c r="F108" s="4" t="s">
        <v>143</v>
      </c>
      <c r="G108" s="4" t="s">
        <v>136</v>
      </c>
      <c r="H108" s="4" t="s">
        <v>137</v>
      </c>
      <c r="I108" s="4" t="s">
        <v>138</v>
      </c>
      <c r="J108" s="4" t="s">
        <v>48</v>
      </c>
      <c r="K108" s="4" t="n">
        <v>200</v>
      </c>
      <c r="L108" s="4" t="n">
        <v>60</v>
      </c>
      <c r="M108" s="9" t="n">
        <v>90</v>
      </c>
      <c r="N108" s="10" t="n">
        <f aca="false">K108*L108/1000000</f>
        <v>0.012</v>
      </c>
      <c r="O108" s="11" t="n">
        <f aca="false">M108/3600/N108</f>
        <v>2.08333333333333</v>
      </c>
      <c r="P108" s="4" t="str">
        <f aca="false">IF(O108&lt;=Hypothèses!$B$3,"oui","NON")</f>
        <v>oui</v>
      </c>
      <c r="Q108" s="4" t="s">
        <v>49</v>
      </c>
      <c r="R108" s="4"/>
      <c r="S108" s="12" t="s">
        <v>327</v>
      </c>
    </row>
    <row r="109" customFormat="false" ht="15" hidden="false" customHeight="false" outlineLevel="0" collapsed="false">
      <c r="A109" s="4" t="s">
        <v>328</v>
      </c>
      <c r="B109" s="4" t="s">
        <v>11</v>
      </c>
      <c r="C109" s="4" t="s">
        <v>9</v>
      </c>
      <c r="D109" s="4" t="s">
        <v>91</v>
      </c>
      <c r="E109" s="4" t="s">
        <v>134</v>
      </c>
      <c r="F109" s="4" t="s">
        <v>143</v>
      </c>
      <c r="G109" s="4" t="s">
        <v>136</v>
      </c>
      <c r="H109" s="4" t="s">
        <v>137</v>
      </c>
      <c r="I109" s="4" t="s">
        <v>138</v>
      </c>
      <c r="J109" s="4" t="s">
        <v>48</v>
      </c>
      <c r="K109" s="4" t="n">
        <v>200</v>
      </c>
      <c r="L109" s="4" t="n">
        <v>60</v>
      </c>
      <c r="M109" s="9" t="n">
        <v>90</v>
      </c>
      <c r="N109" s="10" t="n">
        <f aca="false">K109*L109/1000000</f>
        <v>0.012</v>
      </c>
      <c r="O109" s="11" t="n">
        <f aca="false">M109/3600/N109</f>
        <v>2.08333333333333</v>
      </c>
      <c r="P109" s="4" t="str">
        <f aca="false">IF(O109&lt;=Hypothèses!$B$3,"oui","NON")</f>
        <v>oui</v>
      </c>
      <c r="Q109" s="4" t="s">
        <v>49</v>
      </c>
      <c r="R109" s="4"/>
      <c r="S109" s="12" t="s">
        <v>329</v>
      </c>
    </row>
    <row r="110" customFormat="false" ht="15" hidden="false" customHeight="false" outlineLevel="0" collapsed="false">
      <c r="A110" s="4" t="s">
        <v>330</v>
      </c>
      <c r="B110" s="4" t="s">
        <v>11</v>
      </c>
      <c r="C110" s="4" t="s">
        <v>9</v>
      </c>
      <c r="D110" s="4" t="s">
        <v>91</v>
      </c>
      <c r="E110" s="4" t="s">
        <v>134</v>
      </c>
      <c r="F110" s="4" t="s">
        <v>143</v>
      </c>
      <c r="G110" s="4" t="s">
        <v>136</v>
      </c>
      <c r="H110" s="4" t="s">
        <v>137</v>
      </c>
      <c r="I110" s="4" t="s">
        <v>138</v>
      </c>
      <c r="J110" s="4" t="s">
        <v>48</v>
      </c>
      <c r="K110" s="4" t="n">
        <v>200</v>
      </c>
      <c r="L110" s="4" t="n">
        <v>60</v>
      </c>
      <c r="M110" s="9" t="n">
        <v>90</v>
      </c>
      <c r="N110" s="10" t="n">
        <f aca="false">K110*L110/1000000</f>
        <v>0.012</v>
      </c>
      <c r="O110" s="11" t="n">
        <f aca="false">M110/3600/N110</f>
        <v>2.08333333333333</v>
      </c>
      <c r="P110" s="4" t="str">
        <f aca="false">IF(O110&lt;=Hypothèses!$B$3,"oui","NON")</f>
        <v>oui</v>
      </c>
      <c r="Q110" s="4" t="s">
        <v>49</v>
      </c>
      <c r="R110" s="4"/>
      <c r="S110" s="12" t="s">
        <v>331</v>
      </c>
    </row>
    <row r="111" customFormat="false" ht="15" hidden="false" customHeight="false" outlineLevel="0" collapsed="false">
      <c r="A111" s="4" t="s">
        <v>332</v>
      </c>
      <c r="B111" s="4" t="s">
        <v>11</v>
      </c>
      <c r="C111" s="4" t="s">
        <v>9</v>
      </c>
      <c r="D111" s="4" t="s">
        <v>91</v>
      </c>
      <c r="E111" s="4" t="s">
        <v>134</v>
      </c>
      <c r="F111" s="4" t="s">
        <v>143</v>
      </c>
      <c r="G111" s="4" t="s">
        <v>136</v>
      </c>
      <c r="H111" s="4" t="s">
        <v>137</v>
      </c>
      <c r="I111" s="4" t="s">
        <v>138</v>
      </c>
      <c r="J111" s="4" t="s">
        <v>48</v>
      </c>
      <c r="K111" s="4" t="n">
        <v>200</v>
      </c>
      <c r="L111" s="4" t="n">
        <v>60</v>
      </c>
      <c r="M111" s="9" t="n">
        <v>90</v>
      </c>
      <c r="N111" s="10" t="n">
        <f aca="false">K111*L111/1000000</f>
        <v>0.012</v>
      </c>
      <c r="O111" s="11" t="n">
        <f aca="false">M111/3600/N111</f>
        <v>2.08333333333333</v>
      </c>
      <c r="P111" s="4" t="str">
        <f aca="false">IF(O111&lt;=Hypothèses!$B$3,"oui","NON")</f>
        <v>oui</v>
      </c>
      <c r="Q111" s="4" t="s">
        <v>49</v>
      </c>
      <c r="R111" s="4"/>
      <c r="S111" s="12" t="s">
        <v>333</v>
      </c>
    </row>
    <row r="112" customFormat="false" ht="15" hidden="false" customHeight="false" outlineLevel="0" collapsed="false">
      <c r="A112" s="4" t="s">
        <v>334</v>
      </c>
      <c r="B112" s="4" t="s">
        <v>12</v>
      </c>
      <c r="C112" s="4" t="s">
        <v>10</v>
      </c>
      <c r="D112" s="4" t="s">
        <v>91</v>
      </c>
      <c r="E112" s="4" t="s">
        <v>335</v>
      </c>
      <c r="F112" s="4" t="s">
        <v>44</v>
      </c>
      <c r="G112" s="4" t="s">
        <v>45</v>
      </c>
      <c r="H112" s="4" t="s">
        <v>46</v>
      </c>
      <c r="I112" s="4" t="s">
        <v>47</v>
      </c>
      <c r="J112" s="4" t="s">
        <v>48</v>
      </c>
      <c r="K112" s="4" t="n">
        <v>200</v>
      </c>
      <c r="L112" s="4" t="n">
        <v>60</v>
      </c>
      <c r="M112" s="9" t="n">
        <v>90</v>
      </c>
      <c r="N112" s="10" t="n">
        <f aca="false">K112*L112/1000000</f>
        <v>0.012</v>
      </c>
      <c r="O112" s="11" t="n">
        <f aca="false">M112/3600/N112</f>
        <v>2.08333333333333</v>
      </c>
      <c r="P112" s="4" t="str">
        <f aca="false">IF(O112&lt;=Hypothèses!$B$3,"oui","NON")</f>
        <v>oui</v>
      </c>
      <c r="Q112" s="4" t="s">
        <v>49</v>
      </c>
      <c r="R112" s="4"/>
      <c r="S112" s="12" t="s">
        <v>336</v>
      </c>
    </row>
    <row r="113" customFormat="false" ht="15" hidden="false" customHeight="false" outlineLevel="0" collapsed="false">
      <c r="A113" s="4" t="s">
        <v>337</v>
      </c>
      <c r="B113" s="4" t="s">
        <v>12</v>
      </c>
      <c r="C113" s="4" t="s">
        <v>10</v>
      </c>
      <c r="D113" s="4" t="s">
        <v>91</v>
      </c>
      <c r="E113" s="4" t="s">
        <v>338</v>
      </c>
      <c r="F113" s="4" t="s">
        <v>44</v>
      </c>
      <c r="G113" s="4" t="s">
        <v>45</v>
      </c>
      <c r="H113" s="4" t="s">
        <v>46</v>
      </c>
      <c r="I113" s="4" t="s">
        <v>47</v>
      </c>
      <c r="J113" s="4" t="s">
        <v>48</v>
      </c>
      <c r="K113" s="4" t="n">
        <v>200</v>
      </c>
      <c r="L113" s="4" t="n">
        <v>60</v>
      </c>
      <c r="M113" s="9" t="n">
        <v>90</v>
      </c>
      <c r="N113" s="10" t="n">
        <f aca="false">K113*L113/1000000</f>
        <v>0.012</v>
      </c>
      <c r="O113" s="11" t="n">
        <f aca="false">M113/3600/N113</f>
        <v>2.08333333333333</v>
      </c>
      <c r="P113" s="4" t="str">
        <f aca="false">IF(O113&lt;=Hypothèses!$B$3,"oui","NON")</f>
        <v>oui</v>
      </c>
      <c r="Q113" s="4" t="s">
        <v>49</v>
      </c>
      <c r="R113" s="4"/>
      <c r="S113" s="12" t="s">
        <v>339</v>
      </c>
    </row>
    <row r="114" customFormat="false" ht="15" hidden="false" customHeight="false" outlineLevel="0" collapsed="false">
      <c r="A114" s="4" t="s">
        <v>340</v>
      </c>
      <c r="B114" s="4" t="s">
        <v>12</v>
      </c>
      <c r="C114" s="4" t="s">
        <v>10</v>
      </c>
      <c r="D114" s="4" t="s">
        <v>91</v>
      </c>
      <c r="E114" s="4" t="s">
        <v>341</v>
      </c>
      <c r="F114" s="4" t="s">
        <v>44</v>
      </c>
      <c r="G114" s="4" t="s">
        <v>45</v>
      </c>
      <c r="H114" s="4" t="s">
        <v>46</v>
      </c>
      <c r="I114" s="4" t="s">
        <v>47</v>
      </c>
      <c r="J114" s="4" t="s">
        <v>48</v>
      </c>
      <c r="K114" s="4" t="n">
        <v>200</v>
      </c>
      <c r="L114" s="4" t="n">
        <v>60</v>
      </c>
      <c r="M114" s="9" t="n">
        <v>90</v>
      </c>
      <c r="N114" s="10" t="n">
        <f aca="false">K114*L114/1000000</f>
        <v>0.012</v>
      </c>
      <c r="O114" s="11" t="n">
        <f aca="false">M114/3600/N114</f>
        <v>2.08333333333333</v>
      </c>
      <c r="P114" s="4" t="str">
        <f aca="false">IF(O114&lt;=Hypothèses!$B$3,"oui","NON")</f>
        <v>oui</v>
      </c>
      <c r="Q114" s="4" t="s">
        <v>49</v>
      </c>
      <c r="R114" s="4"/>
      <c r="S114" s="12" t="s">
        <v>342</v>
      </c>
    </row>
    <row r="115" customFormat="false" ht="15" hidden="false" customHeight="false" outlineLevel="0" collapsed="false">
      <c r="A115" s="4" t="s">
        <v>343</v>
      </c>
      <c r="B115" s="4" t="s">
        <v>12</v>
      </c>
      <c r="C115" s="4" t="s">
        <v>10</v>
      </c>
      <c r="D115" s="4" t="s">
        <v>91</v>
      </c>
      <c r="E115" s="4" t="s">
        <v>344</v>
      </c>
      <c r="F115" s="4" t="s">
        <v>44</v>
      </c>
      <c r="G115" s="4" t="s">
        <v>45</v>
      </c>
      <c r="H115" s="4" t="s">
        <v>46</v>
      </c>
      <c r="I115" s="4" t="s">
        <v>47</v>
      </c>
      <c r="J115" s="4" t="s">
        <v>48</v>
      </c>
      <c r="K115" s="4" t="n">
        <v>200</v>
      </c>
      <c r="L115" s="4" t="n">
        <v>60</v>
      </c>
      <c r="M115" s="9" t="n">
        <v>90</v>
      </c>
      <c r="N115" s="10" t="n">
        <f aca="false">K115*L115/1000000</f>
        <v>0.012</v>
      </c>
      <c r="O115" s="11" t="n">
        <f aca="false">M115/3600/N115</f>
        <v>2.08333333333333</v>
      </c>
      <c r="P115" s="4" t="str">
        <f aca="false">IF(O115&lt;=Hypothèses!$B$3,"oui","NON")</f>
        <v>oui</v>
      </c>
      <c r="Q115" s="4" t="s">
        <v>49</v>
      </c>
      <c r="R115" s="4"/>
      <c r="S115" s="12" t="s">
        <v>345</v>
      </c>
    </row>
    <row r="116" customFormat="false" ht="15" hidden="false" customHeight="false" outlineLevel="0" collapsed="false">
      <c r="A116" s="4" t="s">
        <v>346</v>
      </c>
      <c r="B116" s="4" t="s">
        <v>12</v>
      </c>
      <c r="C116" s="4" t="s">
        <v>10</v>
      </c>
      <c r="D116" s="4" t="s">
        <v>91</v>
      </c>
      <c r="E116" s="4" t="s">
        <v>347</v>
      </c>
      <c r="F116" s="4" t="s">
        <v>44</v>
      </c>
      <c r="G116" s="4" t="s">
        <v>45</v>
      </c>
      <c r="H116" s="4" t="s">
        <v>46</v>
      </c>
      <c r="I116" s="4" t="s">
        <v>47</v>
      </c>
      <c r="J116" s="4" t="s">
        <v>48</v>
      </c>
      <c r="K116" s="4" t="n">
        <v>200</v>
      </c>
      <c r="L116" s="4" t="n">
        <v>60</v>
      </c>
      <c r="M116" s="9" t="n">
        <v>90</v>
      </c>
      <c r="N116" s="10" t="n">
        <f aca="false">K116*L116/1000000</f>
        <v>0.012</v>
      </c>
      <c r="O116" s="11" t="n">
        <f aca="false">M116/3600/N116</f>
        <v>2.08333333333333</v>
      </c>
      <c r="P116" s="4" t="str">
        <f aca="false">IF(O116&lt;=Hypothèses!$B$3,"oui","NON")</f>
        <v>oui</v>
      </c>
      <c r="Q116" s="4" t="s">
        <v>49</v>
      </c>
      <c r="R116" s="4"/>
      <c r="S116" s="12" t="s">
        <v>348</v>
      </c>
    </row>
    <row r="117" customFormat="false" ht="15" hidden="false" customHeight="false" outlineLevel="0" collapsed="false">
      <c r="A117" s="4" t="s">
        <v>349</v>
      </c>
      <c r="B117" s="4" t="s">
        <v>12</v>
      </c>
      <c r="C117" s="4" t="s">
        <v>10</v>
      </c>
      <c r="D117" s="4" t="s">
        <v>91</v>
      </c>
      <c r="E117" s="4" t="s">
        <v>350</v>
      </c>
      <c r="F117" s="4" t="s">
        <v>44</v>
      </c>
      <c r="G117" s="4" t="s">
        <v>45</v>
      </c>
      <c r="H117" s="4" t="s">
        <v>46</v>
      </c>
      <c r="I117" s="4" t="s">
        <v>47</v>
      </c>
      <c r="J117" s="4" t="s">
        <v>48</v>
      </c>
      <c r="K117" s="4" t="n">
        <v>200</v>
      </c>
      <c r="L117" s="4" t="n">
        <v>60</v>
      </c>
      <c r="M117" s="9" t="n">
        <v>90</v>
      </c>
      <c r="N117" s="10" t="n">
        <f aca="false">K117*L117/1000000</f>
        <v>0.012</v>
      </c>
      <c r="O117" s="11" t="n">
        <f aca="false">M117/3600/N117</f>
        <v>2.08333333333333</v>
      </c>
      <c r="P117" s="4" t="str">
        <f aca="false">IF(O117&lt;=Hypothèses!$B$3,"oui","NON")</f>
        <v>oui</v>
      </c>
      <c r="Q117" s="4" t="s">
        <v>49</v>
      </c>
      <c r="R117" s="4"/>
      <c r="S117" s="12" t="s">
        <v>351</v>
      </c>
    </row>
    <row r="118" customFormat="false" ht="15" hidden="false" customHeight="false" outlineLevel="0" collapsed="false">
      <c r="A118" s="4" t="s">
        <v>352</v>
      </c>
      <c r="B118" s="4" t="s">
        <v>12</v>
      </c>
      <c r="C118" s="4" t="s">
        <v>10</v>
      </c>
      <c r="D118" s="4" t="s">
        <v>91</v>
      </c>
      <c r="E118" s="4" t="s">
        <v>353</v>
      </c>
      <c r="F118" s="4" t="s">
        <v>44</v>
      </c>
      <c r="G118" s="4" t="s">
        <v>45</v>
      </c>
      <c r="H118" s="4" t="s">
        <v>46</v>
      </c>
      <c r="I118" s="4" t="s">
        <v>47</v>
      </c>
      <c r="J118" s="4" t="s">
        <v>48</v>
      </c>
      <c r="K118" s="4" t="n">
        <v>200</v>
      </c>
      <c r="L118" s="4" t="n">
        <v>60</v>
      </c>
      <c r="M118" s="9" t="n">
        <v>90</v>
      </c>
      <c r="N118" s="10" t="n">
        <f aca="false">K118*L118/1000000</f>
        <v>0.012</v>
      </c>
      <c r="O118" s="11" t="n">
        <f aca="false">M118/3600/N118</f>
        <v>2.08333333333333</v>
      </c>
      <c r="P118" s="4" t="str">
        <f aca="false">IF(O118&lt;=Hypothèses!$B$3,"oui","NON")</f>
        <v>oui</v>
      </c>
      <c r="Q118" s="4" t="s">
        <v>49</v>
      </c>
      <c r="R118" s="4"/>
      <c r="S118" s="12" t="s">
        <v>354</v>
      </c>
    </row>
    <row r="119" customFormat="false" ht="15" hidden="false" customHeight="false" outlineLevel="0" collapsed="false">
      <c r="A119" s="4" t="s">
        <v>355</v>
      </c>
      <c r="B119" s="4" t="s">
        <v>12</v>
      </c>
      <c r="C119" s="4" t="s">
        <v>10</v>
      </c>
      <c r="D119" s="4" t="s">
        <v>91</v>
      </c>
      <c r="E119" s="4" t="s">
        <v>356</v>
      </c>
      <c r="F119" s="4" t="s">
        <v>44</v>
      </c>
      <c r="G119" s="4" t="s">
        <v>45</v>
      </c>
      <c r="H119" s="4" t="s">
        <v>46</v>
      </c>
      <c r="I119" s="4" t="s">
        <v>47</v>
      </c>
      <c r="J119" s="4" t="s">
        <v>48</v>
      </c>
      <c r="K119" s="4" t="n">
        <v>200</v>
      </c>
      <c r="L119" s="4" t="n">
        <v>60</v>
      </c>
      <c r="M119" s="9" t="n">
        <v>90</v>
      </c>
      <c r="N119" s="10" t="n">
        <f aca="false">K119*L119/1000000</f>
        <v>0.012</v>
      </c>
      <c r="O119" s="11" t="n">
        <f aca="false">M119/3600/N119</f>
        <v>2.08333333333333</v>
      </c>
      <c r="P119" s="4" t="str">
        <f aca="false">IF(O119&lt;=Hypothèses!$B$3,"oui","NON")</f>
        <v>oui</v>
      </c>
      <c r="Q119" s="4" t="s">
        <v>49</v>
      </c>
      <c r="R119" s="4"/>
      <c r="S119" s="12" t="s">
        <v>357</v>
      </c>
    </row>
    <row r="120" customFormat="false" ht="15" hidden="false" customHeight="false" outlineLevel="0" collapsed="false">
      <c r="A120" s="4" t="s">
        <v>358</v>
      </c>
      <c r="B120" s="4" t="s">
        <v>12</v>
      </c>
      <c r="C120" s="4" t="s">
        <v>10</v>
      </c>
      <c r="D120" s="4" t="s">
        <v>91</v>
      </c>
      <c r="E120" s="4" t="s">
        <v>359</v>
      </c>
      <c r="F120" s="4" t="s">
        <v>44</v>
      </c>
      <c r="G120" s="4" t="s">
        <v>45</v>
      </c>
      <c r="H120" s="4" t="s">
        <v>46</v>
      </c>
      <c r="I120" s="4" t="s">
        <v>47</v>
      </c>
      <c r="J120" s="4" t="s">
        <v>48</v>
      </c>
      <c r="K120" s="4" t="n">
        <v>200</v>
      </c>
      <c r="L120" s="4" t="n">
        <v>60</v>
      </c>
      <c r="M120" s="9" t="n">
        <v>90</v>
      </c>
      <c r="N120" s="10" t="n">
        <f aca="false">K120*L120/1000000</f>
        <v>0.012</v>
      </c>
      <c r="O120" s="11" t="n">
        <f aca="false">M120/3600/N120</f>
        <v>2.08333333333333</v>
      </c>
      <c r="P120" s="4" t="str">
        <f aca="false">IF(O120&lt;=Hypothèses!$B$3,"oui","NON")</f>
        <v>oui</v>
      </c>
      <c r="Q120" s="4" t="s">
        <v>49</v>
      </c>
      <c r="R120" s="4"/>
      <c r="S120" s="12" t="s">
        <v>360</v>
      </c>
    </row>
    <row r="121" customFormat="false" ht="15" hidden="false" customHeight="false" outlineLevel="0" collapsed="false">
      <c r="A121" s="4" t="s">
        <v>361</v>
      </c>
      <c r="B121" s="4" t="s">
        <v>12</v>
      </c>
      <c r="C121" s="4" t="s">
        <v>10</v>
      </c>
      <c r="D121" s="4" t="s">
        <v>91</v>
      </c>
      <c r="E121" s="4" t="s">
        <v>362</v>
      </c>
      <c r="F121" s="4" t="s">
        <v>44</v>
      </c>
      <c r="G121" s="4" t="s">
        <v>45</v>
      </c>
      <c r="H121" s="4" t="s">
        <v>46</v>
      </c>
      <c r="I121" s="4" t="s">
        <v>47</v>
      </c>
      <c r="J121" s="4" t="s">
        <v>48</v>
      </c>
      <c r="K121" s="4" t="n">
        <v>200</v>
      </c>
      <c r="L121" s="4" t="n">
        <v>60</v>
      </c>
      <c r="M121" s="9" t="n">
        <v>90</v>
      </c>
      <c r="N121" s="10" t="n">
        <f aca="false">K121*L121/1000000</f>
        <v>0.012</v>
      </c>
      <c r="O121" s="11" t="n">
        <f aca="false">M121/3600/N121</f>
        <v>2.08333333333333</v>
      </c>
      <c r="P121" s="4" t="str">
        <f aca="false">IF(O121&lt;=Hypothèses!$B$3,"oui","NON")</f>
        <v>oui</v>
      </c>
      <c r="Q121" s="4" t="s">
        <v>49</v>
      </c>
      <c r="R121" s="4"/>
      <c r="S121" s="12" t="s">
        <v>363</v>
      </c>
    </row>
    <row r="122" customFormat="false" ht="15" hidden="false" customHeight="false" outlineLevel="0" collapsed="false">
      <c r="A122" s="4" t="s">
        <v>364</v>
      </c>
      <c r="B122" s="4" t="s">
        <v>12</v>
      </c>
      <c r="C122" s="4" t="s">
        <v>10</v>
      </c>
      <c r="D122" s="4" t="s">
        <v>91</v>
      </c>
      <c r="E122" s="4" t="s">
        <v>365</v>
      </c>
      <c r="F122" s="4" t="s">
        <v>44</v>
      </c>
      <c r="G122" s="4" t="s">
        <v>45</v>
      </c>
      <c r="H122" s="4" t="s">
        <v>46</v>
      </c>
      <c r="I122" s="4" t="s">
        <v>47</v>
      </c>
      <c r="J122" s="4" t="s">
        <v>48</v>
      </c>
      <c r="K122" s="4" t="n">
        <v>200</v>
      </c>
      <c r="L122" s="4" t="n">
        <v>60</v>
      </c>
      <c r="M122" s="9" t="n">
        <v>90</v>
      </c>
      <c r="N122" s="10" t="n">
        <f aca="false">K122*L122/1000000</f>
        <v>0.012</v>
      </c>
      <c r="O122" s="11" t="n">
        <f aca="false">M122/3600/N122</f>
        <v>2.08333333333333</v>
      </c>
      <c r="P122" s="4" t="str">
        <f aca="false">IF(O122&lt;=Hypothèses!$B$3,"oui","NON")</f>
        <v>oui</v>
      </c>
      <c r="Q122" s="4" t="s">
        <v>49</v>
      </c>
      <c r="R122" s="4"/>
      <c r="S122" s="12" t="s">
        <v>366</v>
      </c>
    </row>
    <row r="123" customFormat="false" ht="15" hidden="false" customHeight="false" outlineLevel="0" collapsed="false">
      <c r="A123" s="4" t="s">
        <v>367</v>
      </c>
      <c r="B123" s="4" t="s">
        <v>12</v>
      </c>
      <c r="C123" s="4" t="s">
        <v>10</v>
      </c>
      <c r="D123" s="4" t="s">
        <v>91</v>
      </c>
      <c r="E123" s="4" t="s">
        <v>368</v>
      </c>
      <c r="F123" s="4" t="s">
        <v>44</v>
      </c>
      <c r="G123" s="4" t="s">
        <v>45</v>
      </c>
      <c r="H123" s="4" t="s">
        <v>46</v>
      </c>
      <c r="I123" s="4" t="s">
        <v>47</v>
      </c>
      <c r="J123" s="4" t="s">
        <v>48</v>
      </c>
      <c r="K123" s="4" t="n">
        <v>200</v>
      </c>
      <c r="L123" s="4" t="n">
        <v>60</v>
      </c>
      <c r="M123" s="9" t="n">
        <v>90</v>
      </c>
      <c r="N123" s="10" t="n">
        <f aca="false">K123*L123/1000000</f>
        <v>0.012</v>
      </c>
      <c r="O123" s="11" t="n">
        <f aca="false">M123/3600/N123</f>
        <v>2.08333333333333</v>
      </c>
      <c r="P123" s="4" t="str">
        <f aca="false">IF(O123&lt;=Hypothèses!$B$3,"oui","NON")</f>
        <v>oui</v>
      </c>
      <c r="Q123" s="4" t="s">
        <v>49</v>
      </c>
      <c r="R123" s="4"/>
      <c r="S123" s="12" t="s">
        <v>369</v>
      </c>
    </row>
    <row r="124" customFormat="false" ht="15" hidden="false" customHeight="false" outlineLevel="0" collapsed="false">
      <c r="A124" s="4" t="s">
        <v>370</v>
      </c>
      <c r="B124" s="4" t="s">
        <v>12</v>
      </c>
      <c r="C124" s="4" t="s">
        <v>10</v>
      </c>
      <c r="D124" s="4" t="s">
        <v>91</v>
      </c>
      <c r="E124" s="4" t="s">
        <v>371</v>
      </c>
      <c r="F124" s="4" t="s">
        <v>44</v>
      </c>
      <c r="G124" s="4" t="s">
        <v>45</v>
      </c>
      <c r="H124" s="4" t="s">
        <v>46</v>
      </c>
      <c r="I124" s="4" t="s">
        <v>47</v>
      </c>
      <c r="J124" s="4" t="s">
        <v>48</v>
      </c>
      <c r="K124" s="4" t="n">
        <v>200</v>
      </c>
      <c r="L124" s="4" t="n">
        <v>60</v>
      </c>
      <c r="M124" s="9" t="n">
        <v>90</v>
      </c>
      <c r="N124" s="10" t="n">
        <f aca="false">K124*L124/1000000</f>
        <v>0.012</v>
      </c>
      <c r="O124" s="11" t="n">
        <f aca="false">M124/3600/N124</f>
        <v>2.08333333333333</v>
      </c>
      <c r="P124" s="4" t="str">
        <f aca="false">IF(O124&lt;=Hypothèses!$B$3,"oui","NON")</f>
        <v>oui</v>
      </c>
      <c r="Q124" s="4" t="s">
        <v>49</v>
      </c>
      <c r="R124" s="4"/>
      <c r="S124" s="12" t="s">
        <v>372</v>
      </c>
    </row>
    <row r="125" customFormat="false" ht="15" hidden="false" customHeight="false" outlineLevel="0" collapsed="false">
      <c r="A125" s="4" t="s">
        <v>373</v>
      </c>
      <c r="B125" s="4" t="s">
        <v>12</v>
      </c>
      <c r="C125" s="4" t="s">
        <v>9</v>
      </c>
      <c r="D125" s="4" t="s">
        <v>91</v>
      </c>
      <c r="E125" s="4" t="s">
        <v>134</v>
      </c>
      <c r="F125" s="4" t="s">
        <v>143</v>
      </c>
      <c r="G125" s="4" t="s">
        <v>136</v>
      </c>
      <c r="H125" s="4" t="s">
        <v>137</v>
      </c>
      <c r="I125" s="4" t="s">
        <v>138</v>
      </c>
      <c r="J125" s="4" t="s">
        <v>48</v>
      </c>
      <c r="K125" s="4" t="n">
        <v>200</v>
      </c>
      <c r="L125" s="4" t="n">
        <v>60</v>
      </c>
      <c r="M125" s="9" t="n">
        <v>90</v>
      </c>
      <c r="N125" s="10" t="n">
        <f aca="false">K125*L125/1000000</f>
        <v>0.012</v>
      </c>
      <c r="O125" s="11" t="n">
        <f aca="false">M125/3600/N125</f>
        <v>2.08333333333333</v>
      </c>
      <c r="P125" s="4" t="str">
        <f aca="false">IF(O125&lt;=Hypothèses!$B$3,"oui","NON")</f>
        <v>oui</v>
      </c>
      <c r="Q125" s="4" t="s">
        <v>49</v>
      </c>
      <c r="R125" s="4"/>
      <c r="S125" s="12" t="s">
        <v>374</v>
      </c>
    </row>
    <row r="126" customFormat="false" ht="15" hidden="false" customHeight="false" outlineLevel="0" collapsed="false">
      <c r="A126" s="4" t="s">
        <v>375</v>
      </c>
      <c r="B126" s="4" t="s">
        <v>12</v>
      </c>
      <c r="C126" s="4" t="s">
        <v>9</v>
      </c>
      <c r="D126" s="4" t="s">
        <v>91</v>
      </c>
      <c r="E126" s="4" t="s">
        <v>134</v>
      </c>
      <c r="F126" s="4" t="s">
        <v>143</v>
      </c>
      <c r="G126" s="4" t="s">
        <v>136</v>
      </c>
      <c r="H126" s="4" t="s">
        <v>137</v>
      </c>
      <c r="I126" s="4" t="s">
        <v>138</v>
      </c>
      <c r="J126" s="4" t="s">
        <v>48</v>
      </c>
      <c r="K126" s="4" t="n">
        <v>200</v>
      </c>
      <c r="L126" s="4" t="n">
        <v>60</v>
      </c>
      <c r="M126" s="9" t="n">
        <v>90</v>
      </c>
      <c r="N126" s="10" t="n">
        <f aca="false">K126*L126/1000000</f>
        <v>0.012</v>
      </c>
      <c r="O126" s="11" t="n">
        <f aca="false">M126/3600/N126</f>
        <v>2.08333333333333</v>
      </c>
      <c r="P126" s="4" t="str">
        <f aca="false">IF(O126&lt;=Hypothèses!$B$3,"oui","NON")</f>
        <v>oui</v>
      </c>
      <c r="Q126" s="4" t="s">
        <v>49</v>
      </c>
      <c r="R126" s="4"/>
      <c r="S126" s="12" t="s">
        <v>376</v>
      </c>
    </row>
    <row r="127" customFormat="false" ht="15" hidden="false" customHeight="false" outlineLevel="0" collapsed="false">
      <c r="A127" s="4" t="s">
        <v>377</v>
      </c>
      <c r="B127" s="4" t="s">
        <v>12</v>
      </c>
      <c r="C127" s="4" t="s">
        <v>9</v>
      </c>
      <c r="D127" s="4" t="s">
        <v>91</v>
      </c>
      <c r="E127" s="4" t="s">
        <v>134</v>
      </c>
      <c r="F127" s="4" t="s">
        <v>143</v>
      </c>
      <c r="G127" s="4" t="s">
        <v>136</v>
      </c>
      <c r="H127" s="4" t="s">
        <v>137</v>
      </c>
      <c r="I127" s="4" t="s">
        <v>138</v>
      </c>
      <c r="J127" s="4" t="s">
        <v>48</v>
      </c>
      <c r="K127" s="4" t="n">
        <v>200</v>
      </c>
      <c r="L127" s="4" t="n">
        <v>60</v>
      </c>
      <c r="M127" s="9" t="n">
        <v>90</v>
      </c>
      <c r="N127" s="10" t="n">
        <f aca="false">K127*L127/1000000</f>
        <v>0.012</v>
      </c>
      <c r="O127" s="11" t="n">
        <f aca="false">M127/3600/N127</f>
        <v>2.08333333333333</v>
      </c>
      <c r="P127" s="4" t="str">
        <f aca="false">IF(O127&lt;=Hypothèses!$B$3,"oui","NON")</f>
        <v>oui</v>
      </c>
      <c r="Q127" s="4" t="s">
        <v>49</v>
      </c>
      <c r="R127" s="4"/>
      <c r="S127" s="12" t="s">
        <v>378</v>
      </c>
    </row>
    <row r="128" customFormat="false" ht="15" hidden="false" customHeight="false" outlineLevel="0" collapsed="false">
      <c r="A128" s="4" t="s">
        <v>379</v>
      </c>
      <c r="B128" s="4" t="s">
        <v>12</v>
      </c>
      <c r="C128" s="4" t="s">
        <v>9</v>
      </c>
      <c r="D128" s="4" t="s">
        <v>91</v>
      </c>
      <c r="E128" s="4" t="s">
        <v>134</v>
      </c>
      <c r="F128" s="4" t="s">
        <v>143</v>
      </c>
      <c r="G128" s="4" t="s">
        <v>136</v>
      </c>
      <c r="H128" s="4" t="s">
        <v>137</v>
      </c>
      <c r="I128" s="4" t="s">
        <v>138</v>
      </c>
      <c r="J128" s="4" t="s">
        <v>48</v>
      </c>
      <c r="K128" s="4" t="n">
        <v>200</v>
      </c>
      <c r="L128" s="4" t="n">
        <v>60</v>
      </c>
      <c r="M128" s="9" t="n">
        <v>90</v>
      </c>
      <c r="N128" s="10" t="n">
        <f aca="false">K128*L128/1000000</f>
        <v>0.012</v>
      </c>
      <c r="O128" s="11" t="n">
        <f aca="false">M128/3600/N128</f>
        <v>2.08333333333333</v>
      </c>
      <c r="P128" s="4" t="str">
        <f aca="false">IF(O128&lt;=Hypothèses!$B$3,"oui","NON")</f>
        <v>oui</v>
      </c>
      <c r="Q128" s="4" t="s">
        <v>49</v>
      </c>
      <c r="R128" s="4"/>
      <c r="S128" s="12" t="s">
        <v>380</v>
      </c>
    </row>
    <row r="129" customFormat="false" ht="15" hidden="false" customHeight="false" outlineLevel="0" collapsed="false">
      <c r="A129" s="4" t="s">
        <v>381</v>
      </c>
      <c r="B129" s="4" t="s">
        <v>12</v>
      </c>
      <c r="C129" s="4" t="s">
        <v>9</v>
      </c>
      <c r="D129" s="4" t="s">
        <v>91</v>
      </c>
      <c r="E129" s="4" t="s">
        <v>134</v>
      </c>
      <c r="F129" s="4" t="s">
        <v>143</v>
      </c>
      <c r="G129" s="4" t="s">
        <v>136</v>
      </c>
      <c r="H129" s="4" t="s">
        <v>137</v>
      </c>
      <c r="I129" s="4" t="s">
        <v>138</v>
      </c>
      <c r="J129" s="4" t="s">
        <v>48</v>
      </c>
      <c r="K129" s="4" t="n">
        <v>200</v>
      </c>
      <c r="L129" s="4" t="n">
        <v>60</v>
      </c>
      <c r="M129" s="9" t="n">
        <v>90</v>
      </c>
      <c r="N129" s="10" t="n">
        <f aca="false">K129*L129/1000000</f>
        <v>0.012</v>
      </c>
      <c r="O129" s="11" t="n">
        <f aca="false">M129/3600/N129</f>
        <v>2.08333333333333</v>
      </c>
      <c r="P129" s="4" t="str">
        <f aca="false">IF(O129&lt;=Hypothèses!$B$3,"oui","NON")</f>
        <v>oui</v>
      </c>
      <c r="Q129" s="4" t="s">
        <v>49</v>
      </c>
      <c r="R129" s="4"/>
      <c r="S129" s="12" t="s">
        <v>382</v>
      </c>
    </row>
    <row r="130" customFormat="false" ht="15" hidden="false" customHeight="false" outlineLevel="0" collapsed="false">
      <c r="A130" s="4" t="s">
        <v>383</v>
      </c>
      <c r="B130" s="4" t="s">
        <v>12</v>
      </c>
      <c r="C130" s="4" t="s">
        <v>9</v>
      </c>
      <c r="D130" s="4" t="s">
        <v>91</v>
      </c>
      <c r="E130" s="4" t="s">
        <v>134</v>
      </c>
      <c r="F130" s="4" t="s">
        <v>143</v>
      </c>
      <c r="G130" s="4" t="s">
        <v>136</v>
      </c>
      <c r="H130" s="4" t="s">
        <v>137</v>
      </c>
      <c r="I130" s="4" t="s">
        <v>138</v>
      </c>
      <c r="J130" s="4" t="s">
        <v>48</v>
      </c>
      <c r="K130" s="4" t="n">
        <v>200</v>
      </c>
      <c r="L130" s="4" t="n">
        <v>60</v>
      </c>
      <c r="M130" s="9" t="n">
        <v>90</v>
      </c>
      <c r="N130" s="10" t="n">
        <f aca="false">K130*L130/1000000</f>
        <v>0.012</v>
      </c>
      <c r="O130" s="11" t="n">
        <f aca="false">M130/3600/N130</f>
        <v>2.08333333333333</v>
      </c>
      <c r="P130" s="4" t="str">
        <f aca="false">IF(O130&lt;=Hypothèses!$B$3,"oui","NON")</f>
        <v>oui</v>
      </c>
      <c r="Q130" s="4" t="s">
        <v>49</v>
      </c>
      <c r="R130" s="4"/>
      <c r="S130" s="12" t="s">
        <v>384</v>
      </c>
    </row>
    <row r="131" customFormat="false" ht="15" hidden="false" customHeight="false" outlineLevel="0" collapsed="false">
      <c r="A131" s="4" t="s">
        <v>385</v>
      </c>
      <c r="B131" s="4" t="s">
        <v>12</v>
      </c>
      <c r="C131" s="4" t="s">
        <v>9</v>
      </c>
      <c r="D131" s="4" t="s">
        <v>91</v>
      </c>
      <c r="E131" s="4" t="s">
        <v>134</v>
      </c>
      <c r="F131" s="4" t="s">
        <v>143</v>
      </c>
      <c r="G131" s="4" t="s">
        <v>136</v>
      </c>
      <c r="H131" s="4" t="s">
        <v>137</v>
      </c>
      <c r="I131" s="4" t="s">
        <v>138</v>
      </c>
      <c r="J131" s="4" t="s">
        <v>48</v>
      </c>
      <c r="K131" s="4" t="n">
        <v>200</v>
      </c>
      <c r="L131" s="4" t="n">
        <v>60</v>
      </c>
      <c r="M131" s="9" t="n">
        <v>90</v>
      </c>
      <c r="N131" s="10" t="n">
        <f aca="false">K131*L131/1000000</f>
        <v>0.012</v>
      </c>
      <c r="O131" s="11" t="n">
        <f aca="false">M131/3600/N131</f>
        <v>2.08333333333333</v>
      </c>
      <c r="P131" s="4" t="str">
        <f aca="false">IF(O131&lt;=Hypothèses!$B$3,"oui","NON")</f>
        <v>oui</v>
      </c>
      <c r="Q131" s="4" t="s">
        <v>49</v>
      </c>
      <c r="R131" s="4"/>
      <c r="S131" s="12" t="s">
        <v>386</v>
      </c>
    </row>
    <row r="132" customFormat="false" ht="15" hidden="false" customHeight="false" outlineLevel="0" collapsed="false">
      <c r="A132" s="4" t="s">
        <v>387</v>
      </c>
      <c r="B132" s="4" t="s">
        <v>12</v>
      </c>
      <c r="C132" s="4" t="s">
        <v>9</v>
      </c>
      <c r="D132" s="4" t="s">
        <v>91</v>
      </c>
      <c r="E132" s="4" t="s">
        <v>134</v>
      </c>
      <c r="F132" s="4" t="s">
        <v>143</v>
      </c>
      <c r="G132" s="4" t="s">
        <v>136</v>
      </c>
      <c r="H132" s="4" t="s">
        <v>137</v>
      </c>
      <c r="I132" s="4" t="s">
        <v>138</v>
      </c>
      <c r="J132" s="4" t="s">
        <v>48</v>
      </c>
      <c r="K132" s="4" t="n">
        <v>200</v>
      </c>
      <c r="L132" s="4" t="n">
        <v>60</v>
      </c>
      <c r="M132" s="9" t="n">
        <v>90</v>
      </c>
      <c r="N132" s="10" t="n">
        <f aca="false">K132*L132/1000000</f>
        <v>0.012</v>
      </c>
      <c r="O132" s="11" t="n">
        <f aca="false">M132/3600/N132</f>
        <v>2.08333333333333</v>
      </c>
      <c r="P132" s="4" t="str">
        <f aca="false">IF(O132&lt;=Hypothèses!$B$3,"oui","NON")</f>
        <v>oui</v>
      </c>
      <c r="Q132" s="4" t="s">
        <v>49</v>
      </c>
      <c r="R132" s="4"/>
      <c r="S132" s="12" t="s">
        <v>388</v>
      </c>
    </row>
    <row r="133" customFormat="false" ht="15" hidden="false" customHeight="false" outlineLevel="0" collapsed="false">
      <c r="A133" s="4" t="s">
        <v>389</v>
      </c>
      <c r="B133" s="4" t="s">
        <v>12</v>
      </c>
      <c r="C133" s="4" t="s">
        <v>9</v>
      </c>
      <c r="D133" s="4" t="s">
        <v>91</v>
      </c>
      <c r="E133" s="4" t="s">
        <v>134</v>
      </c>
      <c r="F133" s="4" t="s">
        <v>143</v>
      </c>
      <c r="G133" s="4" t="s">
        <v>136</v>
      </c>
      <c r="H133" s="4" t="s">
        <v>137</v>
      </c>
      <c r="I133" s="4" t="s">
        <v>138</v>
      </c>
      <c r="J133" s="4" t="s">
        <v>48</v>
      </c>
      <c r="K133" s="4" t="n">
        <v>200</v>
      </c>
      <c r="L133" s="4" t="n">
        <v>60</v>
      </c>
      <c r="M133" s="9" t="n">
        <v>90</v>
      </c>
      <c r="N133" s="10" t="n">
        <f aca="false">K133*L133/1000000</f>
        <v>0.012</v>
      </c>
      <c r="O133" s="11" t="n">
        <f aca="false">M133/3600/N133</f>
        <v>2.08333333333333</v>
      </c>
      <c r="P133" s="4" t="str">
        <f aca="false">IF(O133&lt;=Hypothèses!$B$3,"oui","NON")</f>
        <v>oui</v>
      </c>
      <c r="Q133" s="4" t="s">
        <v>49</v>
      </c>
      <c r="R133" s="4"/>
      <c r="S133" s="12" t="s">
        <v>390</v>
      </c>
    </row>
    <row r="134" customFormat="false" ht="15" hidden="false" customHeight="false" outlineLevel="0" collapsed="false">
      <c r="A134" s="4" t="s">
        <v>391</v>
      </c>
      <c r="B134" s="4" t="s">
        <v>12</v>
      </c>
      <c r="C134" s="4" t="s">
        <v>9</v>
      </c>
      <c r="D134" s="4" t="s">
        <v>91</v>
      </c>
      <c r="E134" s="4" t="s">
        <v>134</v>
      </c>
      <c r="F134" s="4" t="s">
        <v>143</v>
      </c>
      <c r="G134" s="4" t="s">
        <v>136</v>
      </c>
      <c r="H134" s="4" t="s">
        <v>137</v>
      </c>
      <c r="I134" s="4" t="s">
        <v>138</v>
      </c>
      <c r="J134" s="4" t="s">
        <v>48</v>
      </c>
      <c r="K134" s="4" t="n">
        <v>200</v>
      </c>
      <c r="L134" s="4" t="n">
        <v>60</v>
      </c>
      <c r="M134" s="9" t="n">
        <v>90</v>
      </c>
      <c r="N134" s="10" t="n">
        <f aca="false">K134*L134/1000000</f>
        <v>0.012</v>
      </c>
      <c r="O134" s="11" t="n">
        <f aca="false">M134/3600/N134</f>
        <v>2.08333333333333</v>
      </c>
      <c r="P134" s="4" t="str">
        <f aca="false">IF(O134&lt;=Hypothèses!$B$3,"oui","NON")</f>
        <v>oui</v>
      </c>
      <c r="Q134" s="4" t="s">
        <v>49</v>
      </c>
      <c r="R134" s="4"/>
      <c r="S134" s="12" t="s">
        <v>392</v>
      </c>
    </row>
    <row r="135" customFormat="false" ht="15" hidden="false" customHeight="false" outlineLevel="0" collapsed="false">
      <c r="A135" s="4" t="s">
        <v>393</v>
      </c>
      <c r="B135" s="4" t="s">
        <v>12</v>
      </c>
      <c r="C135" s="4" t="s">
        <v>9</v>
      </c>
      <c r="D135" s="4" t="s">
        <v>91</v>
      </c>
      <c r="E135" s="4" t="s">
        <v>134</v>
      </c>
      <c r="F135" s="4" t="s">
        <v>143</v>
      </c>
      <c r="G135" s="4" t="s">
        <v>136</v>
      </c>
      <c r="H135" s="4" t="s">
        <v>137</v>
      </c>
      <c r="I135" s="4" t="s">
        <v>138</v>
      </c>
      <c r="J135" s="4" t="s">
        <v>48</v>
      </c>
      <c r="K135" s="4" t="n">
        <v>200</v>
      </c>
      <c r="L135" s="4" t="n">
        <v>60</v>
      </c>
      <c r="M135" s="9" t="n">
        <v>90</v>
      </c>
      <c r="N135" s="10" t="n">
        <f aca="false">K135*L135/1000000</f>
        <v>0.012</v>
      </c>
      <c r="O135" s="11" t="n">
        <f aca="false">M135/3600/N135</f>
        <v>2.08333333333333</v>
      </c>
      <c r="P135" s="4" t="str">
        <f aca="false">IF(O135&lt;=Hypothèses!$B$3,"oui","NON")</f>
        <v>oui</v>
      </c>
      <c r="Q135" s="4" t="s">
        <v>49</v>
      </c>
      <c r="R135" s="4"/>
      <c r="S135" s="12" t="s">
        <v>394</v>
      </c>
    </row>
    <row r="136" customFormat="false" ht="15" hidden="false" customHeight="false" outlineLevel="0" collapsed="false">
      <c r="A136" s="4" t="s">
        <v>395</v>
      </c>
      <c r="B136" s="4" t="s">
        <v>12</v>
      </c>
      <c r="C136" s="4" t="s">
        <v>9</v>
      </c>
      <c r="D136" s="4" t="s">
        <v>91</v>
      </c>
      <c r="E136" s="4" t="s">
        <v>134</v>
      </c>
      <c r="F136" s="4" t="s">
        <v>143</v>
      </c>
      <c r="G136" s="4" t="s">
        <v>136</v>
      </c>
      <c r="H136" s="4" t="s">
        <v>137</v>
      </c>
      <c r="I136" s="4" t="s">
        <v>138</v>
      </c>
      <c r="J136" s="4" t="s">
        <v>48</v>
      </c>
      <c r="K136" s="4" t="n">
        <v>200</v>
      </c>
      <c r="L136" s="4" t="n">
        <v>60</v>
      </c>
      <c r="M136" s="9" t="n">
        <v>90</v>
      </c>
      <c r="N136" s="10" t="n">
        <f aca="false">K136*L136/1000000</f>
        <v>0.012</v>
      </c>
      <c r="O136" s="11" t="n">
        <f aca="false">M136/3600/N136</f>
        <v>2.08333333333333</v>
      </c>
      <c r="P136" s="4" t="str">
        <f aca="false">IF(O136&lt;=Hypothèses!$B$3,"oui","NON")</f>
        <v>oui</v>
      </c>
      <c r="Q136" s="4" t="s">
        <v>49</v>
      </c>
      <c r="R136" s="4"/>
      <c r="S136" s="12" t="s">
        <v>396</v>
      </c>
    </row>
    <row r="137" customFormat="false" ht="15" hidden="false" customHeight="false" outlineLevel="0" collapsed="false">
      <c r="A137" s="4" t="s">
        <v>397</v>
      </c>
      <c r="B137" s="4" t="s">
        <v>12</v>
      </c>
      <c r="C137" s="4" t="s">
        <v>9</v>
      </c>
      <c r="D137" s="4" t="s">
        <v>91</v>
      </c>
      <c r="E137" s="4" t="s">
        <v>134</v>
      </c>
      <c r="F137" s="4" t="s">
        <v>143</v>
      </c>
      <c r="G137" s="4" t="s">
        <v>136</v>
      </c>
      <c r="H137" s="4" t="s">
        <v>137</v>
      </c>
      <c r="I137" s="4" t="s">
        <v>138</v>
      </c>
      <c r="J137" s="4" t="s">
        <v>48</v>
      </c>
      <c r="K137" s="4" t="n">
        <v>200</v>
      </c>
      <c r="L137" s="4" t="n">
        <v>60</v>
      </c>
      <c r="M137" s="9" t="n">
        <v>90</v>
      </c>
      <c r="N137" s="10" t="n">
        <f aca="false">K137*L137/1000000</f>
        <v>0.012</v>
      </c>
      <c r="O137" s="11" t="n">
        <f aca="false">M137/3600/N137</f>
        <v>2.08333333333333</v>
      </c>
      <c r="P137" s="4" t="str">
        <f aca="false">IF(O137&lt;=Hypothèses!$B$3,"oui","NON")</f>
        <v>oui</v>
      </c>
      <c r="Q137" s="13" t="s">
        <v>275</v>
      </c>
      <c r="R137" s="13" t="s">
        <v>276</v>
      </c>
      <c r="S137" s="12" t="s">
        <v>398</v>
      </c>
    </row>
    <row r="138" customFormat="false" ht="15" hidden="false" customHeight="false" outlineLevel="0" collapsed="false">
      <c r="A138" s="4" t="s">
        <v>399</v>
      </c>
      <c r="B138" s="4" t="s">
        <v>13</v>
      </c>
      <c r="C138" s="4" t="s">
        <v>10</v>
      </c>
      <c r="D138" s="4" t="s">
        <v>91</v>
      </c>
      <c r="E138" s="4" t="s">
        <v>400</v>
      </c>
      <c r="F138" s="4" t="s">
        <v>44</v>
      </c>
      <c r="G138" s="4" t="s">
        <v>45</v>
      </c>
      <c r="H138" s="4" t="s">
        <v>46</v>
      </c>
      <c r="I138" s="4" t="s">
        <v>47</v>
      </c>
      <c r="J138" s="4" t="s">
        <v>48</v>
      </c>
      <c r="K138" s="4" t="n">
        <v>200</v>
      </c>
      <c r="L138" s="4" t="n">
        <v>60</v>
      </c>
      <c r="M138" s="9" t="n">
        <v>90</v>
      </c>
      <c r="N138" s="10" t="n">
        <f aca="false">K138*L138/1000000</f>
        <v>0.012</v>
      </c>
      <c r="O138" s="11" t="n">
        <f aca="false">M138/3600/N138</f>
        <v>2.08333333333333</v>
      </c>
      <c r="P138" s="4" t="str">
        <f aca="false">IF(O138&lt;=Hypothèses!$B$3,"oui","NON")</f>
        <v>oui</v>
      </c>
      <c r="Q138" s="4" t="s">
        <v>49</v>
      </c>
      <c r="R138" s="4"/>
      <c r="S138" s="12" t="s">
        <v>401</v>
      </c>
    </row>
    <row r="139" customFormat="false" ht="15" hidden="false" customHeight="false" outlineLevel="0" collapsed="false">
      <c r="A139" s="4" t="s">
        <v>402</v>
      </c>
      <c r="B139" s="4" t="s">
        <v>13</v>
      </c>
      <c r="C139" s="4" t="s">
        <v>10</v>
      </c>
      <c r="D139" s="4" t="s">
        <v>91</v>
      </c>
      <c r="E139" s="4" t="s">
        <v>403</v>
      </c>
      <c r="F139" s="4" t="s">
        <v>44</v>
      </c>
      <c r="G139" s="4" t="s">
        <v>45</v>
      </c>
      <c r="H139" s="4" t="s">
        <v>46</v>
      </c>
      <c r="I139" s="4" t="s">
        <v>47</v>
      </c>
      <c r="J139" s="4" t="s">
        <v>48</v>
      </c>
      <c r="K139" s="4" t="n">
        <v>200</v>
      </c>
      <c r="L139" s="4" t="n">
        <v>60</v>
      </c>
      <c r="M139" s="9" t="n">
        <v>90</v>
      </c>
      <c r="N139" s="10" t="n">
        <f aca="false">K139*L139/1000000</f>
        <v>0.012</v>
      </c>
      <c r="O139" s="11" t="n">
        <f aca="false">M139/3600/N139</f>
        <v>2.08333333333333</v>
      </c>
      <c r="P139" s="4" t="str">
        <f aca="false">IF(O139&lt;=Hypothèses!$B$3,"oui","NON")</f>
        <v>oui</v>
      </c>
      <c r="Q139" s="4" t="s">
        <v>49</v>
      </c>
      <c r="R139" s="4"/>
      <c r="S139" s="12" t="s">
        <v>404</v>
      </c>
    </row>
    <row r="140" customFormat="false" ht="15" hidden="false" customHeight="false" outlineLevel="0" collapsed="false">
      <c r="A140" s="4" t="s">
        <v>405</v>
      </c>
      <c r="B140" s="4" t="s">
        <v>13</v>
      </c>
      <c r="C140" s="4" t="s">
        <v>10</v>
      </c>
      <c r="D140" s="4" t="s">
        <v>91</v>
      </c>
      <c r="E140" s="4" t="s">
        <v>406</v>
      </c>
      <c r="F140" s="4" t="s">
        <v>44</v>
      </c>
      <c r="G140" s="4" t="s">
        <v>45</v>
      </c>
      <c r="H140" s="4" t="s">
        <v>46</v>
      </c>
      <c r="I140" s="4" t="s">
        <v>47</v>
      </c>
      <c r="J140" s="4" t="s">
        <v>48</v>
      </c>
      <c r="K140" s="4" t="n">
        <v>200</v>
      </c>
      <c r="L140" s="4" t="n">
        <v>60</v>
      </c>
      <c r="M140" s="9" t="n">
        <v>90</v>
      </c>
      <c r="N140" s="10" t="n">
        <f aca="false">K140*L140/1000000</f>
        <v>0.012</v>
      </c>
      <c r="O140" s="11" t="n">
        <f aca="false">M140/3600/N140</f>
        <v>2.08333333333333</v>
      </c>
      <c r="P140" s="4" t="str">
        <f aca="false">IF(O140&lt;=Hypothèses!$B$3,"oui","NON")</f>
        <v>oui</v>
      </c>
      <c r="Q140" s="4" t="s">
        <v>49</v>
      </c>
      <c r="R140" s="4"/>
      <c r="S140" s="12" t="s">
        <v>407</v>
      </c>
    </row>
    <row r="141" customFormat="false" ht="15" hidden="false" customHeight="false" outlineLevel="0" collapsed="false">
      <c r="A141" s="4" t="s">
        <v>408</v>
      </c>
      <c r="B141" s="4" t="s">
        <v>13</v>
      </c>
      <c r="C141" s="4" t="s">
        <v>10</v>
      </c>
      <c r="D141" s="4" t="s">
        <v>91</v>
      </c>
      <c r="E141" s="4" t="s">
        <v>409</v>
      </c>
      <c r="F141" s="4" t="s">
        <v>44</v>
      </c>
      <c r="G141" s="4" t="s">
        <v>45</v>
      </c>
      <c r="H141" s="4" t="s">
        <v>46</v>
      </c>
      <c r="I141" s="4" t="s">
        <v>47</v>
      </c>
      <c r="J141" s="4" t="s">
        <v>48</v>
      </c>
      <c r="K141" s="4" t="n">
        <v>200</v>
      </c>
      <c r="L141" s="4" t="n">
        <v>60</v>
      </c>
      <c r="M141" s="9" t="n">
        <v>90</v>
      </c>
      <c r="N141" s="10" t="n">
        <f aca="false">K141*L141/1000000</f>
        <v>0.012</v>
      </c>
      <c r="O141" s="11" t="n">
        <f aca="false">M141/3600/N141</f>
        <v>2.08333333333333</v>
      </c>
      <c r="P141" s="4" t="str">
        <f aca="false">IF(O141&lt;=Hypothèses!$B$3,"oui","NON")</f>
        <v>oui</v>
      </c>
      <c r="Q141" s="4" t="s">
        <v>49</v>
      </c>
      <c r="R141" s="4"/>
      <c r="S141" s="12" t="s">
        <v>410</v>
      </c>
    </row>
    <row r="142" customFormat="false" ht="15" hidden="false" customHeight="false" outlineLevel="0" collapsed="false">
      <c r="A142" s="4" t="s">
        <v>411</v>
      </c>
      <c r="B142" s="4" t="s">
        <v>13</v>
      </c>
      <c r="C142" s="4" t="s">
        <v>10</v>
      </c>
      <c r="D142" s="4" t="s">
        <v>91</v>
      </c>
      <c r="E142" s="4" t="s">
        <v>412</v>
      </c>
      <c r="F142" s="4" t="s">
        <v>44</v>
      </c>
      <c r="G142" s="4" t="s">
        <v>45</v>
      </c>
      <c r="H142" s="4" t="s">
        <v>46</v>
      </c>
      <c r="I142" s="4" t="s">
        <v>47</v>
      </c>
      <c r="J142" s="4" t="s">
        <v>48</v>
      </c>
      <c r="K142" s="4" t="n">
        <v>200</v>
      </c>
      <c r="L142" s="4" t="n">
        <v>60</v>
      </c>
      <c r="M142" s="9" t="n">
        <v>90</v>
      </c>
      <c r="N142" s="10" t="n">
        <f aca="false">K142*L142/1000000</f>
        <v>0.012</v>
      </c>
      <c r="O142" s="11" t="n">
        <f aca="false">M142/3600/N142</f>
        <v>2.08333333333333</v>
      </c>
      <c r="P142" s="4" t="str">
        <f aca="false">IF(O142&lt;=Hypothèses!$B$3,"oui","NON")</f>
        <v>oui</v>
      </c>
      <c r="Q142" s="4" t="s">
        <v>49</v>
      </c>
      <c r="R142" s="4"/>
      <c r="S142" s="12" t="s">
        <v>413</v>
      </c>
    </row>
    <row r="143" customFormat="false" ht="15" hidden="false" customHeight="false" outlineLevel="0" collapsed="false">
      <c r="A143" s="4" t="s">
        <v>414</v>
      </c>
      <c r="B143" s="4" t="s">
        <v>13</v>
      </c>
      <c r="C143" s="4" t="s">
        <v>10</v>
      </c>
      <c r="D143" s="4" t="s">
        <v>91</v>
      </c>
      <c r="E143" s="4" t="s">
        <v>415</v>
      </c>
      <c r="F143" s="4" t="s">
        <v>44</v>
      </c>
      <c r="G143" s="4" t="s">
        <v>45</v>
      </c>
      <c r="H143" s="4" t="s">
        <v>46</v>
      </c>
      <c r="I143" s="4" t="s">
        <v>47</v>
      </c>
      <c r="J143" s="4" t="s">
        <v>48</v>
      </c>
      <c r="K143" s="4" t="n">
        <v>200</v>
      </c>
      <c r="L143" s="4" t="n">
        <v>60</v>
      </c>
      <c r="M143" s="9" t="n">
        <v>90</v>
      </c>
      <c r="N143" s="10" t="n">
        <f aca="false">K143*L143/1000000</f>
        <v>0.012</v>
      </c>
      <c r="O143" s="11" t="n">
        <f aca="false">M143/3600/N143</f>
        <v>2.08333333333333</v>
      </c>
      <c r="P143" s="4" t="str">
        <f aca="false">IF(O143&lt;=Hypothèses!$B$3,"oui","NON")</f>
        <v>oui</v>
      </c>
      <c r="Q143" s="4" t="s">
        <v>49</v>
      </c>
      <c r="R143" s="4"/>
      <c r="S143" s="12" t="s">
        <v>416</v>
      </c>
    </row>
    <row r="144" customFormat="false" ht="15" hidden="false" customHeight="false" outlineLevel="0" collapsed="false">
      <c r="A144" s="4" t="s">
        <v>417</v>
      </c>
      <c r="B144" s="4" t="s">
        <v>13</v>
      </c>
      <c r="C144" s="4" t="s">
        <v>10</v>
      </c>
      <c r="D144" s="4" t="s">
        <v>91</v>
      </c>
      <c r="E144" s="4" t="s">
        <v>418</v>
      </c>
      <c r="F144" s="4" t="s">
        <v>44</v>
      </c>
      <c r="G144" s="4" t="s">
        <v>45</v>
      </c>
      <c r="H144" s="4" t="s">
        <v>46</v>
      </c>
      <c r="I144" s="4" t="s">
        <v>47</v>
      </c>
      <c r="J144" s="4" t="s">
        <v>48</v>
      </c>
      <c r="K144" s="4" t="n">
        <v>200</v>
      </c>
      <c r="L144" s="4" t="n">
        <v>60</v>
      </c>
      <c r="M144" s="9" t="n">
        <v>90</v>
      </c>
      <c r="N144" s="10" t="n">
        <f aca="false">K144*L144/1000000</f>
        <v>0.012</v>
      </c>
      <c r="O144" s="11" t="n">
        <f aca="false">M144/3600/N144</f>
        <v>2.08333333333333</v>
      </c>
      <c r="P144" s="4" t="str">
        <f aca="false">IF(O144&lt;=Hypothèses!$B$3,"oui","NON")</f>
        <v>oui</v>
      </c>
      <c r="Q144" s="4" t="s">
        <v>49</v>
      </c>
      <c r="R144" s="4"/>
      <c r="S144" s="12" t="s">
        <v>419</v>
      </c>
    </row>
    <row r="145" customFormat="false" ht="15" hidden="false" customHeight="false" outlineLevel="0" collapsed="false">
      <c r="A145" s="4" t="s">
        <v>420</v>
      </c>
      <c r="B145" s="4" t="s">
        <v>13</v>
      </c>
      <c r="C145" s="4" t="s">
        <v>10</v>
      </c>
      <c r="D145" s="4" t="s">
        <v>91</v>
      </c>
      <c r="E145" s="4" t="s">
        <v>421</v>
      </c>
      <c r="F145" s="4" t="s">
        <v>44</v>
      </c>
      <c r="G145" s="4" t="s">
        <v>45</v>
      </c>
      <c r="H145" s="4" t="s">
        <v>46</v>
      </c>
      <c r="I145" s="4" t="s">
        <v>47</v>
      </c>
      <c r="J145" s="4" t="s">
        <v>48</v>
      </c>
      <c r="K145" s="4" t="n">
        <v>200</v>
      </c>
      <c r="L145" s="4" t="n">
        <v>60</v>
      </c>
      <c r="M145" s="9" t="n">
        <v>90</v>
      </c>
      <c r="N145" s="10" t="n">
        <f aca="false">K145*L145/1000000</f>
        <v>0.012</v>
      </c>
      <c r="O145" s="11" t="n">
        <f aca="false">M145/3600/N145</f>
        <v>2.08333333333333</v>
      </c>
      <c r="P145" s="4" t="str">
        <f aca="false">IF(O145&lt;=Hypothèses!$B$3,"oui","NON")</f>
        <v>oui</v>
      </c>
      <c r="Q145" s="4" t="s">
        <v>49</v>
      </c>
      <c r="R145" s="4"/>
      <c r="S145" s="12" t="s">
        <v>422</v>
      </c>
    </row>
    <row r="146" customFormat="false" ht="15" hidden="false" customHeight="false" outlineLevel="0" collapsed="false">
      <c r="A146" s="4" t="s">
        <v>423</v>
      </c>
      <c r="B146" s="4" t="s">
        <v>13</v>
      </c>
      <c r="C146" s="4" t="s">
        <v>10</v>
      </c>
      <c r="D146" s="4" t="s">
        <v>91</v>
      </c>
      <c r="E146" s="4" t="s">
        <v>424</v>
      </c>
      <c r="F146" s="4" t="s">
        <v>44</v>
      </c>
      <c r="G146" s="4" t="s">
        <v>45</v>
      </c>
      <c r="H146" s="4" t="s">
        <v>46</v>
      </c>
      <c r="I146" s="4" t="s">
        <v>47</v>
      </c>
      <c r="J146" s="4" t="s">
        <v>48</v>
      </c>
      <c r="K146" s="4" t="n">
        <v>200</v>
      </c>
      <c r="L146" s="4" t="n">
        <v>60</v>
      </c>
      <c r="M146" s="9" t="n">
        <v>90</v>
      </c>
      <c r="N146" s="10" t="n">
        <f aca="false">K146*L146/1000000</f>
        <v>0.012</v>
      </c>
      <c r="O146" s="11" t="n">
        <f aca="false">M146/3600/N146</f>
        <v>2.08333333333333</v>
      </c>
      <c r="P146" s="4" t="str">
        <f aca="false">IF(O146&lt;=Hypothèses!$B$3,"oui","NON")</f>
        <v>oui</v>
      </c>
      <c r="Q146" s="4" t="s">
        <v>49</v>
      </c>
      <c r="R146" s="4"/>
      <c r="S146" s="12" t="s">
        <v>425</v>
      </c>
    </row>
    <row r="147" customFormat="false" ht="15" hidden="false" customHeight="false" outlineLevel="0" collapsed="false">
      <c r="A147" s="4" t="s">
        <v>426</v>
      </c>
      <c r="B147" s="4" t="s">
        <v>13</v>
      </c>
      <c r="C147" s="4" t="s">
        <v>10</v>
      </c>
      <c r="D147" s="4" t="s">
        <v>91</v>
      </c>
      <c r="E147" s="4" t="s">
        <v>427</v>
      </c>
      <c r="F147" s="4" t="s">
        <v>44</v>
      </c>
      <c r="G147" s="4" t="s">
        <v>45</v>
      </c>
      <c r="H147" s="4" t="s">
        <v>46</v>
      </c>
      <c r="I147" s="4" t="s">
        <v>47</v>
      </c>
      <c r="J147" s="4" t="s">
        <v>48</v>
      </c>
      <c r="K147" s="4" t="n">
        <v>200</v>
      </c>
      <c r="L147" s="4" t="n">
        <v>60</v>
      </c>
      <c r="M147" s="9" t="n">
        <v>90</v>
      </c>
      <c r="N147" s="10" t="n">
        <f aca="false">K147*L147/1000000</f>
        <v>0.012</v>
      </c>
      <c r="O147" s="11" t="n">
        <f aca="false">M147/3600/N147</f>
        <v>2.08333333333333</v>
      </c>
      <c r="P147" s="4" t="str">
        <f aca="false">IF(O147&lt;=Hypothèses!$B$3,"oui","NON")</f>
        <v>oui</v>
      </c>
      <c r="Q147" s="4" t="s">
        <v>49</v>
      </c>
      <c r="R147" s="4"/>
      <c r="S147" s="12" t="s">
        <v>428</v>
      </c>
    </row>
    <row r="148" customFormat="false" ht="15" hidden="false" customHeight="false" outlineLevel="0" collapsed="false">
      <c r="A148" s="4" t="s">
        <v>429</v>
      </c>
      <c r="B148" s="4" t="s">
        <v>13</v>
      </c>
      <c r="C148" s="4" t="s">
        <v>10</v>
      </c>
      <c r="D148" s="4" t="s">
        <v>91</v>
      </c>
      <c r="E148" s="4" t="s">
        <v>430</v>
      </c>
      <c r="F148" s="4" t="s">
        <v>44</v>
      </c>
      <c r="G148" s="4" t="s">
        <v>45</v>
      </c>
      <c r="H148" s="4" t="s">
        <v>46</v>
      </c>
      <c r="I148" s="4" t="s">
        <v>47</v>
      </c>
      <c r="J148" s="4" t="s">
        <v>48</v>
      </c>
      <c r="K148" s="4" t="n">
        <v>200</v>
      </c>
      <c r="L148" s="4" t="n">
        <v>60</v>
      </c>
      <c r="M148" s="9" t="n">
        <v>90</v>
      </c>
      <c r="N148" s="10" t="n">
        <f aca="false">K148*L148/1000000</f>
        <v>0.012</v>
      </c>
      <c r="O148" s="11" t="n">
        <f aca="false">M148/3600/N148</f>
        <v>2.08333333333333</v>
      </c>
      <c r="P148" s="4" t="str">
        <f aca="false">IF(O148&lt;=Hypothèses!$B$3,"oui","NON")</f>
        <v>oui</v>
      </c>
      <c r="Q148" s="4" t="s">
        <v>49</v>
      </c>
      <c r="R148" s="4"/>
      <c r="S148" s="12" t="s">
        <v>431</v>
      </c>
    </row>
    <row r="149" customFormat="false" ht="15" hidden="false" customHeight="false" outlineLevel="0" collapsed="false">
      <c r="A149" s="4" t="s">
        <v>432</v>
      </c>
      <c r="B149" s="4" t="s">
        <v>13</v>
      </c>
      <c r="C149" s="4" t="s">
        <v>10</v>
      </c>
      <c r="D149" s="4" t="s">
        <v>91</v>
      </c>
      <c r="E149" s="4" t="s">
        <v>433</v>
      </c>
      <c r="F149" s="4" t="s">
        <v>44</v>
      </c>
      <c r="G149" s="4" t="s">
        <v>45</v>
      </c>
      <c r="H149" s="4" t="s">
        <v>46</v>
      </c>
      <c r="I149" s="4" t="s">
        <v>47</v>
      </c>
      <c r="J149" s="4" t="s">
        <v>48</v>
      </c>
      <c r="K149" s="4" t="n">
        <v>200</v>
      </c>
      <c r="L149" s="4" t="n">
        <v>60</v>
      </c>
      <c r="M149" s="9" t="n">
        <v>90</v>
      </c>
      <c r="N149" s="10" t="n">
        <f aca="false">K149*L149/1000000</f>
        <v>0.012</v>
      </c>
      <c r="O149" s="11" t="n">
        <f aca="false">M149/3600/N149</f>
        <v>2.08333333333333</v>
      </c>
      <c r="P149" s="4" t="str">
        <f aca="false">IF(O149&lt;=Hypothèses!$B$3,"oui","NON")</f>
        <v>oui</v>
      </c>
      <c r="Q149" s="4" t="s">
        <v>49</v>
      </c>
      <c r="R149" s="4"/>
      <c r="S149" s="12" t="s">
        <v>434</v>
      </c>
    </row>
    <row r="150" customFormat="false" ht="15" hidden="false" customHeight="false" outlineLevel="0" collapsed="false">
      <c r="A150" s="4" t="s">
        <v>435</v>
      </c>
      <c r="B150" s="4" t="s">
        <v>13</v>
      </c>
      <c r="C150" s="4" t="s">
        <v>10</v>
      </c>
      <c r="D150" s="4" t="s">
        <v>91</v>
      </c>
      <c r="E150" s="4" t="s">
        <v>436</v>
      </c>
      <c r="F150" s="4" t="s">
        <v>44</v>
      </c>
      <c r="G150" s="4" t="s">
        <v>45</v>
      </c>
      <c r="H150" s="4" t="s">
        <v>46</v>
      </c>
      <c r="I150" s="4" t="s">
        <v>47</v>
      </c>
      <c r="J150" s="4" t="s">
        <v>48</v>
      </c>
      <c r="K150" s="4" t="n">
        <v>200</v>
      </c>
      <c r="L150" s="4" t="n">
        <v>60</v>
      </c>
      <c r="M150" s="9" t="n">
        <v>90</v>
      </c>
      <c r="N150" s="10" t="n">
        <f aca="false">K150*L150/1000000</f>
        <v>0.012</v>
      </c>
      <c r="O150" s="11" t="n">
        <f aca="false">M150/3600/N150</f>
        <v>2.08333333333333</v>
      </c>
      <c r="P150" s="4" t="str">
        <f aca="false">IF(O150&lt;=Hypothèses!$B$3,"oui","NON")</f>
        <v>oui</v>
      </c>
      <c r="Q150" s="13" t="s">
        <v>275</v>
      </c>
      <c r="R150" s="13" t="s">
        <v>437</v>
      </c>
      <c r="S150" s="12" t="s">
        <v>438</v>
      </c>
    </row>
    <row r="151" customFormat="false" ht="15" hidden="false" customHeight="false" outlineLevel="0" collapsed="false">
      <c r="A151" s="4" t="s">
        <v>439</v>
      </c>
      <c r="B151" s="4" t="s">
        <v>13</v>
      </c>
      <c r="C151" s="4" t="s">
        <v>9</v>
      </c>
      <c r="D151" s="4" t="s">
        <v>91</v>
      </c>
      <c r="E151" s="4" t="s">
        <v>134</v>
      </c>
      <c r="F151" s="4" t="s">
        <v>143</v>
      </c>
      <c r="G151" s="4" t="s">
        <v>136</v>
      </c>
      <c r="H151" s="4" t="s">
        <v>137</v>
      </c>
      <c r="I151" s="4" t="s">
        <v>138</v>
      </c>
      <c r="J151" s="4" t="s">
        <v>48</v>
      </c>
      <c r="K151" s="4" t="n">
        <v>200</v>
      </c>
      <c r="L151" s="4" t="n">
        <v>60</v>
      </c>
      <c r="M151" s="9" t="n">
        <v>90</v>
      </c>
      <c r="N151" s="10" t="n">
        <f aca="false">K151*L151/1000000</f>
        <v>0.012</v>
      </c>
      <c r="O151" s="11" t="n">
        <f aca="false">M151/3600/N151</f>
        <v>2.08333333333333</v>
      </c>
      <c r="P151" s="4" t="str">
        <f aca="false">IF(O151&lt;=Hypothèses!$B$3,"oui","NON")</f>
        <v>oui</v>
      </c>
      <c r="Q151" s="4" t="s">
        <v>49</v>
      </c>
      <c r="R151" s="4"/>
      <c r="S151" s="12" t="s">
        <v>440</v>
      </c>
    </row>
    <row r="152" customFormat="false" ht="15" hidden="false" customHeight="false" outlineLevel="0" collapsed="false">
      <c r="A152" s="4" t="s">
        <v>441</v>
      </c>
      <c r="B152" s="4" t="s">
        <v>13</v>
      </c>
      <c r="C152" s="4" t="s">
        <v>9</v>
      </c>
      <c r="D152" s="4" t="s">
        <v>91</v>
      </c>
      <c r="E152" s="4" t="s">
        <v>134</v>
      </c>
      <c r="F152" s="4" t="s">
        <v>143</v>
      </c>
      <c r="G152" s="4" t="s">
        <v>136</v>
      </c>
      <c r="H152" s="4" t="s">
        <v>137</v>
      </c>
      <c r="I152" s="4" t="s">
        <v>138</v>
      </c>
      <c r="J152" s="4" t="s">
        <v>48</v>
      </c>
      <c r="K152" s="4" t="n">
        <v>200</v>
      </c>
      <c r="L152" s="4" t="n">
        <v>60</v>
      </c>
      <c r="M152" s="9" t="n">
        <v>90</v>
      </c>
      <c r="N152" s="10" t="n">
        <f aca="false">K152*L152/1000000</f>
        <v>0.012</v>
      </c>
      <c r="O152" s="11" t="n">
        <f aca="false">M152/3600/N152</f>
        <v>2.08333333333333</v>
      </c>
      <c r="P152" s="4" t="str">
        <f aca="false">IF(O152&lt;=Hypothèses!$B$3,"oui","NON")</f>
        <v>oui</v>
      </c>
      <c r="Q152" s="4" t="s">
        <v>49</v>
      </c>
      <c r="R152" s="4"/>
      <c r="S152" s="12" t="s">
        <v>442</v>
      </c>
    </row>
    <row r="153" customFormat="false" ht="15" hidden="false" customHeight="false" outlineLevel="0" collapsed="false">
      <c r="A153" s="4" t="s">
        <v>443</v>
      </c>
      <c r="B153" s="4" t="s">
        <v>13</v>
      </c>
      <c r="C153" s="4" t="s">
        <v>9</v>
      </c>
      <c r="D153" s="4" t="s">
        <v>91</v>
      </c>
      <c r="E153" s="4" t="s">
        <v>134</v>
      </c>
      <c r="F153" s="4" t="s">
        <v>143</v>
      </c>
      <c r="G153" s="4" t="s">
        <v>136</v>
      </c>
      <c r="H153" s="4" t="s">
        <v>137</v>
      </c>
      <c r="I153" s="4" t="s">
        <v>138</v>
      </c>
      <c r="J153" s="4" t="s">
        <v>48</v>
      </c>
      <c r="K153" s="4" t="n">
        <v>200</v>
      </c>
      <c r="L153" s="4" t="n">
        <v>60</v>
      </c>
      <c r="M153" s="9" t="n">
        <v>90</v>
      </c>
      <c r="N153" s="10" t="n">
        <f aca="false">K153*L153/1000000</f>
        <v>0.012</v>
      </c>
      <c r="O153" s="11" t="n">
        <f aca="false">M153/3600/N153</f>
        <v>2.08333333333333</v>
      </c>
      <c r="P153" s="4" t="str">
        <f aca="false">IF(O153&lt;=Hypothèses!$B$3,"oui","NON")</f>
        <v>oui</v>
      </c>
      <c r="Q153" s="4" t="s">
        <v>49</v>
      </c>
      <c r="R153" s="4"/>
      <c r="S153" s="12" t="s">
        <v>444</v>
      </c>
    </row>
    <row r="154" customFormat="false" ht="15" hidden="false" customHeight="false" outlineLevel="0" collapsed="false">
      <c r="A154" s="4" t="s">
        <v>445</v>
      </c>
      <c r="B154" s="4" t="s">
        <v>13</v>
      </c>
      <c r="C154" s="4" t="s">
        <v>9</v>
      </c>
      <c r="D154" s="4" t="s">
        <v>91</v>
      </c>
      <c r="E154" s="4" t="s">
        <v>134</v>
      </c>
      <c r="F154" s="4" t="s">
        <v>143</v>
      </c>
      <c r="G154" s="4" t="s">
        <v>136</v>
      </c>
      <c r="H154" s="4" t="s">
        <v>137</v>
      </c>
      <c r="I154" s="4" t="s">
        <v>138</v>
      </c>
      <c r="J154" s="4" t="s">
        <v>48</v>
      </c>
      <c r="K154" s="4" t="n">
        <v>200</v>
      </c>
      <c r="L154" s="4" t="n">
        <v>60</v>
      </c>
      <c r="M154" s="9" t="n">
        <v>90</v>
      </c>
      <c r="N154" s="10" t="n">
        <f aca="false">K154*L154/1000000</f>
        <v>0.012</v>
      </c>
      <c r="O154" s="11" t="n">
        <f aca="false">M154/3600/N154</f>
        <v>2.08333333333333</v>
      </c>
      <c r="P154" s="4" t="str">
        <f aca="false">IF(O154&lt;=Hypothèses!$B$3,"oui","NON")</f>
        <v>oui</v>
      </c>
      <c r="Q154" s="4" t="s">
        <v>49</v>
      </c>
      <c r="R154" s="4"/>
      <c r="S154" s="12" t="s">
        <v>446</v>
      </c>
    </row>
    <row r="155" customFormat="false" ht="15" hidden="false" customHeight="false" outlineLevel="0" collapsed="false">
      <c r="A155" s="4" t="s">
        <v>447</v>
      </c>
      <c r="B155" s="4" t="s">
        <v>13</v>
      </c>
      <c r="C155" s="4" t="s">
        <v>9</v>
      </c>
      <c r="D155" s="4" t="s">
        <v>91</v>
      </c>
      <c r="E155" s="4" t="s">
        <v>134</v>
      </c>
      <c r="F155" s="4" t="s">
        <v>143</v>
      </c>
      <c r="G155" s="4" t="s">
        <v>136</v>
      </c>
      <c r="H155" s="4" t="s">
        <v>137</v>
      </c>
      <c r="I155" s="4" t="s">
        <v>138</v>
      </c>
      <c r="J155" s="4" t="s">
        <v>48</v>
      </c>
      <c r="K155" s="4" t="n">
        <v>200</v>
      </c>
      <c r="L155" s="4" t="n">
        <v>60</v>
      </c>
      <c r="M155" s="9" t="n">
        <v>90</v>
      </c>
      <c r="N155" s="10" t="n">
        <f aca="false">K155*L155/1000000</f>
        <v>0.012</v>
      </c>
      <c r="O155" s="11" t="n">
        <f aca="false">M155/3600/N155</f>
        <v>2.08333333333333</v>
      </c>
      <c r="P155" s="4" t="str">
        <f aca="false">IF(O155&lt;=Hypothèses!$B$3,"oui","NON")</f>
        <v>oui</v>
      </c>
      <c r="Q155" s="4" t="s">
        <v>49</v>
      </c>
      <c r="R155" s="4"/>
      <c r="S155" s="12" t="s">
        <v>448</v>
      </c>
    </row>
    <row r="156" customFormat="false" ht="15" hidden="false" customHeight="false" outlineLevel="0" collapsed="false">
      <c r="A156" s="4" t="s">
        <v>449</v>
      </c>
      <c r="B156" s="4" t="s">
        <v>13</v>
      </c>
      <c r="C156" s="4" t="s">
        <v>9</v>
      </c>
      <c r="D156" s="4" t="s">
        <v>91</v>
      </c>
      <c r="E156" s="4" t="s">
        <v>134</v>
      </c>
      <c r="F156" s="4" t="s">
        <v>143</v>
      </c>
      <c r="G156" s="4" t="s">
        <v>136</v>
      </c>
      <c r="H156" s="4" t="s">
        <v>137</v>
      </c>
      <c r="I156" s="4" t="s">
        <v>138</v>
      </c>
      <c r="J156" s="4" t="s">
        <v>48</v>
      </c>
      <c r="K156" s="4" t="n">
        <v>200</v>
      </c>
      <c r="L156" s="4" t="n">
        <v>60</v>
      </c>
      <c r="M156" s="9" t="n">
        <v>90</v>
      </c>
      <c r="N156" s="10" t="n">
        <f aca="false">K156*L156/1000000</f>
        <v>0.012</v>
      </c>
      <c r="O156" s="11" t="n">
        <f aca="false">M156/3600/N156</f>
        <v>2.08333333333333</v>
      </c>
      <c r="P156" s="4" t="str">
        <f aca="false">IF(O156&lt;=Hypothèses!$B$3,"oui","NON")</f>
        <v>oui</v>
      </c>
      <c r="Q156" s="4" t="s">
        <v>49</v>
      </c>
      <c r="R156" s="4"/>
      <c r="S156" s="12" t="s">
        <v>450</v>
      </c>
    </row>
    <row r="157" customFormat="false" ht="15" hidden="false" customHeight="false" outlineLevel="0" collapsed="false">
      <c r="A157" s="4" t="s">
        <v>451</v>
      </c>
      <c r="B157" s="4" t="s">
        <v>13</v>
      </c>
      <c r="C157" s="4" t="s">
        <v>9</v>
      </c>
      <c r="D157" s="4" t="s">
        <v>91</v>
      </c>
      <c r="E157" s="4" t="s">
        <v>134</v>
      </c>
      <c r="F157" s="4" t="s">
        <v>143</v>
      </c>
      <c r="G157" s="4" t="s">
        <v>136</v>
      </c>
      <c r="H157" s="4" t="s">
        <v>137</v>
      </c>
      <c r="I157" s="4" t="s">
        <v>138</v>
      </c>
      <c r="J157" s="4" t="s">
        <v>48</v>
      </c>
      <c r="K157" s="4" t="n">
        <v>200</v>
      </c>
      <c r="L157" s="4" t="n">
        <v>60</v>
      </c>
      <c r="M157" s="9" t="n">
        <v>90</v>
      </c>
      <c r="N157" s="10" t="n">
        <f aca="false">K157*L157/1000000</f>
        <v>0.012</v>
      </c>
      <c r="O157" s="11" t="n">
        <f aca="false">M157/3600/N157</f>
        <v>2.08333333333333</v>
      </c>
      <c r="P157" s="4" t="str">
        <f aca="false">IF(O157&lt;=Hypothèses!$B$3,"oui","NON")</f>
        <v>oui</v>
      </c>
      <c r="Q157" s="4" t="s">
        <v>49</v>
      </c>
      <c r="R157" s="4"/>
      <c r="S157" s="12" t="s">
        <v>452</v>
      </c>
    </row>
    <row r="158" customFormat="false" ht="15" hidden="false" customHeight="false" outlineLevel="0" collapsed="false">
      <c r="A158" s="4" t="s">
        <v>453</v>
      </c>
      <c r="B158" s="4" t="s">
        <v>13</v>
      </c>
      <c r="C158" s="4" t="s">
        <v>9</v>
      </c>
      <c r="D158" s="4" t="s">
        <v>91</v>
      </c>
      <c r="E158" s="4" t="s">
        <v>134</v>
      </c>
      <c r="F158" s="4" t="s">
        <v>143</v>
      </c>
      <c r="G158" s="4" t="s">
        <v>136</v>
      </c>
      <c r="H158" s="4" t="s">
        <v>137</v>
      </c>
      <c r="I158" s="4" t="s">
        <v>138</v>
      </c>
      <c r="J158" s="4" t="s">
        <v>48</v>
      </c>
      <c r="K158" s="4" t="n">
        <v>200</v>
      </c>
      <c r="L158" s="4" t="n">
        <v>60</v>
      </c>
      <c r="M158" s="9" t="n">
        <v>90</v>
      </c>
      <c r="N158" s="10" t="n">
        <f aca="false">K158*L158/1000000</f>
        <v>0.012</v>
      </c>
      <c r="O158" s="11" t="n">
        <f aca="false">M158/3600/N158</f>
        <v>2.08333333333333</v>
      </c>
      <c r="P158" s="4" t="str">
        <f aca="false">IF(O158&lt;=Hypothèses!$B$3,"oui","NON")</f>
        <v>oui</v>
      </c>
      <c r="Q158" s="4" t="s">
        <v>49</v>
      </c>
      <c r="R158" s="4"/>
      <c r="S158" s="12" t="s">
        <v>454</v>
      </c>
    </row>
    <row r="159" customFormat="false" ht="15" hidden="false" customHeight="false" outlineLevel="0" collapsed="false">
      <c r="A159" s="4" t="s">
        <v>455</v>
      </c>
      <c r="B159" s="4" t="s">
        <v>13</v>
      </c>
      <c r="C159" s="4" t="s">
        <v>9</v>
      </c>
      <c r="D159" s="4" t="s">
        <v>91</v>
      </c>
      <c r="E159" s="4" t="s">
        <v>134</v>
      </c>
      <c r="F159" s="4" t="s">
        <v>143</v>
      </c>
      <c r="G159" s="4" t="s">
        <v>136</v>
      </c>
      <c r="H159" s="4" t="s">
        <v>137</v>
      </c>
      <c r="I159" s="4" t="s">
        <v>138</v>
      </c>
      <c r="J159" s="4" t="s">
        <v>48</v>
      </c>
      <c r="K159" s="4" t="n">
        <v>200</v>
      </c>
      <c r="L159" s="4" t="n">
        <v>60</v>
      </c>
      <c r="M159" s="9" t="n">
        <v>90</v>
      </c>
      <c r="N159" s="10" t="n">
        <f aca="false">K159*L159/1000000</f>
        <v>0.012</v>
      </c>
      <c r="O159" s="11" t="n">
        <f aca="false">M159/3600/N159</f>
        <v>2.08333333333333</v>
      </c>
      <c r="P159" s="4" t="str">
        <f aca="false">IF(O159&lt;=Hypothèses!$B$3,"oui","NON")</f>
        <v>oui</v>
      </c>
      <c r="Q159" s="4" t="s">
        <v>49</v>
      </c>
      <c r="R159" s="4"/>
      <c r="S159" s="12" t="s">
        <v>456</v>
      </c>
    </row>
    <row r="160" customFormat="false" ht="15" hidden="false" customHeight="false" outlineLevel="0" collapsed="false">
      <c r="A160" s="4" t="s">
        <v>457</v>
      </c>
      <c r="B160" s="4" t="s">
        <v>13</v>
      </c>
      <c r="C160" s="4" t="s">
        <v>9</v>
      </c>
      <c r="D160" s="4" t="s">
        <v>91</v>
      </c>
      <c r="E160" s="4" t="s">
        <v>134</v>
      </c>
      <c r="F160" s="4" t="s">
        <v>143</v>
      </c>
      <c r="G160" s="4" t="s">
        <v>136</v>
      </c>
      <c r="H160" s="4" t="s">
        <v>137</v>
      </c>
      <c r="I160" s="4" t="s">
        <v>138</v>
      </c>
      <c r="J160" s="4" t="s">
        <v>48</v>
      </c>
      <c r="K160" s="4" t="n">
        <v>200</v>
      </c>
      <c r="L160" s="4" t="n">
        <v>60</v>
      </c>
      <c r="M160" s="9" t="n">
        <v>90</v>
      </c>
      <c r="N160" s="10" t="n">
        <f aca="false">K160*L160/1000000</f>
        <v>0.012</v>
      </c>
      <c r="O160" s="11" t="n">
        <f aca="false">M160/3600/N160</f>
        <v>2.08333333333333</v>
      </c>
      <c r="P160" s="4" t="str">
        <f aca="false">IF(O160&lt;=Hypothèses!$B$3,"oui","NON")</f>
        <v>oui</v>
      </c>
      <c r="Q160" s="4" t="s">
        <v>49</v>
      </c>
      <c r="R160" s="4"/>
      <c r="S160" s="12" t="s">
        <v>458</v>
      </c>
    </row>
    <row r="161" customFormat="false" ht="15" hidden="false" customHeight="false" outlineLevel="0" collapsed="false">
      <c r="A161" s="4" t="s">
        <v>459</v>
      </c>
      <c r="B161" s="4" t="s">
        <v>13</v>
      </c>
      <c r="C161" s="4" t="s">
        <v>9</v>
      </c>
      <c r="D161" s="4" t="s">
        <v>91</v>
      </c>
      <c r="E161" s="4" t="s">
        <v>134</v>
      </c>
      <c r="F161" s="4" t="s">
        <v>143</v>
      </c>
      <c r="G161" s="4" t="s">
        <v>136</v>
      </c>
      <c r="H161" s="4" t="s">
        <v>137</v>
      </c>
      <c r="I161" s="4" t="s">
        <v>138</v>
      </c>
      <c r="J161" s="4" t="s">
        <v>48</v>
      </c>
      <c r="K161" s="4" t="n">
        <v>200</v>
      </c>
      <c r="L161" s="4" t="n">
        <v>60</v>
      </c>
      <c r="M161" s="9" t="n">
        <v>90</v>
      </c>
      <c r="N161" s="10" t="n">
        <f aca="false">K161*L161/1000000</f>
        <v>0.012</v>
      </c>
      <c r="O161" s="11" t="n">
        <f aca="false">M161/3600/N161</f>
        <v>2.08333333333333</v>
      </c>
      <c r="P161" s="4" t="str">
        <f aca="false">IF(O161&lt;=Hypothèses!$B$3,"oui","NON")</f>
        <v>oui</v>
      </c>
      <c r="Q161" s="4" t="s">
        <v>49</v>
      </c>
      <c r="R161" s="4"/>
      <c r="S161" s="12" t="s">
        <v>460</v>
      </c>
    </row>
    <row r="162" customFormat="false" ht="15" hidden="false" customHeight="false" outlineLevel="0" collapsed="false">
      <c r="A162" s="4" t="s">
        <v>461</v>
      </c>
      <c r="B162" s="4" t="s">
        <v>13</v>
      </c>
      <c r="C162" s="4" t="s">
        <v>9</v>
      </c>
      <c r="D162" s="4" t="s">
        <v>91</v>
      </c>
      <c r="E162" s="4" t="s">
        <v>134</v>
      </c>
      <c r="F162" s="4" t="s">
        <v>143</v>
      </c>
      <c r="G162" s="4" t="s">
        <v>136</v>
      </c>
      <c r="H162" s="4" t="s">
        <v>137</v>
      </c>
      <c r="I162" s="4" t="s">
        <v>138</v>
      </c>
      <c r="J162" s="4" t="s">
        <v>48</v>
      </c>
      <c r="K162" s="4" t="n">
        <v>200</v>
      </c>
      <c r="L162" s="4" t="n">
        <v>60</v>
      </c>
      <c r="M162" s="9" t="n">
        <v>90</v>
      </c>
      <c r="N162" s="10" t="n">
        <f aca="false">K162*L162/1000000</f>
        <v>0.012</v>
      </c>
      <c r="O162" s="11" t="n">
        <f aca="false">M162/3600/N162</f>
        <v>2.08333333333333</v>
      </c>
      <c r="P162" s="4" t="str">
        <f aca="false">IF(O162&lt;=Hypothèses!$B$3,"oui","NON")</f>
        <v>oui</v>
      </c>
      <c r="Q162" s="4" t="s">
        <v>49</v>
      </c>
      <c r="R162" s="4"/>
      <c r="S162" s="12" t="s">
        <v>462</v>
      </c>
    </row>
    <row r="163" customFormat="false" ht="15" hidden="false" customHeight="false" outlineLevel="0" collapsed="false">
      <c r="A163" s="4" t="s">
        <v>463</v>
      </c>
      <c r="B163" s="4" t="s">
        <v>13</v>
      </c>
      <c r="C163" s="4" t="s">
        <v>9</v>
      </c>
      <c r="D163" s="4" t="s">
        <v>91</v>
      </c>
      <c r="E163" s="4" t="s">
        <v>134</v>
      </c>
      <c r="F163" s="4" t="s">
        <v>143</v>
      </c>
      <c r="G163" s="4" t="s">
        <v>136</v>
      </c>
      <c r="H163" s="4" t="s">
        <v>137</v>
      </c>
      <c r="I163" s="4" t="s">
        <v>138</v>
      </c>
      <c r="J163" s="4" t="s">
        <v>48</v>
      </c>
      <c r="K163" s="4" t="n">
        <v>200</v>
      </c>
      <c r="L163" s="4" t="n">
        <v>60</v>
      </c>
      <c r="M163" s="9" t="n">
        <v>90</v>
      </c>
      <c r="N163" s="10" t="n">
        <f aca="false">K163*L163/1000000</f>
        <v>0.012</v>
      </c>
      <c r="O163" s="11" t="n">
        <f aca="false">M163/3600/N163</f>
        <v>2.08333333333333</v>
      </c>
      <c r="P163" s="4" t="str">
        <f aca="false">IF(O163&lt;=Hypothèses!$B$3,"oui","NON")</f>
        <v>oui</v>
      </c>
      <c r="Q163" s="4" t="s">
        <v>49</v>
      </c>
      <c r="R163" s="4"/>
      <c r="S163" s="12" t="s">
        <v>464</v>
      </c>
    </row>
    <row r="164" customFormat="false" ht="15" hidden="false" customHeight="false" outlineLevel="0" collapsed="false">
      <c r="A164" s="4" t="s">
        <v>465</v>
      </c>
      <c r="B164" s="4" t="s">
        <v>14</v>
      </c>
      <c r="C164" s="4" t="s">
        <v>15</v>
      </c>
      <c r="D164" s="4" t="s">
        <v>42</v>
      </c>
      <c r="E164" s="4" t="s">
        <v>466</v>
      </c>
      <c r="F164" s="4" t="s">
        <v>467</v>
      </c>
      <c r="G164" s="4" t="s">
        <v>45</v>
      </c>
      <c r="H164" s="4" t="s">
        <v>468</v>
      </c>
      <c r="I164" s="4" t="s">
        <v>469</v>
      </c>
      <c r="J164" s="4" t="s">
        <v>470</v>
      </c>
      <c r="K164" s="4" t="n">
        <v>200</v>
      </c>
      <c r="L164" s="4" t="n">
        <v>60</v>
      </c>
      <c r="M164" s="9" t="n">
        <v>50</v>
      </c>
      <c r="N164" s="10" t="n">
        <f aca="false">K164*L164/1000000</f>
        <v>0.012</v>
      </c>
      <c r="O164" s="11" t="n">
        <f aca="false">M164/3600/N164</f>
        <v>1.15740740740741</v>
      </c>
      <c r="P164" s="4" t="str">
        <f aca="false">IF(O164&lt;=Hypothèses!$B$3,"oui","NON")</f>
        <v>oui</v>
      </c>
      <c r="Q164" s="13" t="s">
        <v>275</v>
      </c>
      <c r="R164" s="13" t="s">
        <v>437</v>
      </c>
      <c r="S164" s="12" t="s">
        <v>471</v>
      </c>
    </row>
    <row r="165" customFormat="false" ht="15" hidden="false" customHeight="false" outlineLevel="0" collapsed="false">
      <c r="A165" s="4" t="s">
        <v>472</v>
      </c>
      <c r="B165" s="4" t="s">
        <v>14</v>
      </c>
      <c r="C165" s="4" t="s">
        <v>15</v>
      </c>
      <c r="D165" s="4" t="s">
        <v>42</v>
      </c>
      <c r="E165" s="4" t="s">
        <v>473</v>
      </c>
      <c r="F165" s="4" t="s">
        <v>474</v>
      </c>
      <c r="G165" s="4" t="s">
        <v>45</v>
      </c>
      <c r="H165" s="4" t="s">
        <v>468</v>
      </c>
      <c r="I165" s="4" t="s">
        <v>469</v>
      </c>
      <c r="J165" s="4" t="s">
        <v>470</v>
      </c>
      <c r="K165" s="4" t="n">
        <v>200</v>
      </c>
      <c r="L165" s="4" t="n">
        <v>60</v>
      </c>
      <c r="M165" s="9" t="n">
        <v>90</v>
      </c>
      <c r="N165" s="10" t="n">
        <f aca="false">K165*L165/1000000</f>
        <v>0.012</v>
      </c>
      <c r="O165" s="11" t="n">
        <f aca="false">M165/3600/N165</f>
        <v>2.08333333333333</v>
      </c>
      <c r="P165" s="4" t="str">
        <f aca="false">IF(O165&lt;=Hypothèses!$B$3,"oui","NON")</f>
        <v>oui</v>
      </c>
      <c r="Q165" s="4" t="s">
        <v>49</v>
      </c>
      <c r="R165" s="4"/>
      <c r="S165" s="12" t="s">
        <v>475</v>
      </c>
    </row>
    <row r="166" customFormat="false" ht="15" hidden="false" customHeight="false" outlineLevel="0" collapsed="false">
      <c r="A166" s="4" t="s">
        <v>476</v>
      </c>
      <c r="B166" s="4" t="s">
        <v>14</v>
      </c>
      <c r="C166" s="4" t="s">
        <v>15</v>
      </c>
      <c r="D166" s="4" t="s">
        <v>42</v>
      </c>
      <c r="E166" s="4" t="s">
        <v>477</v>
      </c>
      <c r="F166" s="4" t="s">
        <v>478</v>
      </c>
      <c r="G166" s="4" t="s">
        <v>45</v>
      </c>
      <c r="H166" s="4" t="s">
        <v>468</v>
      </c>
      <c r="I166" s="4" t="s">
        <v>469</v>
      </c>
      <c r="J166" s="4" t="s">
        <v>470</v>
      </c>
      <c r="K166" s="4" t="n">
        <v>200</v>
      </c>
      <c r="L166" s="4" t="n">
        <v>60</v>
      </c>
      <c r="M166" s="9" t="n">
        <v>72</v>
      </c>
      <c r="N166" s="10" t="n">
        <f aca="false">K166*L166/1000000</f>
        <v>0.012</v>
      </c>
      <c r="O166" s="11" t="n">
        <f aca="false">M166/3600/N166</f>
        <v>1.66666666666667</v>
      </c>
      <c r="P166" s="4" t="str">
        <f aca="false">IF(O166&lt;=Hypothèses!$B$3,"oui","NON")</f>
        <v>oui</v>
      </c>
      <c r="Q166" s="13" t="s">
        <v>275</v>
      </c>
      <c r="R166" s="13" t="s">
        <v>437</v>
      </c>
      <c r="S166" s="12" t="s">
        <v>479</v>
      </c>
    </row>
    <row r="167" customFormat="false" ht="15" hidden="false" customHeight="false" outlineLevel="0" collapsed="false">
      <c r="A167" s="4" t="s">
        <v>480</v>
      </c>
      <c r="B167" s="4" t="s">
        <v>14</v>
      </c>
      <c r="C167" s="4" t="s">
        <v>15</v>
      </c>
      <c r="D167" s="4" t="s">
        <v>42</v>
      </c>
      <c r="E167" s="4" t="s">
        <v>481</v>
      </c>
      <c r="F167" s="4" t="s">
        <v>482</v>
      </c>
      <c r="G167" s="4" t="s">
        <v>45</v>
      </c>
      <c r="H167" s="4" t="s">
        <v>468</v>
      </c>
      <c r="I167" s="4" t="s">
        <v>469</v>
      </c>
      <c r="J167" s="4" t="s">
        <v>470</v>
      </c>
      <c r="K167" s="4" t="n">
        <v>200</v>
      </c>
      <c r="L167" s="4" t="n">
        <v>60</v>
      </c>
      <c r="M167" s="9" t="n">
        <v>75</v>
      </c>
      <c r="N167" s="10" t="n">
        <f aca="false">K167*L167/1000000</f>
        <v>0.012</v>
      </c>
      <c r="O167" s="11" t="n">
        <f aca="false">M167/3600/N167</f>
        <v>1.73611111111111</v>
      </c>
      <c r="P167" s="4" t="str">
        <f aca="false">IF(O167&lt;=Hypothèses!$B$3,"oui","NON")</f>
        <v>oui</v>
      </c>
      <c r="Q167" s="13" t="s">
        <v>275</v>
      </c>
      <c r="R167" s="13" t="s">
        <v>483</v>
      </c>
      <c r="S167" s="12" t="s">
        <v>484</v>
      </c>
    </row>
    <row r="168" customFormat="false" ht="15" hidden="false" customHeight="false" outlineLevel="0" collapsed="false">
      <c r="A168" s="4" t="s">
        <v>485</v>
      </c>
      <c r="B168" s="4" t="s">
        <v>14</v>
      </c>
      <c r="C168" s="4" t="s">
        <v>15</v>
      </c>
      <c r="D168" s="4" t="s">
        <v>42</v>
      </c>
      <c r="E168" s="4" t="s">
        <v>481</v>
      </c>
      <c r="F168" s="4" t="s">
        <v>486</v>
      </c>
      <c r="G168" s="4" t="s">
        <v>45</v>
      </c>
      <c r="H168" s="4" t="s">
        <v>468</v>
      </c>
      <c r="I168" s="4" t="s">
        <v>469</v>
      </c>
      <c r="J168" s="4" t="s">
        <v>470</v>
      </c>
      <c r="K168" s="4" t="n">
        <v>200</v>
      </c>
      <c r="L168" s="4" t="n">
        <v>60</v>
      </c>
      <c r="M168" s="9" t="n">
        <v>50</v>
      </c>
      <c r="N168" s="10" t="n">
        <f aca="false">K168*L168/1000000</f>
        <v>0.012</v>
      </c>
      <c r="O168" s="11" t="n">
        <f aca="false">M168/3600/N168</f>
        <v>1.15740740740741</v>
      </c>
      <c r="P168" s="4" t="str">
        <f aca="false">IF(O168&lt;=Hypothèses!$B$3,"oui","NON")</f>
        <v>oui</v>
      </c>
      <c r="Q168" s="13" t="s">
        <v>275</v>
      </c>
      <c r="R168" s="13" t="s">
        <v>437</v>
      </c>
      <c r="S168" s="12" t="s">
        <v>487</v>
      </c>
    </row>
    <row r="169" customFormat="false" ht="15" hidden="false" customHeight="false" outlineLevel="0" collapsed="false">
      <c r="A169" s="4" t="s">
        <v>488</v>
      </c>
      <c r="B169" s="4" t="s">
        <v>14</v>
      </c>
      <c r="C169" s="4" t="s">
        <v>15</v>
      </c>
      <c r="D169" s="4" t="s">
        <v>42</v>
      </c>
      <c r="E169" s="4" t="s">
        <v>481</v>
      </c>
      <c r="F169" s="4" t="s">
        <v>489</v>
      </c>
      <c r="G169" s="4" t="s">
        <v>45</v>
      </c>
      <c r="H169" s="4" t="s">
        <v>468</v>
      </c>
      <c r="I169" s="4" t="s">
        <v>469</v>
      </c>
      <c r="J169" s="4" t="s">
        <v>470</v>
      </c>
      <c r="K169" s="4" t="n">
        <v>200</v>
      </c>
      <c r="L169" s="4" t="n">
        <v>60</v>
      </c>
      <c r="M169" s="9" t="n">
        <v>50</v>
      </c>
      <c r="N169" s="10" t="n">
        <f aca="false">K169*L169/1000000</f>
        <v>0.012</v>
      </c>
      <c r="O169" s="11" t="n">
        <f aca="false">M169/3600/N169</f>
        <v>1.15740740740741</v>
      </c>
      <c r="P169" s="4" t="str">
        <f aca="false">IF(O169&lt;=Hypothèses!$B$3,"oui","NON")</f>
        <v>oui</v>
      </c>
      <c r="Q169" s="4" t="s">
        <v>49</v>
      </c>
      <c r="R169" s="4"/>
      <c r="S169" s="12" t="s">
        <v>490</v>
      </c>
    </row>
    <row r="170" customFormat="false" ht="15" hidden="false" customHeight="false" outlineLevel="0" collapsed="false">
      <c r="A170" s="4" t="s">
        <v>491</v>
      </c>
      <c r="B170" s="4" t="s">
        <v>14</v>
      </c>
      <c r="C170" s="4" t="s">
        <v>15</v>
      </c>
      <c r="D170" s="4" t="s">
        <v>42</v>
      </c>
      <c r="E170" s="4" t="s">
        <v>481</v>
      </c>
      <c r="F170" s="4" t="s">
        <v>492</v>
      </c>
      <c r="G170" s="4" t="s">
        <v>45</v>
      </c>
      <c r="H170" s="4" t="s">
        <v>468</v>
      </c>
      <c r="I170" s="4" t="s">
        <v>469</v>
      </c>
      <c r="J170" s="4" t="s">
        <v>470</v>
      </c>
      <c r="K170" s="4" t="n">
        <v>200</v>
      </c>
      <c r="L170" s="4" t="n">
        <v>60</v>
      </c>
      <c r="M170" s="9" t="n">
        <v>75</v>
      </c>
      <c r="N170" s="10" t="n">
        <f aca="false">K170*L170/1000000</f>
        <v>0.012</v>
      </c>
      <c r="O170" s="11" t="n">
        <f aca="false">M170/3600/N170</f>
        <v>1.73611111111111</v>
      </c>
      <c r="P170" s="4" t="str">
        <f aca="false">IF(O170&lt;=Hypothèses!$B$3,"oui","NON")</f>
        <v>oui</v>
      </c>
      <c r="Q170" s="4" t="s">
        <v>49</v>
      </c>
      <c r="R170" s="4"/>
      <c r="S170" s="12" t="s">
        <v>493</v>
      </c>
    </row>
    <row r="171" customFormat="false" ht="15" hidden="false" customHeight="false" outlineLevel="0" collapsed="false">
      <c r="A171" s="4" t="s">
        <v>494</v>
      </c>
      <c r="B171" s="4" t="s">
        <v>14</v>
      </c>
      <c r="C171" s="4" t="s">
        <v>15</v>
      </c>
      <c r="D171" s="4" t="s">
        <v>42</v>
      </c>
      <c r="E171" s="4" t="s">
        <v>495</v>
      </c>
      <c r="F171" s="4" t="s">
        <v>496</v>
      </c>
      <c r="G171" s="4" t="s">
        <v>45</v>
      </c>
      <c r="H171" s="4" t="s">
        <v>468</v>
      </c>
      <c r="I171" s="4" t="s">
        <v>469</v>
      </c>
      <c r="J171" s="4" t="s">
        <v>470</v>
      </c>
      <c r="K171" s="4" t="n">
        <v>300</v>
      </c>
      <c r="L171" s="4" t="n">
        <v>60</v>
      </c>
      <c r="M171" s="9" t="n">
        <v>126</v>
      </c>
      <c r="N171" s="10" t="n">
        <f aca="false">K171*L171/1000000</f>
        <v>0.018</v>
      </c>
      <c r="O171" s="11" t="n">
        <f aca="false">M171/3600/N171</f>
        <v>1.94444444444444</v>
      </c>
      <c r="P171" s="4" t="str">
        <f aca="false">IF(O171&lt;=Hypothèses!$B$3,"oui","NON")</f>
        <v>oui</v>
      </c>
      <c r="Q171" s="13" t="s">
        <v>275</v>
      </c>
      <c r="R171" s="13" t="s">
        <v>497</v>
      </c>
      <c r="S171" s="12" t="s">
        <v>498</v>
      </c>
    </row>
    <row r="172" customFormat="false" ht="15" hidden="false" customHeight="false" outlineLevel="0" collapsed="false">
      <c r="A172" s="4" t="s">
        <v>499</v>
      </c>
      <c r="B172" s="4" t="s">
        <v>14</v>
      </c>
      <c r="C172" s="4" t="s">
        <v>15</v>
      </c>
      <c r="D172" s="4" t="s">
        <v>42</v>
      </c>
      <c r="E172" s="4" t="s">
        <v>481</v>
      </c>
      <c r="F172" s="4" t="s">
        <v>500</v>
      </c>
      <c r="G172" s="4" t="s">
        <v>45</v>
      </c>
      <c r="H172" s="4" t="s">
        <v>468</v>
      </c>
      <c r="I172" s="4" t="s">
        <v>469</v>
      </c>
      <c r="J172" s="4" t="s">
        <v>470</v>
      </c>
      <c r="K172" s="4" t="n">
        <v>200</v>
      </c>
      <c r="L172" s="4" t="n">
        <v>60</v>
      </c>
      <c r="M172" s="9" t="n">
        <v>108</v>
      </c>
      <c r="N172" s="10" t="n">
        <f aca="false">K172*L172/1000000</f>
        <v>0.012</v>
      </c>
      <c r="O172" s="11" t="n">
        <f aca="false">M172/3600/N172</f>
        <v>2.5</v>
      </c>
      <c r="P172" s="4" t="str">
        <f aca="false">IF(O172&lt;=Hypothèses!$B$3,"oui","NON")</f>
        <v>oui</v>
      </c>
      <c r="Q172" s="4" t="s">
        <v>49</v>
      </c>
      <c r="R172" s="4"/>
      <c r="S172" s="12" t="s">
        <v>501</v>
      </c>
    </row>
    <row r="173" customFormat="false" ht="15" hidden="false" customHeight="false" outlineLevel="0" collapsed="false">
      <c r="A173" s="4" t="s">
        <v>502</v>
      </c>
      <c r="B173" s="4" t="s">
        <v>14</v>
      </c>
      <c r="C173" s="4" t="s">
        <v>15</v>
      </c>
      <c r="D173" s="4" t="s">
        <v>42</v>
      </c>
      <c r="E173" s="4" t="s">
        <v>503</v>
      </c>
      <c r="F173" s="4" t="s">
        <v>504</v>
      </c>
      <c r="G173" s="4" t="s">
        <v>45</v>
      </c>
      <c r="H173" s="4" t="s">
        <v>468</v>
      </c>
      <c r="I173" s="4" t="s">
        <v>469</v>
      </c>
      <c r="J173" s="4" t="s">
        <v>470</v>
      </c>
      <c r="K173" s="4" t="n">
        <v>450</v>
      </c>
      <c r="L173" s="4" t="n">
        <v>60</v>
      </c>
      <c r="M173" s="9" t="n">
        <v>234</v>
      </c>
      <c r="N173" s="10" t="n">
        <f aca="false">K173*L173/1000000</f>
        <v>0.027</v>
      </c>
      <c r="O173" s="11" t="n">
        <f aca="false">M173/3600/N173</f>
        <v>2.40740740740741</v>
      </c>
      <c r="P173" s="4" t="str">
        <f aca="false">IF(O173&lt;=Hypothèses!$B$3,"oui","NON")</f>
        <v>oui</v>
      </c>
      <c r="Q173" s="4" t="s">
        <v>49</v>
      </c>
      <c r="R173" s="4"/>
      <c r="S173" s="12" t="s">
        <v>505</v>
      </c>
    </row>
    <row r="174" customFormat="false" ht="15" hidden="false" customHeight="false" outlineLevel="0" collapsed="false">
      <c r="A174" s="4" t="s">
        <v>506</v>
      </c>
      <c r="B174" s="4" t="s">
        <v>14</v>
      </c>
      <c r="C174" s="4" t="s">
        <v>15</v>
      </c>
      <c r="D174" s="4" t="s">
        <v>42</v>
      </c>
      <c r="E174" s="4" t="s">
        <v>507</v>
      </c>
      <c r="F174" s="4" t="s">
        <v>508</v>
      </c>
      <c r="G174" s="4" t="s">
        <v>45</v>
      </c>
      <c r="H174" s="4" t="s">
        <v>468</v>
      </c>
      <c r="I174" s="4" t="s">
        <v>469</v>
      </c>
      <c r="J174" s="4" t="s">
        <v>470</v>
      </c>
      <c r="K174" s="4" t="n">
        <v>200</v>
      </c>
      <c r="L174" s="4" t="n">
        <v>60</v>
      </c>
      <c r="M174" s="9" t="n">
        <v>50</v>
      </c>
      <c r="N174" s="10" t="n">
        <f aca="false">K174*L174/1000000</f>
        <v>0.012</v>
      </c>
      <c r="O174" s="11" t="n">
        <f aca="false">M174/3600/N174</f>
        <v>1.15740740740741</v>
      </c>
      <c r="P174" s="4" t="str">
        <f aca="false">IF(O174&lt;=Hypothèses!$B$3,"oui","NON")</f>
        <v>oui</v>
      </c>
      <c r="Q174" s="13" t="s">
        <v>275</v>
      </c>
      <c r="R174" s="13" t="s">
        <v>483</v>
      </c>
      <c r="S174" s="12" t="s">
        <v>509</v>
      </c>
    </row>
    <row r="175" customFormat="false" ht="15" hidden="false" customHeight="false" outlineLevel="0" collapsed="false">
      <c r="A175" s="4" t="s">
        <v>510</v>
      </c>
      <c r="B175" s="4" t="s">
        <v>14</v>
      </c>
      <c r="C175" s="4" t="s">
        <v>15</v>
      </c>
      <c r="D175" s="4" t="s">
        <v>42</v>
      </c>
      <c r="E175" s="4" t="s">
        <v>466</v>
      </c>
      <c r="F175" s="4" t="s">
        <v>511</v>
      </c>
      <c r="G175" s="4" t="s">
        <v>45</v>
      </c>
      <c r="H175" s="4" t="s">
        <v>468</v>
      </c>
      <c r="I175" s="4" t="s">
        <v>469</v>
      </c>
      <c r="J175" s="4" t="s">
        <v>470</v>
      </c>
      <c r="K175" s="4" t="n">
        <v>200</v>
      </c>
      <c r="L175" s="4" t="n">
        <v>60</v>
      </c>
      <c r="M175" s="9" t="n">
        <v>75</v>
      </c>
      <c r="N175" s="10" t="n">
        <f aca="false">K175*L175/1000000</f>
        <v>0.012</v>
      </c>
      <c r="O175" s="11" t="n">
        <f aca="false">M175/3600/N175</f>
        <v>1.73611111111111</v>
      </c>
      <c r="P175" s="4" t="str">
        <f aca="false">IF(O175&lt;=Hypothèses!$B$3,"oui","NON")</f>
        <v>oui</v>
      </c>
      <c r="Q175" s="4" t="s">
        <v>49</v>
      </c>
      <c r="R175" s="4"/>
      <c r="S175" s="12" t="s">
        <v>512</v>
      </c>
    </row>
    <row r="176" customFormat="false" ht="15" hidden="false" customHeight="false" outlineLevel="0" collapsed="false">
      <c r="A176" s="4" t="s">
        <v>513</v>
      </c>
      <c r="B176" s="4" t="s">
        <v>14</v>
      </c>
      <c r="C176" s="4" t="s">
        <v>15</v>
      </c>
      <c r="D176" s="4" t="s">
        <v>42</v>
      </c>
      <c r="E176" s="4" t="s">
        <v>514</v>
      </c>
      <c r="F176" s="4" t="s">
        <v>515</v>
      </c>
      <c r="G176" s="4" t="s">
        <v>45</v>
      </c>
      <c r="H176" s="4" t="s">
        <v>468</v>
      </c>
      <c r="I176" s="4" t="s">
        <v>469</v>
      </c>
      <c r="J176" s="4" t="s">
        <v>470</v>
      </c>
      <c r="K176" s="4" t="n">
        <v>200</v>
      </c>
      <c r="L176" s="4" t="n">
        <v>60</v>
      </c>
      <c r="M176" s="9" t="n">
        <v>75</v>
      </c>
      <c r="N176" s="10" t="n">
        <f aca="false">K176*L176/1000000</f>
        <v>0.012</v>
      </c>
      <c r="O176" s="11" t="n">
        <f aca="false">M176/3600/N176</f>
        <v>1.73611111111111</v>
      </c>
      <c r="P176" s="4" t="str">
        <f aca="false">IF(O176&lt;=Hypothèses!$B$3,"oui","NON")</f>
        <v>oui</v>
      </c>
      <c r="Q176" s="4" t="s">
        <v>49</v>
      </c>
      <c r="R176" s="4"/>
      <c r="S176" s="12" t="s">
        <v>516</v>
      </c>
    </row>
    <row r="177" customFormat="false" ht="15" hidden="false" customHeight="false" outlineLevel="0" collapsed="false">
      <c r="A177" s="4" t="s">
        <v>517</v>
      </c>
      <c r="B177" s="4" t="s">
        <v>14</v>
      </c>
      <c r="C177" s="4" t="s">
        <v>15</v>
      </c>
      <c r="D177" s="4" t="s">
        <v>42</v>
      </c>
      <c r="E177" s="4" t="s">
        <v>518</v>
      </c>
      <c r="F177" s="4" t="s">
        <v>519</v>
      </c>
      <c r="G177" s="4" t="s">
        <v>45</v>
      </c>
      <c r="H177" s="4" t="s">
        <v>468</v>
      </c>
      <c r="I177" s="4" t="s">
        <v>469</v>
      </c>
      <c r="J177" s="4" t="s">
        <v>470</v>
      </c>
      <c r="K177" s="4" t="n">
        <v>450</v>
      </c>
      <c r="L177" s="4" t="n">
        <v>60</v>
      </c>
      <c r="M177" s="9" t="n">
        <v>234</v>
      </c>
      <c r="N177" s="10" t="n">
        <f aca="false">K177*L177/1000000</f>
        <v>0.027</v>
      </c>
      <c r="O177" s="11" t="n">
        <f aca="false">M177/3600/N177</f>
        <v>2.40740740740741</v>
      </c>
      <c r="P177" s="4" t="str">
        <f aca="false">IF(O177&lt;=Hypothèses!$B$3,"oui","NON")</f>
        <v>oui</v>
      </c>
      <c r="Q177" s="13" t="s">
        <v>275</v>
      </c>
      <c r="R177" s="13" t="s">
        <v>483</v>
      </c>
      <c r="S177" s="12" t="s">
        <v>520</v>
      </c>
    </row>
    <row r="178" customFormat="false" ht="15" hidden="false" customHeight="false" outlineLevel="0" collapsed="false">
      <c r="A178" s="4" t="s">
        <v>521</v>
      </c>
      <c r="B178" s="4" t="s">
        <v>14</v>
      </c>
      <c r="C178" s="4" t="s">
        <v>15</v>
      </c>
      <c r="D178" s="4" t="s">
        <v>42</v>
      </c>
      <c r="E178" s="4" t="s">
        <v>522</v>
      </c>
      <c r="F178" s="4" t="s">
        <v>523</v>
      </c>
      <c r="G178" s="4" t="s">
        <v>45</v>
      </c>
      <c r="H178" s="4" t="s">
        <v>468</v>
      </c>
      <c r="I178" s="4" t="s">
        <v>469</v>
      </c>
      <c r="J178" s="4" t="s">
        <v>470</v>
      </c>
      <c r="K178" s="4" t="n">
        <v>700</v>
      </c>
      <c r="L178" s="4" t="n">
        <v>60</v>
      </c>
      <c r="M178" s="9" t="n">
        <v>355</v>
      </c>
      <c r="N178" s="10" t="n">
        <f aca="false">K178*L178/1000000</f>
        <v>0.042</v>
      </c>
      <c r="O178" s="11" t="n">
        <f aca="false">M178/3600/N178</f>
        <v>2.3478835978836</v>
      </c>
      <c r="P178" s="4" t="str">
        <f aca="false">IF(O178&lt;=Hypothèses!$B$3,"oui","NON")</f>
        <v>oui</v>
      </c>
      <c r="Q178" s="13" t="s">
        <v>275</v>
      </c>
      <c r="R178" s="13" t="s">
        <v>437</v>
      </c>
      <c r="S178" s="12" t="s">
        <v>524</v>
      </c>
    </row>
    <row r="179" customFormat="false" ht="15" hidden="false" customHeight="false" outlineLevel="0" collapsed="false">
      <c r="A179" s="4" t="s">
        <v>525</v>
      </c>
      <c r="B179" s="4" t="s">
        <v>14</v>
      </c>
      <c r="C179" s="4" t="s">
        <v>15</v>
      </c>
      <c r="D179" s="4" t="s">
        <v>42</v>
      </c>
      <c r="E179" s="4" t="s">
        <v>522</v>
      </c>
      <c r="F179" s="4" t="s">
        <v>523</v>
      </c>
      <c r="G179" s="4" t="s">
        <v>45</v>
      </c>
      <c r="H179" s="4" t="s">
        <v>468</v>
      </c>
      <c r="I179" s="4" t="s">
        <v>469</v>
      </c>
      <c r="J179" s="4" t="s">
        <v>470</v>
      </c>
      <c r="K179" s="4" t="n">
        <v>700</v>
      </c>
      <c r="L179" s="4" t="n">
        <v>60</v>
      </c>
      <c r="M179" s="9" t="n">
        <v>355</v>
      </c>
      <c r="N179" s="10" t="n">
        <f aca="false">K179*L179/1000000</f>
        <v>0.042</v>
      </c>
      <c r="O179" s="11" t="n">
        <f aca="false">M179/3600/N179</f>
        <v>2.3478835978836</v>
      </c>
      <c r="P179" s="4" t="str">
        <f aca="false">IF(O179&lt;=Hypothèses!$B$3,"oui","NON")</f>
        <v>oui</v>
      </c>
      <c r="Q179" s="13" t="s">
        <v>275</v>
      </c>
      <c r="R179" s="13" t="s">
        <v>437</v>
      </c>
      <c r="S179" s="12" t="s">
        <v>524</v>
      </c>
    </row>
    <row r="180" customFormat="false" ht="15" hidden="false" customHeight="false" outlineLevel="0" collapsed="false">
      <c r="A180" s="4" t="s">
        <v>526</v>
      </c>
      <c r="B180" s="4" t="s">
        <v>14</v>
      </c>
      <c r="C180" s="4" t="s">
        <v>15</v>
      </c>
      <c r="D180" s="4" t="s">
        <v>42</v>
      </c>
      <c r="E180" s="4" t="s">
        <v>522</v>
      </c>
      <c r="F180" s="4" t="s">
        <v>523</v>
      </c>
      <c r="G180" s="4" t="s">
        <v>45</v>
      </c>
      <c r="H180" s="4" t="s">
        <v>468</v>
      </c>
      <c r="I180" s="4" t="s">
        <v>469</v>
      </c>
      <c r="J180" s="4" t="s">
        <v>470</v>
      </c>
      <c r="K180" s="4" t="n">
        <v>700</v>
      </c>
      <c r="L180" s="4" t="n">
        <v>60</v>
      </c>
      <c r="M180" s="9" t="n">
        <v>355</v>
      </c>
      <c r="N180" s="10" t="n">
        <f aca="false">K180*L180/1000000</f>
        <v>0.042</v>
      </c>
      <c r="O180" s="11" t="n">
        <f aca="false">M180/3600/N180</f>
        <v>2.3478835978836</v>
      </c>
      <c r="P180" s="4" t="str">
        <f aca="false">IF(O180&lt;=Hypothèses!$B$3,"oui","NON")</f>
        <v>oui</v>
      </c>
      <c r="Q180" s="13" t="s">
        <v>275</v>
      </c>
      <c r="R180" s="13" t="s">
        <v>437</v>
      </c>
      <c r="S180" s="12" t="s">
        <v>524</v>
      </c>
    </row>
    <row r="181" customFormat="false" ht="15" hidden="false" customHeight="false" outlineLevel="0" collapsed="false">
      <c r="A181" s="4" t="s">
        <v>527</v>
      </c>
      <c r="B181" s="4" t="s">
        <v>14</v>
      </c>
      <c r="C181" s="4" t="s">
        <v>15</v>
      </c>
      <c r="D181" s="4" t="s">
        <v>42</v>
      </c>
      <c r="E181" s="4" t="s">
        <v>522</v>
      </c>
      <c r="F181" s="4" t="s">
        <v>523</v>
      </c>
      <c r="G181" s="4" t="s">
        <v>45</v>
      </c>
      <c r="H181" s="4" t="s">
        <v>468</v>
      </c>
      <c r="I181" s="4" t="s">
        <v>469</v>
      </c>
      <c r="J181" s="4" t="s">
        <v>470</v>
      </c>
      <c r="K181" s="4" t="n">
        <v>700</v>
      </c>
      <c r="L181" s="4" t="n">
        <v>60</v>
      </c>
      <c r="M181" s="9" t="n">
        <v>355</v>
      </c>
      <c r="N181" s="10" t="n">
        <f aca="false">K181*L181/1000000</f>
        <v>0.042</v>
      </c>
      <c r="O181" s="11" t="n">
        <f aca="false">M181/3600/N181</f>
        <v>2.3478835978836</v>
      </c>
      <c r="P181" s="4" t="str">
        <f aca="false">IF(O181&lt;=Hypothèses!$B$3,"oui","NON")</f>
        <v>oui</v>
      </c>
      <c r="Q181" s="13" t="s">
        <v>275</v>
      </c>
      <c r="R181" s="13" t="s">
        <v>483</v>
      </c>
      <c r="S181" s="12" t="s">
        <v>524</v>
      </c>
    </row>
    <row r="182" customFormat="false" ht="15" hidden="false" customHeight="false" outlineLevel="0" collapsed="false">
      <c r="A182" s="4" t="s">
        <v>528</v>
      </c>
      <c r="B182" s="4" t="s">
        <v>14</v>
      </c>
      <c r="C182" s="4" t="s">
        <v>15</v>
      </c>
      <c r="D182" s="4" t="s">
        <v>42</v>
      </c>
      <c r="E182" s="4" t="s">
        <v>522</v>
      </c>
      <c r="F182" s="4" t="s">
        <v>523</v>
      </c>
      <c r="G182" s="4" t="s">
        <v>45</v>
      </c>
      <c r="H182" s="4" t="s">
        <v>468</v>
      </c>
      <c r="I182" s="4" t="s">
        <v>469</v>
      </c>
      <c r="J182" s="4" t="s">
        <v>470</v>
      </c>
      <c r="K182" s="4" t="n">
        <v>700</v>
      </c>
      <c r="L182" s="4" t="n">
        <v>60</v>
      </c>
      <c r="M182" s="9" t="n">
        <v>355</v>
      </c>
      <c r="N182" s="10" t="n">
        <f aca="false">K182*L182/1000000</f>
        <v>0.042</v>
      </c>
      <c r="O182" s="11" t="n">
        <f aca="false">M182/3600/N182</f>
        <v>2.3478835978836</v>
      </c>
      <c r="P182" s="4" t="str">
        <f aca="false">IF(O182&lt;=Hypothèses!$B$3,"oui","NON")</f>
        <v>oui</v>
      </c>
      <c r="Q182" s="13" t="s">
        <v>275</v>
      </c>
      <c r="R182" s="13" t="s">
        <v>437</v>
      </c>
      <c r="S182" s="12" t="s">
        <v>524</v>
      </c>
    </row>
    <row r="183" customFormat="false" ht="15" hidden="false" customHeight="false" outlineLevel="0" collapsed="false">
      <c r="A183" s="4" t="s">
        <v>529</v>
      </c>
      <c r="B183" s="4" t="s">
        <v>14</v>
      </c>
      <c r="C183" s="4" t="s">
        <v>15</v>
      </c>
      <c r="D183" s="4" t="s">
        <v>42</v>
      </c>
      <c r="E183" s="4" t="s">
        <v>522</v>
      </c>
      <c r="F183" s="4" t="s">
        <v>523</v>
      </c>
      <c r="G183" s="4" t="s">
        <v>45</v>
      </c>
      <c r="H183" s="4" t="s">
        <v>468</v>
      </c>
      <c r="I183" s="4" t="s">
        <v>469</v>
      </c>
      <c r="J183" s="4" t="s">
        <v>470</v>
      </c>
      <c r="K183" s="4" t="n">
        <v>700</v>
      </c>
      <c r="L183" s="4" t="n">
        <v>60</v>
      </c>
      <c r="M183" s="9" t="n">
        <v>355</v>
      </c>
      <c r="N183" s="10" t="n">
        <f aca="false">K183*L183/1000000</f>
        <v>0.042</v>
      </c>
      <c r="O183" s="11" t="n">
        <f aca="false">M183/3600/N183</f>
        <v>2.3478835978836</v>
      </c>
      <c r="P183" s="4" t="str">
        <f aca="false">IF(O183&lt;=Hypothèses!$B$3,"oui","NON")</f>
        <v>oui</v>
      </c>
      <c r="Q183" s="13" t="s">
        <v>275</v>
      </c>
      <c r="R183" s="13" t="s">
        <v>437</v>
      </c>
      <c r="S183" s="12" t="s">
        <v>524</v>
      </c>
    </row>
    <row r="184" customFormat="false" ht="15" hidden="false" customHeight="false" outlineLevel="0" collapsed="false">
      <c r="A184" s="4" t="s">
        <v>530</v>
      </c>
      <c r="B184" s="4" t="s">
        <v>14</v>
      </c>
      <c r="C184" s="4" t="s">
        <v>15</v>
      </c>
      <c r="D184" s="4" t="s">
        <v>42</v>
      </c>
      <c r="E184" s="4" t="s">
        <v>522</v>
      </c>
      <c r="F184" s="4" t="s">
        <v>523</v>
      </c>
      <c r="G184" s="4" t="s">
        <v>45</v>
      </c>
      <c r="H184" s="4" t="s">
        <v>468</v>
      </c>
      <c r="I184" s="4" t="s">
        <v>469</v>
      </c>
      <c r="J184" s="4" t="s">
        <v>470</v>
      </c>
      <c r="K184" s="4" t="n">
        <v>700</v>
      </c>
      <c r="L184" s="4" t="n">
        <v>60</v>
      </c>
      <c r="M184" s="9" t="n">
        <v>355</v>
      </c>
      <c r="N184" s="10" t="n">
        <f aca="false">K184*L184/1000000</f>
        <v>0.042</v>
      </c>
      <c r="O184" s="11" t="n">
        <f aca="false">M184/3600/N184</f>
        <v>2.3478835978836</v>
      </c>
      <c r="P184" s="4" t="str">
        <f aca="false">IF(O184&lt;=Hypothèses!$B$3,"oui","NON")</f>
        <v>oui</v>
      </c>
      <c r="Q184" s="13" t="s">
        <v>275</v>
      </c>
      <c r="R184" s="13" t="s">
        <v>437</v>
      </c>
      <c r="S184" s="12" t="s">
        <v>524</v>
      </c>
    </row>
    <row r="185" customFormat="false" ht="15" hidden="false" customHeight="false" outlineLevel="0" collapsed="false">
      <c r="A185" s="4" t="s">
        <v>531</v>
      </c>
      <c r="B185" s="4" t="s">
        <v>14</v>
      </c>
      <c r="C185" s="4" t="s">
        <v>15</v>
      </c>
      <c r="D185" s="4" t="s">
        <v>42</v>
      </c>
      <c r="E185" s="4" t="s">
        <v>532</v>
      </c>
      <c r="F185" s="4" t="s">
        <v>533</v>
      </c>
      <c r="G185" s="4" t="s">
        <v>45</v>
      </c>
      <c r="H185" s="4" t="s">
        <v>468</v>
      </c>
      <c r="I185" s="4" t="s">
        <v>469</v>
      </c>
      <c r="J185" s="4" t="s">
        <v>470</v>
      </c>
      <c r="K185" s="4" t="n">
        <v>200</v>
      </c>
      <c r="L185" s="4" t="n">
        <v>60</v>
      </c>
      <c r="M185" s="9" t="n">
        <v>75</v>
      </c>
      <c r="N185" s="10" t="n">
        <f aca="false">K185*L185/1000000</f>
        <v>0.012</v>
      </c>
      <c r="O185" s="11" t="n">
        <f aca="false">M185/3600/N185</f>
        <v>1.73611111111111</v>
      </c>
      <c r="P185" s="4" t="str">
        <f aca="false">IF(O185&lt;=Hypothèses!$B$3,"oui","NON")</f>
        <v>oui</v>
      </c>
      <c r="Q185" s="4" t="s">
        <v>49</v>
      </c>
      <c r="R185" s="4"/>
      <c r="S185" s="12" t="s">
        <v>534</v>
      </c>
    </row>
    <row r="186" customFormat="false" ht="15" hidden="false" customHeight="false" outlineLevel="0" collapsed="false">
      <c r="A186" s="4" t="s">
        <v>535</v>
      </c>
      <c r="B186" s="4" t="s">
        <v>14</v>
      </c>
      <c r="C186" s="4" t="s">
        <v>15</v>
      </c>
      <c r="D186" s="4" t="s">
        <v>42</v>
      </c>
      <c r="E186" s="4" t="s">
        <v>536</v>
      </c>
      <c r="F186" s="4" t="s">
        <v>537</v>
      </c>
      <c r="G186" s="4" t="s">
        <v>45</v>
      </c>
      <c r="H186" s="4" t="s">
        <v>468</v>
      </c>
      <c r="I186" s="4" t="s">
        <v>469</v>
      </c>
      <c r="J186" s="4" t="s">
        <v>470</v>
      </c>
      <c r="K186" s="4" t="n">
        <v>200</v>
      </c>
      <c r="L186" s="4" t="n">
        <v>60</v>
      </c>
      <c r="M186" s="9" t="n">
        <v>100</v>
      </c>
      <c r="N186" s="10" t="n">
        <f aca="false">K186*L186/1000000</f>
        <v>0.012</v>
      </c>
      <c r="O186" s="11" t="n">
        <f aca="false">M186/3600/N186</f>
        <v>2.31481481481481</v>
      </c>
      <c r="P186" s="4" t="str">
        <f aca="false">IF(O186&lt;=Hypothèses!$B$3,"oui","NON")</f>
        <v>oui</v>
      </c>
      <c r="Q186" s="4" t="s">
        <v>49</v>
      </c>
      <c r="R186" s="4"/>
      <c r="S186" s="12" t="s">
        <v>538</v>
      </c>
    </row>
    <row r="187" customFormat="false" ht="15" hidden="false" customHeight="false" outlineLevel="0" collapsed="false">
      <c r="A187" s="4" t="s">
        <v>539</v>
      </c>
      <c r="B187" s="4" t="s">
        <v>14</v>
      </c>
      <c r="C187" s="4" t="s">
        <v>15</v>
      </c>
      <c r="D187" s="4" t="s">
        <v>91</v>
      </c>
      <c r="E187" s="4" t="s">
        <v>540</v>
      </c>
      <c r="F187" s="4" t="s">
        <v>541</v>
      </c>
      <c r="G187" s="4" t="s">
        <v>45</v>
      </c>
      <c r="H187" s="4" t="s">
        <v>468</v>
      </c>
      <c r="I187" s="4" t="s">
        <v>469</v>
      </c>
      <c r="J187" s="4" t="s">
        <v>470</v>
      </c>
      <c r="K187" s="4" t="n">
        <v>200</v>
      </c>
      <c r="L187" s="4" t="n">
        <v>60</v>
      </c>
      <c r="M187" s="9" t="n">
        <v>25</v>
      </c>
      <c r="N187" s="10" t="n">
        <f aca="false">K187*L187/1000000</f>
        <v>0.012</v>
      </c>
      <c r="O187" s="11" t="n">
        <f aca="false">M187/3600/N187</f>
        <v>0.578703703703704</v>
      </c>
      <c r="P187" s="4" t="str">
        <f aca="false">IF(O187&lt;=Hypothèses!$B$3,"oui","NON")</f>
        <v>oui</v>
      </c>
      <c r="Q187" s="4" t="s">
        <v>49</v>
      </c>
      <c r="R187" s="4"/>
      <c r="S187" s="12" t="s">
        <v>542</v>
      </c>
    </row>
    <row r="188" customFormat="false" ht="15" hidden="false" customHeight="false" outlineLevel="0" collapsed="false">
      <c r="A188" s="4" t="s">
        <v>543</v>
      </c>
      <c r="B188" s="4" t="s">
        <v>14</v>
      </c>
      <c r="C188" s="4" t="s">
        <v>15</v>
      </c>
      <c r="D188" s="4" t="s">
        <v>91</v>
      </c>
      <c r="E188" s="4" t="s">
        <v>544</v>
      </c>
      <c r="F188" s="4" t="s">
        <v>545</v>
      </c>
      <c r="G188" s="4" t="s">
        <v>45</v>
      </c>
      <c r="H188" s="4" t="s">
        <v>468</v>
      </c>
      <c r="I188" s="4" t="s">
        <v>469</v>
      </c>
      <c r="J188" s="4" t="s">
        <v>470</v>
      </c>
      <c r="K188" s="4" t="n">
        <v>300</v>
      </c>
      <c r="L188" s="4" t="n">
        <v>60</v>
      </c>
      <c r="M188" s="9" t="n">
        <v>108</v>
      </c>
      <c r="N188" s="10" t="n">
        <f aca="false">K188*L188/1000000</f>
        <v>0.018</v>
      </c>
      <c r="O188" s="11" t="n">
        <f aca="false">M188/3600/N188</f>
        <v>1.66666666666667</v>
      </c>
      <c r="P188" s="4" t="str">
        <f aca="false">IF(O188&lt;=Hypothèses!$B$3,"oui","NON")</f>
        <v>oui</v>
      </c>
      <c r="Q188" s="13" t="s">
        <v>275</v>
      </c>
      <c r="R188" s="13" t="s">
        <v>497</v>
      </c>
      <c r="S188" s="12" t="s">
        <v>546</v>
      </c>
    </row>
    <row r="189" customFormat="false" ht="15" hidden="false" customHeight="false" outlineLevel="0" collapsed="false">
      <c r="A189" s="4" t="s">
        <v>547</v>
      </c>
      <c r="B189" s="4" t="s">
        <v>14</v>
      </c>
      <c r="C189" s="4" t="s">
        <v>15</v>
      </c>
      <c r="D189" s="4" t="s">
        <v>91</v>
      </c>
      <c r="E189" s="4" t="s">
        <v>548</v>
      </c>
      <c r="F189" s="4" t="s">
        <v>523</v>
      </c>
      <c r="G189" s="4" t="s">
        <v>45</v>
      </c>
      <c r="H189" s="4" t="s">
        <v>468</v>
      </c>
      <c r="I189" s="4" t="s">
        <v>469</v>
      </c>
      <c r="J189" s="4" t="s">
        <v>470</v>
      </c>
      <c r="K189" s="4" t="n">
        <v>450</v>
      </c>
      <c r="L189" s="4" t="n">
        <v>60</v>
      </c>
      <c r="M189" s="9" t="n">
        <v>220</v>
      </c>
      <c r="N189" s="10" t="n">
        <f aca="false">K189*L189/1000000</f>
        <v>0.027</v>
      </c>
      <c r="O189" s="11" t="n">
        <f aca="false">M189/3600/N189</f>
        <v>2.26337448559671</v>
      </c>
      <c r="P189" s="4" t="str">
        <f aca="false">IF(O189&lt;=Hypothèses!$B$3,"oui","NON")</f>
        <v>oui</v>
      </c>
      <c r="Q189" s="13" t="s">
        <v>275</v>
      </c>
      <c r="R189" s="13" t="s">
        <v>497</v>
      </c>
      <c r="S189" s="12" t="s">
        <v>549</v>
      </c>
    </row>
    <row r="190" customFormat="false" ht="15" hidden="false" customHeight="false" outlineLevel="0" collapsed="false">
      <c r="A190" s="4" t="s">
        <v>550</v>
      </c>
      <c r="B190" s="4" t="s">
        <v>14</v>
      </c>
      <c r="C190" s="4" t="s">
        <v>15</v>
      </c>
      <c r="D190" s="4" t="s">
        <v>91</v>
      </c>
      <c r="E190" s="4" t="s">
        <v>548</v>
      </c>
      <c r="F190" s="4" t="s">
        <v>523</v>
      </c>
      <c r="G190" s="4" t="s">
        <v>45</v>
      </c>
      <c r="H190" s="4" t="s">
        <v>468</v>
      </c>
      <c r="I190" s="4" t="s">
        <v>469</v>
      </c>
      <c r="J190" s="4" t="s">
        <v>470</v>
      </c>
      <c r="K190" s="4" t="n">
        <v>450</v>
      </c>
      <c r="L190" s="4" t="n">
        <v>60</v>
      </c>
      <c r="M190" s="9" t="n">
        <v>220</v>
      </c>
      <c r="N190" s="10" t="n">
        <f aca="false">K190*L190/1000000</f>
        <v>0.027</v>
      </c>
      <c r="O190" s="11" t="n">
        <f aca="false">M190/3600/N190</f>
        <v>2.26337448559671</v>
      </c>
      <c r="P190" s="4" t="str">
        <f aca="false">IF(O190&lt;=Hypothèses!$B$3,"oui","NON")</f>
        <v>oui</v>
      </c>
      <c r="Q190" s="13" t="s">
        <v>275</v>
      </c>
      <c r="R190" s="13" t="s">
        <v>497</v>
      </c>
      <c r="S190" s="12" t="s">
        <v>549</v>
      </c>
    </row>
    <row r="191" customFormat="false" ht="15" hidden="false" customHeight="false" outlineLevel="0" collapsed="false">
      <c r="A191" s="4" t="s">
        <v>551</v>
      </c>
      <c r="B191" s="4" t="s">
        <v>14</v>
      </c>
      <c r="C191" s="4" t="s">
        <v>15</v>
      </c>
      <c r="D191" s="4" t="s">
        <v>91</v>
      </c>
      <c r="E191" s="4" t="s">
        <v>552</v>
      </c>
      <c r="F191" s="4" t="s">
        <v>553</v>
      </c>
      <c r="G191" s="4" t="s">
        <v>45</v>
      </c>
      <c r="H191" s="4" t="s">
        <v>468</v>
      </c>
      <c r="I191" s="4" t="s">
        <v>469</v>
      </c>
      <c r="J191" s="4" t="s">
        <v>470</v>
      </c>
      <c r="K191" s="4" t="n">
        <v>700</v>
      </c>
      <c r="L191" s="4" t="n">
        <v>60</v>
      </c>
      <c r="M191" s="9" t="n">
        <v>363</v>
      </c>
      <c r="N191" s="10" t="n">
        <f aca="false">K191*L191/1000000</f>
        <v>0.042</v>
      </c>
      <c r="O191" s="11" t="n">
        <f aca="false">M191/3600/N191</f>
        <v>2.40079365079365</v>
      </c>
      <c r="P191" s="4" t="str">
        <f aca="false">IF(O191&lt;=Hypothèses!$B$3,"oui","NON")</f>
        <v>oui</v>
      </c>
      <c r="Q191" s="4" t="s">
        <v>49</v>
      </c>
      <c r="R191" s="4"/>
      <c r="S191" s="12" t="s">
        <v>554</v>
      </c>
    </row>
    <row r="192" customFormat="false" ht="15" hidden="false" customHeight="false" outlineLevel="0" collapsed="false">
      <c r="A192" s="4" t="s">
        <v>555</v>
      </c>
      <c r="B192" s="4" t="s">
        <v>14</v>
      </c>
      <c r="C192" s="4" t="s">
        <v>15</v>
      </c>
      <c r="D192" s="4" t="s">
        <v>91</v>
      </c>
      <c r="E192" s="4" t="s">
        <v>552</v>
      </c>
      <c r="F192" s="4" t="s">
        <v>553</v>
      </c>
      <c r="G192" s="4" t="s">
        <v>45</v>
      </c>
      <c r="H192" s="4" t="s">
        <v>468</v>
      </c>
      <c r="I192" s="4" t="s">
        <v>469</v>
      </c>
      <c r="J192" s="4" t="s">
        <v>470</v>
      </c>
      <c r="K192" s="4" t="n">
        <v>700</v>
      </c>
      <c r="L192" s="4" t="n">
        <v>60</v>
      </c>
      <c r="M192" s="9" t="n">
        <v>363</v>
      </c>
      <c r="N192" s="10" t="n">
        <f aca="false">K192*L192/1000000</f>
        <v>0.042</v>
      </c>
      <c r="O192" s="11" t="n">
        <f aca="false">M192/3600/N192</f>
        <v>2.40079365079365</v>
      </c>
      <c r="P192" s="4" t="str">
        <f aca="false">IF(O192&lt;=Hypothèses!$B$3,"oui","NON")</f>
        <v>oui</v>
      </c>
      <c r="Q192" s="4" t="s">
        <v>49</v>
      </c>
      <c r="R192" s="4"/>
      <c r="S192" s="12" t="s">
        <v>554</v>
      </c>
    </row>
    <row r="193" customFormat="false" ht="15" hidden="false" customHeight="false" outlineLevel="0" collapsed="false">
      <c r="A193" s="4" t="s">
        <v>556</v>
      </c>
      <c r="B193" s="4" t="s">
        <v>14</v>
      </c>
      <c r="C193" s="4" t="s">
        <v>15</v>
      </c>
      <c r="D193" s="4" t="s">
        <v>91</v>
      </c>
      <c r="E193" s="4" t="s">
        <v>552</v>
      </c>
      <c r="F193" s="4" t="s">
        <v>553</v>
      </c>
      <c r="G193" s="4" t="s">
        <v>45</v>
      </c>
      <c r="H193" s="4" t="s">
        <v>468</v>
      </c>
      <c r="I193" s="4" t="s">
        <v>469</v>
      </c>
      <c r="J193" s="4" t="s">
        <v>470</v>
      </c>
      <c r="K193" s="4" t="n">
        <v>700</v>
      </c>
      <c r="L193" s="4" t="n">
        <v>60</v>
      </c>
      <c r="M193" s="9" t="n">
        <v>352</v>
      </c>
      <c r="N193" s="10" t="n">
        <f aca="false">K193*L193/1000000</f>
        <v>0.042</v>
      </c>
      <c r="O193" s="11" t="n">
        <f aca="false">M193/3600/N193</f>
        <v>2.32804232804233</v>
      </c>
      <c r="P193" s="4" t="str">
        <f aca="false">IF(O193&lt;=Hypothèses!$B$3,"oui","NON")</f>
        <v>oui</v>
      </c>
      <c r="Q193" s="13" t="s">
        <v>275</v>
      </c>
      <c r="R193" s="13" t="s">
        <v>276</v>
      </c>
      <c r="S193" s="12" t="s">
        <v>557</v>
      </c>
    </row>
    <row r="194" customFormat="false" ht="15" hidden="false" customHeight="false" outlineLevel="0" collapsed="false">
      <c r="A194" s="4" t="s">
        <v>558</v>
      </c>
      <c r="B194" s="4" t="s">
        <v>14</v>
      </c>
      <c r="C194" s="4" t="s">
        <v>15</v>
      </c>
      <c r="D194" s="4" t="s">
        <v>91</v>
      </c>
      <c r="E194" s="4" t="s">
        <v>552</v>
      </c>
      <c r="F194" s="4" t="s">
        <v>553</v>
      </c>
      <c r="G194" s="4" t="s">
        <v>45</v>
      </c>
      <c r="H194" s="4" t="s">
        <v>468</v>
      </c>
      <c r="I194" s="4" t="s">
        <v>469</v>
      </c>
      <c r="J194" s="4" t="s">
        <v>470</v>
      </c>
      <c r="K194" s="4" t="n">
        <v>700</v>
      </c>
      <c r="L194" s="4" t="n">
        <v>60</v>
      </c>
      <c r="M194" s="9" t="n">
        <v>352</v>
      </c>
      <c r="N194" s="10" t="n">
        <f aca="false">K194*L194/1000000</f>
        <v>0.042</v>
      </c>
      <c r="O194" s="11" t="n">
        <f aca="false">M194/3600/N194</f>
        <v>2.32804232804233</v>
      </c>
      <c r="P194" s="4" t="str">
        <f aca="false">IF(O194&lt;=Hypothèses!$B$3,"oui","NON")</f>
        <v>oui</v>
      </c>
      <c r="Q194" s="4" t="s">
        <v>49</v>
      </c>
      <c r="R194" s="4"/>
      <c r="S194" s="12" t="s">
        <v>557</v>
      </c>
    </row>
    <row r="195" customFormat="false" ht="15" hidden="false" customHeight="false" outlineLevel="0" collapsed="false">
      <c r="A195" s="4" t="s">
        <v>559</v>
      </c>
      <c r="B195" s="4" t="s">
        <v>14</v>
      </c>
      <c r="C195" s="4" t="s">
        <v>9</v>
      </c>
      <c r="D195" s="4" t="s">
        <v>42</v>
      </c>
      <c r="E195" s="4" t="s">
        <v>466</v>
      </c>
      <c r="F195" s="4" t="s">
        <v>467</v>
      </c>
      <c r="G195" s="4" t="s">
        <v>45</v>
      </c>
      <c r="H195" s="4" t="s">
        <v>560</v>
      </c>
      <c r="I195" s="4" t="s">
        <v>561</v>
      </c>
      <c r="J195" s="4" t="s">
        <v>562</v>
      </c>
      <c r="K195" s="4" t="n">
        <v>200</v>
      </c>
      <c r="L195" s="4" t="n">
        <v>60</v>
      </c>
      <c r="M195" s="9" t="n">
        <v>50</v>
      </c>
      <c r="N195" s="10" t="n">
        <f aca="false">K195*L195/1000000</f>
        <v>0.012</v>
      </c>
      <c r="O195" s="11" t="n">
        <f aca="false">M195/3600/N195</f>
        <v>1.15740740740741</v>
      </c>
      <c r="P195" s="4" t="str">
        <f aca="false">IF(O195&lt;=Hypothèses!$B$3,"oui","NON")</f>
        <v>oui</v>
      </c>
      <c r="Q195" s="4" t="s">
        <v>49</v>
      </c>
      <c r="R195" s="4"/>
      <c r="S195" s="12" t="s">
        <v>471</v>
      </c>
    </row>
    <row r="196" customFormat="false" ht="15" hidden="false" customHeight="false" outlineLevel="0" collapsed="false">
      <c r="A196" s="4" t="s">
        <v>563</v>
      </c>
      <c r="B196" s="4" t="s">
        <v>14</v>
      </c>
      <c r="C196" s="4" t="s">
        <v>9</v>
      </c>
      <c r="D196" s="4" t="s">
        <v>42</v>
      </c>
      <c r="E196" s="4" t="s">
        <v>473</v>
      </c>
      <c r="F196" s="4" t="s">
        <v>474</v>
      </c>
      <c r="G196" s="4" t="s">
        <v>45</v>
      </c>
      <c r="H196" s="4" t="s">
        <v>560</v>
      </c>
      <c r="I196" s="4" t="s">
        <v>561</v>
      </c>
      <c r="J196" s="4" t="s">
        <v>562</v>
      </c>
      <c r="K196" s="4" t="n">
        <v>200</v>
      </c>
      <c r="L196" s="4" t="n">
        <v>60</v>
      </c>
      <c r="M196" s="9" t="n">
        <v>90</v>
      </c>
      <c r="N196" s="10" t="n">
        <f aca="false">K196*L196/1000000</f>
        <v>0.012</v>
      </c>
      <c r="O196" s="11" t="n">
        <f aca="false">M196/3600/N196</f>
        <v>2.08333333333333</v>
      </c>
      <c r="P196" s="4" t="str">
        <f aca="false">IF(O196&lt;=Hypothèses!$B$3,"oui","NON")</f>
        <v>oui</v>
      </c>
      <c r="Q196" s="13" t="s">
        <v>275</v>
      </c>
      <c r="R196" s="13" t="s">
        <v>437</v>
      </c>
      <c r="S196" s="12" t="s">
        <v>475</v>
      </c>
    </row>
    <row r="197" customFormat="false" ht="15" hidden="false" customHeight="false" outlineLevel="0" collapsed="false">
      <c r="A197" s="4" t="s">
        <v>564</v>
      </c>
      <c r="B197" s="4" t="s">
        <v>14</v>
      </c>
      <c r="C197" s="4" t="s">
        <v>9</v>
      </c>
      <c r="D197" s="4" t="s">
        <v>42</v>
      </c>
      <c r="E197" s="4" t="s">
        <v>477</v>
      </c>
      <c r="F197" s="4" t="s">
        <v>478</v>
      </c>
      <c r="G197" s="4" t="s">
        <v>45</v>
      </c>
      <c r="H197" s="4" t="s">
        <v>560</v>
      </c>
      <c r="I197" s="4" t="s">
        <v>561</v>
      </c>
      <c r="J197" s="4" t="s">
        <v>562</v>
      </c>
      <c r="K197" s="4" t="n">
        <v>200</v>
      </c>
      <c r="L197" s="4" t="n">
        <v>60</v>
      </c>
      <c r="M197" s="9" t="n">
        <v>72</v>
      </c>
      <c r="N197" s="10" t="n">
        <f aca="false">K197*L197/1000000</f>
        <v>0.012</v>
      </c>
      <c r="O197" s="11" t="n">
        <f aca="false">M197/3600/N197</f>
        <v>1.66666666666667</v>
      </c>
      <c r="P197" s="4" t="str">
        <f aca="false">IF(O197&lt;=Hypothèses!$B$3,"oui","NON")</f>
        <v>oui</v>
      </c>
      <c r="Q197" s="4" t="s">
        <v>49</v>
      </c>
      <c r="R197" s="4"/>
      <c r="S197" s="12" t="s">
        <v>479</v>
      </c>
    </row>
    <row r="198" customFormat="false" ht="15" hidden="false" customHeight="false" outlineLevel="0" collapsed="false">
      <c r="A198" s="4" t="s">
        <v>565</v>
      </c>
      <c r="B198" s="4" t="s">
        <v>14</v>
      </c>
      <c r="C198" s="4" t="s">
        <v>9</v>
      </c>
      <c r="D198" s="4" t="s">
        <v>42</v>
      </c>
      <c r="E198" s="4" t="s">
        <v>481</v>
      </c>
      <c r="F198" s="4" t="s">
        <v>482</v>
      </c>
      <c r="G198" s="4" t="s">
        <v>45</v>
      </c>
      <c r="H198" s="4" t="s">
        <v>560</v>
      </c>
      <c r="I198" s="4" t="s">
        <v>561</v>
      </c>
      <c r="J198" s="4" t="s">
        <v>562</v>
      </c>
      <c r="K198" s="4" t="n">
        <v>200</v>
      </c>
      <c r="L198" s="4" t="n">
        <v>60</v>
      </c>
      <c r="M198" s="9" t="n">
        <v>75</v>
      </c>
      <c r="N198" s="10" t="n">
        <f aca="false">K198*L198/1000000</f>
        <v>0.012</v>
      </c>
      <c r="O198" s="11" t="n">
        <f aca="false">M198/3600/N198</f>
        <v>1.73611111111111</v>
      </c>
      <c r="P198" s="4" t="str">
        <f aca="false">IF(O198&lt;=Hypothèses!$B$3,"oui","NON")</f>
        <v>oui</v>
      </c>
      <c r="Q198" s="4" t="s">
        <v>49</v>
      </c>
      <c r="R198" s="4"/>
      <c r="S198" s="12" t="s">
        <v>484</v>
      </c>
    </row>
    <row r="199" customFormat="false" ht="15" hidden="false" customHeight="false" outlineLevel="0" collapsed="false">
      <c r="A199" s="4" t="s">
        <v>566</v>
      </c>
      <c r="B199" s="4" t="s">
        <v>14</v>
      </c>
      <c r="C199" s="4" t="s">
        <v>9</v>
      </c>
      <c r="D199" s="4" t="s">
        <v>42</v>
      </c>
      <c r="E199" s="4" t="s">
        <v>481</v>
      </c>
      <c r="F199" s="4" t="s">
        <v>486</v>
      </c>
      <c r="G199" s="4" t="s">
        <v>45</v>
      </c>
      <c r="H199" s="4" t="s">
        <v>560</v>
      </c>
      <c r="I199" s="4" t="s">
        <v>561</v>
      </c>
      <c r="J199" s="4" t="s">
        <v>562</v>
      </c>
      <c r="K199" s="4" t="n">
        <v>200</v>
      </c>
      <c r="L199" s="4" t="n">
        <v>60</v>
      </c>
      <c r="M199" s="9" t="n">
        <v>50</v>
      </c>
      <c r="N199" s="10" t="n">
        <f aca="false">K199*L199/1000000</f>
        <v>0.012</v>
      </c>
      <c r="O199" s="11" t="n">
        <f aca="false">M199/3600/N199</f>
        <v>1.15740740740741</v>
      </c>
      <c r="P199" s="4" t="str">
        <f aca="false">IF(O199&lt;=Hypothèses!$B$3,"oui","NON")</f>
        <v>oui</v>
      </c>
      <c r="Q199" s="4" t="s">
        <v>49</v>
      </c>
      <c r="R199" s="4"/>
      <c r="S199" s="12" t="s">
        <v>487</v>
      </c>
    </row>
    <row r="200" customFormat="false" ht="15" hidden="false" customHeight="false" outlineLevel="0" collapsed="false">
      <c r="A200" s="4" t="s">
        <v>567</v>
      </c>
      <c r="B200" s="4" t="s">
        <v>14</v>
      </c>
      <c r="C200" s="4" t="s">
        <v>9</v>
      </c>
      <c r="D200" s="4" t="s">
        <v>42</v>
      </c>
      <c r="E200" s="4" t="s">
        <v>481</v>
      </c>
      <c r="F200" s="4" t="s">
        <v>489</v>
      </c>
      <c r="G200" s="4" t="s">
        <v>45</v>
      </c>
      <c r="H200" s="4" t="s">
        <v>560</v>
      </c>
      <c r="I200" s="4" t="s">
        <v>561</v>
      </c>
      <c r="J200" s="4" t="s">
        <v>562</v>
      </c>
      <c r="K200" s="4" t="n">
        <v>200</v>
      </c>
      <c r="L200" s="4" t="n">
        <v>60</v>
      </c>
      <c r="M200" s="9" t="n">
        <v>50</v>
      </c>
      <c r="N200" s="10" t="n">
        <f aca="false">K200*L200/1000000</f>
        <v>0.012</v>
      </c>
      <c r="O200" s="11" t="n">
        <f aca="false">M200/3600/N200</f>
        <v>1.15740740740741</v>
      </c>
      <c r="P200" s="4" t="str">
        <f aca="false">IF(O200&lt;=Hypothèses!$B$3,"oui","NON")</f>
        <v>oui</v>
      </c>
      <c r="Q200" s="13" t="s">
        <v>275</v>
      </c>
      <c r="R200" s="13" t="s">
        <v>276</v>
      </c>
      <c r="S200" s="12" t="s">
        <v>490</v>
      </c>
    </row>
    <row r="201" customFormat="false" ht="15" hidden="false" customHeight="false" outlineLevel="0" collapsed="false">
      <c r="A201" s="4" t="s">
        <v>568</v>
      </c>
      <c r="B201" s="4" t="s">
        <v>14</v>
      </c>
      <c r="C201" s="4" t="s">
        <v>9</v>
      </c>
      <c r="D201" s="4" t="s">
        <v>42</v>
      </c>
      <c r="E201" s="4" t="s">
        <v>481</v>
      </c>
      <c r="F201" s="4" t="s">
        <v>492</v>
      </c>
      <c r="G201" s="4" t="s">
        <v>45</v>
      </c>
      <c r="H201" s="4" t="s">
        <v>560</v>
      </c>
      <c r="I201" s="4" t="s">
        <v>561</v>
      </c>
      <c r="J201" s="4" t="s">
        <v>562</v>
      </c>
      <c r="K201" s="4" t="n">
        <v>200</v>
      </c>
      <c r="L201" s="4" t="n">
        <v>60</v>
      </c>
      <c r="M201" s="9" t="n">
        <v>75</v>
      </c>
      <c r="N201" s="10" t="n">
        <f aca="false">K201*L201/1000000</f>
        <v>0.012</v>
      </c>
      <c r="O201" s="11" t="n">
        <f aca="false">M201/3600/N201</f>
        <v>1.73611111111111</v>
      </c>
      <c r="P201" s="4" t="str">
        <f aca="false">IF(O201&lt;=Hypothèses!$B$3,"oui","NON")</f>
        <v>oui</v>
      </c>
      <c r="Q201" s="4" t="s">
        <v>49</v>
      </c>
      <c r="R201" s="4"/>
      <c r="S201" s="12" t="s">
        <v>493</v>
      </c>
    </row>
    <row r="202" customFormat="false" ht="15" hidden="false" customHeight="false" outlineLevel="0" collapsed="false">
      <c r="A202" s="4" t="s">
        <v>569</v>
      </c>
      <c r="B202" s="4" t="s">
        <v>14</v>
      </c>
      <c r="C202" s="4" t="s">
        <v>9</v>
      </c>
      <c r="D202" s="4" t="s">
        <v>42</v>
      </c>
      <c r="E202" s="4" t="s">
        <v>495</v>
      </c>
      <c r="F202" s="4" t="s">
        <v>496</v>
      </c>
      <c r="G202" s="4" t="s">
        <v>45</v>
      </c>
      <c r="H202" s="4" t="s">
        <v>560</v>
      </c>
      <c r="I202" s="4" t="s">
        <v>561</v>
      </c>
      <c r="J202" s="4" t="s">
        <v>562</v>
      </c>
      <c r="K202" s="4" t="n">
        <v>250</v>
      </c>
      <c r="L202" s="4" t="n">
        <v>60</v>
      </c>
      <c r="M202" s="9" t="n">
        <v>126</v>
      </c>
      <c r="N202" s="10" t="n">
        <f aca="false">K202*L202/1000000</f>
        <v>0.015</v>
      </c>
      <c r="O202" s="11" t="n">
        <f aca="false">M202/3600/N202</f>
        <v>2.33333333333333</v>
      </c>
      <c r="P202" s="4" t="str">
        <f aca="false">IF(O202&lt;=Hypothèses!$B$3,"oui","NON")</f>
        <v>oui</v>
      </c>
      <c r="Q202" s="4" t="s">
        <v>49</v>
      </c>
      <c r="R202" s="4"/>
      <c r="S202" s="12" t="s">
        <v>498</v>
      </c>
    </row>
    <row r="203" customFormat="false" ht="15" hidden="false" customHeight="false" outlineLevel="0" collapsed="false">
      <c r="A203" s="4" t="s">
        <v>570</v>
      </c>
      <c r="B203" s="4" t="s">
        <v>14</v>
      </c>
      <c r="C203" s="4" t="s">
        <v>9</v>
      </c>
      <c r="D203" s="4" t="s">
        <v>42</v>
      </c>
      <c r="E203" s="4" t="s">
        <v>481</v>
      </c>
      <c r="F203" s="4" t="s">
        <v>500</v>
      </c>
      <c r="G203" s="4" t="s">
        <v>45</v>
      </c>
      <c r="H203" s="4" t="s">
        <v>560</v>
      </c>
      <c r="I203" s="4" t="s">
        <v>561</v>
      </c>
      <c r="J203" s="4" t="s">
        <v>562</v>
      </c>
      <c r="K203" s="4" t="n">
        <v>200</v>
      </c>
      <c r="L203" s="4" t="n">
        <v>60</v>
      </c>
      <c r="M203" s="9" t="n">
        <v>108</v>
      </c>
      <c r="N203" s="10" t="n">
        <f aca="false">K203*L203/1000000</f>
        <v>0.012</v>
      </c>
      <c r="O203" s="11" t="n">
        <f aca="false">M203/3600/N203</f>
        <v>2.5</v>
      </c>
      <c r="P203" s="4" t="str">
        <f aca="false">IF(O203&lt;=Hypothèses!$B$3,"oui","NON")</f>
        <v>oui</v>
      </c>
      <c r="Q203" s="4" t="s">
        <v>49</v>
      </c>
      <c r="R203" s="4"/>
      <c r="S203" s="12" t="s">
        <v>501</v>
      </c>
    </row>
    <row r="204" customFormat="false" ht="15" hidden="false" customHeight="false" outlineLevel="0" collapsed="false">
      <c r="A204" s="4" t="s">
        <v>571</v>
      </c>
      <c r="B204" s="4" t="s">
        <v>14</v>
      </c>
      <c r="C204" s="4" t="s">
        <v>9</v>
      </c>
      <c r="D204" s="4" t="s">
        <v>42</v>
      </c>
      <c r="E204" s="4" t="s">
        <v>503</v>
      </c>
      <c r="F204" s="4" t="s">
        <v>504</v>
      </c>
      <c r="G204" s="4" t="s">
        <v>45</v>
      </c>
      <c r="H204" s="4" t="s">
        <v>560</v>
      </c>
      <c r="I204" s="4" t="s">
        <v>561</v>
      </c>
      <c r="J204" s="4" t="s">
        <v>562</v>
      </c>
      <c r="K204" s="4" t="n">
        <v>450</v>
      </c>
      <c r="L204" s="4" t="n">
        <v>60</v>
      </c>
      <c r="M204" s="9" t="n">
        <v>234</v>
      </c>
      <c r="N204" s="10" t="n">
        <f aca="false">K204*L204/1000000</f>
        <v>0.027</v>
      </c>
      <c r="O204" s="11" t="n">
        <f aca="false">M204/3600/N204</f>
        <v>2.40740740740741</v>
      </c>
      <c r="P204" s="4" t="str">
        <f aca="false">IF(O204&lt;=Hypothèses!$B$3,"oui","NON")</f>
        <v>oui</v>
      </c>
      <c r="Q204" s="13" t="s">
        <v>275</v>
      </c>
      <c r="R204" s="13" t="s">
        <v>276</v>
      </c>
      <c r="S204" s="12" t="s">
        <v>505</v>
      </c>
    </row>
    <row r="205" customFormat="false" ht="15" hidden="false" customHeight="false" outlineLevel="0" collapsed="false">
      <c r="A205" s="4" t="s">
        <v>572</v>
      </c>
      <c r="B205" s="4" t="s">
        <v>14</v>
      </c>
      <c r="C205" s="4" t="s">
        <v>9</v>
      </c>
      <c r="D205" s="4" t="s">
        <v>42</v>
      </c>
      <c r="E205" s="4" t="s">
        <v>507</v>
      </c>
      <c r="F205" s="4" t="s">
        <v>508</v>
      </c>
      <c r="G205" s="4" t="s">
        <v>45</v>
      </c>
      <c r="H205" s="4" t="s">
        <v>560</v>
      </c>
      <c r="I205" s="4" t="s">
        <v>561</v>
      </c>
      <c r="J205" s="4" t="s">
        <v>562</v>
      </c>
      <c r="K205" s="4" t="n">
        <v>200</v>
      </c>
      <c r="L205" s="4" t="n">
        <v>60</v>
      </c>
      <c r="M205" s="9" t="n">
        <v>50</v>
      </c>
      <c r="N205" s="10" t="n">
        <f aca="false">K205*L205/1000000</f>
        <v>0.012</v>
      </c>
      <c r="O205" s="11" t="n">
        <f aca="false">M205/3600/N205</f>
        <v>1.15740740740741</v>
      </c>
      <c r="P205" s="4" t="str">
        <f aca="false">IF(O205&lt;=Hypothèses!$B$3,"oui","NON")</f>
        <v>oui</v>
      </c>
      <c r="Q205" s="4" t="s">
        <v>49</v>
      </c>
      <c r="R205" s="4"/>
      <c r="S205" s="12" t="s">
        <v>509</v>
      </c>
    </row>
    <row r="206" customFormat="false" ht="15" hidden="false" customHeight="false" outlineLevel="0" collapsed="false">
      <c r="A206" s="4" t="s">
        <v>573</v>
      </c>
      <c r="B206" s="4" t="s">
        <v>14</v>
      </c>
      <c r="C206" s="4" t="s">
        <v>9</v>
      </c>
      <c r="D206" s="4" t="s">
        <v>42</v>
      </c>
      <c r="E206" s="4" t="s">
        <v>466</v>
      </c>
      <c r="F206" s="4" t="s">
        <v>511</v>
      </c>
      <c r="G206" s="4" t="s">
        <v>45</v>
      </c>
      <c r="H206" s="4" t="s">
        <v>560</v>
      </c>
      <c r="I206" s="4" t="s">
        <v>561</v>
      </c>
      <c r="J206" s="4" t="s">
        <v>562</v>
      </c>
      <c r="K206" s="4" t="n">
        <v>200</v>
      </c>
      <c r="L206" s="4" t="n">
        <v>60</v>
      </c>
      <c r="M206" s="9" t="n">
        <v>75</v>
      </c>
      <c r="N206" s="10" t="n">
        <f aca="false">K206*L206/1000000</f>
        <v>0.012</v>
      </c>
      <c r="O206" s="11" t="n">
        <f aca="false">M206/3600/N206</f>
        <v>1.73611111111111</v>
      </c>
      <c r="P206" s="4" t="str">
        <f aca="false">IF(O206&lt;=Hypothèses!$B$3,"oui","NON")</f>
        <v>oui</v>
      </c>
      <c r="Q206" s="4" t="s">
        <v>49</v>
      </c>
      <c r="R206" s="4"/>
      <c r="S206" s="12" t="s">
        <v>512</v>
      </c>
    </row>
    <row r="207" customFormat="false" ht="15" hidden="false" customHeight="false" outlineLevel="0" collapsed="false">
      <c r="A207" s="4" t="s">
        <v>574</v>
      </c>
      <c r="B207" s="4" t="s">
        <v>14</v>
      </c>
      <c r="C207" s="4" t="s">
        <v>9</v>
      </c>
      <c r="D207" s="4" t="s">
        <v>42</v>
      </c>
      <c r="E207" s="4" t="s">
        <v>514</v>
      </c>
      <c r="F207" s="4" t="s">
        <v>515</v>
      </c>
      <c r="G207" s="4" t="s">
        <v>45</v>
      </c>
      <c r="H207" s="4" t="s">
        <v>560</v>
      </c>
      <c r="I207" s="4" t="s">
        <v>561</v>
      </c>
      <c r="J207" s="4" t="s">
        <v>562</v>
      </c>
      <c r="K207" s="4" t="n">
        <v>200</v>
      </c>
      <c r="L207" s="4" t="n">
        <v>60</v>
      </c>
      <c r="M207" s="9" t="n">
        <v>75</v>
      </c>
      <c r="N207" s="10" t="n">
        <f aca="false">K207*L207/1000000</f>
        <v>0.012</v>
      </c>
      <c r="O207" s="11" t="n">
        <f aca="false">M207/3600/N207</f>
        <v>1.73611111111111</v>
      </c>
      <c r="P207" s="4" t="str">
        <f aca="false">IF(O207&lt;=Hypothèses!$B$3,"oui","NON")</f>
        <v>oui</v>
      </c>
      <c r="Q207" s="4" t="s">
        <v>49</v>
      </c>
      <c r="R207" s="4"/>
      <c r="S207" s="12" t="s">
        <v>516</v>
      </c>
    </row>
    <row r="208" customFormat="false" ht="15" hidden="false" customHeight="false" outlineLevel="0" collapsed="false">
      <c r="A208" s="4" t="s">
        <v>575</v>
      </c>
      <c r="B208" s="4" t="s">
        <v>14</v>
      </c>
      <c r="C208" s="4" t="s">
        <v>9</v>
      </c>
      <c r="D208" s="4" t="s">
        <v>42</v>
      </c>
      <c r="E208" s="4" t="s">
        <v>518</v>
      </c>
      <c r="F208" s="4" t="s">
        <v>519</v>
      </c>
      <c r="G208" s="4" t="s">
        <v>45</v>
      </c>
      <c r="H208" s="4" t="s">
        <v>560</v>
      </c>
      <c r="I208" s="4" t="s">
        <v>561</v>
      </c>
      <c r="J208" s="4" t="s">
        <v>562</v>
      </c>
      <c r="K208" s="4" t="n">
        <v>450</v>
      </c>
      <c r="L208" s="4" t="n">
        <v>60</v>
      </c>
      <c r="M208" s="9" t="n">
        <v>234</v>
      </c>
      <c r="N208" s="10" t="n">
        <f aca="false">K208*L208/1000000</f>
        <v>0.027</v>
      </c>
      <c r="O208" s="11" t="n">
        <f aca="false">M208/3600/N208</f>
        <v>2.40740740740741</v>
      </c>
      <c r="P208" s="4" t="str">
        <f aca="false">IF(O208&lt;=Hypothèses!$B$3,"oui","NON")</f>
        <v>oui</v>
      </c>
      <c r="Q208" s="4" t="s">
        <v>49</v>
      </c>
      <c r="R208" s="4"/>
      <c r="S208" s="12" t="s">
        <v>520</v>
      </c>
    </row>
    <row r="209" customFormat="false" ht="15" hidden="false" customHeight="false" outlineLevel="0" collapsed="false">
      <c r="A209" s="4" t="s">
        <v>576</v>
      </c>
      <c r="B209" s="4" t="s">
        <v>14</v>
      </c>
      <c r="C209" s="4" t="s">
        <v>9</v>
      </c>
      <c r="D209" s="4" t="s">
        <v>42</v>
      </c>
      <c r="E209" s="4" t="s">
        <v>522</v>
      </c>
      <c r="F209" s="4" t="s">
        <v>523</v>
      </c>
      <c r="G209" s="4" t="s">
        <v>45</v>
      </c>
      <c r="H209" s="4" t="s">
        <v>560</v>
      </c>
      <c r="I209" s="4" t="s">
        <v>561</v>
      </c>
      <c r="J209" s="4" t="s">
        <v>562</v>
      </c>
      <c r="K209" s="4" t="n">
        <v>700</v>
      </c>
      <c r="L209" s="4" t="n">
        <v>60</v>
      </c>
      <c r="M209" s="9" t="n">
        <v>355</v>
      </c>
      <c r="N209" s="10" t="n">
        <f aca="false">K209*L209/1000000</f>
        <v>0.042</v>
      </c>
      <c r="O209" s="11" t="n">
        <f aca="false">M209/3600/N209</f>
        <v>2.3478835978836</v>
      </c>
      <c r="P209" s="4" t="str">
        <f aca="false">IF(O209&lt;=Hypothèses!$B$3,"oui","NON")</f>
        <v>oui</v>
      </c>
      <c r="Q209" s="4" t="s">
        <v>49</v>
      </c>
      <c r="R209" s="4"/>
      <c r="S209" s="12" t="s">
        <v>524</v>
      </c>
    </row>
    <row r="210" customFormat="false" ht="15" hidden="false" customHeight="false" outlineLevel="0" collapsed="false">
      <c r="A210" s="4" t="s">
        <v>577</v>
      </c>
      <c r="B210" s="4" t="s">
        <v>14</v>
      </c>
      <c r="C210" s="4" t="s">
        <v>9</v>
      </c>
      <c r="D210" s="4" t="s">
        <v>42</v>
      </c>
      <c r="E210" s="4" t="s">
        <v>522</v>
      </c>
      <c r="F210" s="4" t="s">
        <v>523</v>
      </c>
      <c r="G210" s="4" t="s">
        <v>45</v>
      </c>
      <c r="H210" s="4" t="s">
        <v>560</v>
      </c>
      <c r="I210" s="4" t="s">
        <v>561</v>
      </c>
      <c r="J210" s="4" t="s">
        <v>562</v>
      </c>
      <c r="K210" s="4" t="n">
        <v>700</v>
      </c>
      <c r="L210" s="4" t="n">
        <v>60</v>
      </c>
      <c r="M210" s="9" t="n">
        <v>355</v>
      </c>
      <c r="N210" s="10" t="n">
        <f aca="false">K210*L210/1000000</f>
        <v>0.042</v>
      </c>
      <c r="O210" s="11" t="n">
        <f aca="false">M210/3600/N210</f>
        <v>2.3478835978836</v>
      </c>
      <c r="P210" s="4" t="str">
        <f aca="false">IF(O210&lt;=Hypothèses!$B$3,"oui","NON")</f>
        <v>oui</v>
      </c>
      <c r="Q210" s="4" t="s">
        <v>49</v>
      </c>
      <c r="R210" s="4"/>
      <c r="S210" s="12" t="s">
        <v>524</v>
      </c>
    </row>
    <row r="211" customFormat="false" ht="15" hidden="false" customHeight="false" outlineLevel="0" collapsed="false">
      <c r="A211" s="4" t="s">
        <v>578</v>
      </c>
      <c r="B211" s="4" t="s">
        <v>14</v>
      </c>
      <c r="C211" s="4" t="s">
        <v>9</v>
      </c>
      <c r="D211" s="4" t="s">
        <v>42</v>
      </c>
      <c r="E211" s="4" t="s">
        <v>522</v>
      </c>
      <c r="F211" s="4" t="s">
        <v>523</v>
      </c>
      <c r="G211" s="4" t="s">
        <v>45</v>
      </c>
      <c r="H211" s="4" t="s">
        <v>560</v>
      </c>
      <c r="I211" s="4" t="s">
        <v>561</v>
      </c>
      <c r="J211" s="4" t="s">
        <v>562</v>
      </c>
      <c r="K211" s="4" t="n">
        <v>700</v>
      </c>
      <c r="L211" s="4" t="n">
        <v>60</v>
      </c>
      <c r="M211" s="9" t="n">
        <v>355</v>
      </c>
      <c r="N211" s="10" t="n">
        <f aca="false">K211*L211/1000000</f>
        <v>0.042</v>
      </c>
      <c r="O211" s="11" t="n">
        <f aca="false">M211/3600/N211</f>
        <v>2.3478835978836</v>
      </c>
      <c r="P211" s="4" t="str">
        <f aca="false">IF(O211&lt;=Hypothèses!$B$3,"oui","NON")</f>
        <v>oui</v>
      </c>
      <c r="Q211" s="4" t="s">
        <v>49</v>
      </c>
      <c r="R211" s="4"/>
      <c r="S211" s="12" t="s">
        <v>524</v>
      </c>
    </row>
    <row r="212" customFormat="false" ht="15" hidden="false" customHeight="false" outlineLevel="0" collapsed="false">
      <c r="A212" s="4" t="s">
        <v>579</v>
      </c>
      <c r="B212" s="4" t="s">
        <v>14</v>
      </c>
      <c r="C212" s="4" t="s">
        <v>9</v>
      </c>
      <c r="D212" s="4" t="s">
        <v>42</v>
      </c>
      <c r="E212" s="4" t="s">
        <v>522</v>
      </c>
      <c r="F212" s="4" t="s">
        <v>523</v>
      </c>
      <c r="G212" s="4" t="s">
        <v>45</v>
      </c>
      <c r="H212" s="4" t="s">
        <v>560</v>
      </c>
      <c r="I212" s="4" t="s">
        <v>561</v>
      </c>
      <c r="J212" s="4" t="s">
        <v>562</v>
      </c>
      <c r="K212" s="4" t="n">
        <v>700</v>
      </c>
      <c r="L212" s="4" t="n">
        <v>60</v>
      </c>
      <c r="M212" s="9" t="n">
        <v>355</v>
      </c>
      <c r="N212" s="10" t="n">
        <f aca="false">K212*L212/1000000</f>
        <v>0.042</v>
      </c>
      <c r="O212" s="11" t="n">
        <f aca="false">M212/3600/N212</f>
        <v>2.3478835978836</v>
      </c>
      <c r="P212" s="4" t="str">
        <f aca="false">IF(O212&lt;=Hypothèses!$B$3,"oui","NON")</f>
        <v>oui</v>
      </c>
      <c r="Q212" s="4" t="s">
        <v>49</v>
      </c>
      <c r="R212" s="4"/>
      <c r="S212" s="12" t="s">
        <v>524</v>
      </c>
    </row>
    <row r="213" customFormat="false" ht="15" hidden="false" customHeight="false" outlineLevel="0" collapsed="false">
      <c r="A213" s="4" t="s">
        <v>580</v>
      </c>
      <c r="B213" s="4" t="s">
        <v>14</v>
      </c>
      <c r="C213" s="4" t="s">
        <v>9</v>
      </c>
      <c r="D213" s="4" t="s">
        <v>42</v>
      </c>
      <c r="E213" s="4" t="s">
        <v>522</v>
      </c>
      <c r="F213" s="4" t="s">
        <v>523</v>
      </c>
      <c r="G213" s="4" t="s">
        <v>45</v>
      </c>
      <c r="H213" s="4" t="s">
        <v>560</v>
      </c>
      <c r="I213" s="4" t="s">
        <v>561</v>
      </c>
      <c r="J213" s="4" t="s">
        <v>562</v>
      </c>
      <c r="K213" s="4" t="n">
        <v>700</v>
      </c>
      <c r="L213" s="4" t="n">
        <v>60</v>
      </c>
      <c r="M213" s="9" t="n">
        <v>355</v>
      </c>
      <c r="N213" s="10" t="n">
        <f aca="false">K213*L213/1000000</f>
        <v>0.042</v>
      </c>
      <c r="O213" s="11" t="n">
        <f aca="false">M213/3600/N213</f>
        <v>2.3478835978836</v>
      </c>
      <c r="P213" s="4" t="str">
        <f aca="false">IF(O213&lt;=Hypothèses!$B$3,"oui","NON")</f>
        <v>oui</v>
      </c>
      <c r="Q213" s="4" t="s">
        <v>49</v>
      </c>
      <c r="R213" s="4"/>
      <c r="S213" s="12" t="s">
        <v>524</v>
      </c>
    </row>
    <row r="214" customFormat="false" ht="15" hidden="false" customHeight="false" outlineLevel="0" collapsed="false">
      <c r="A214" s="4" t="s">
        <v>581</v>
      </c>
      <c r="B214" s="4" t="s">
        <v>14</v>
      </c>
      <c r="C214" s="4" t="s">
        <v>9</v>
      </c>
      <c r="D214" s="4" t="s">
        <v>42</v>
      </c>
      <c r="E214" s="4" t="s">
        <v>522</v>
      </c>
      <c r="F214" s="4" t="s">
        <v>523</v>
      </c>
      <c r="G214" s="4" t="s">
        <v>45</v>
      </c>
      <c r="H214" s="4" t="s">
        <v>560</v>
      </c>
      <c r="I214" s="4" t="s">
        <v>561</v>
      </c>
      <c r="J214" s="4" t="s">
        <v>562</v>
      </c>
      <c r="K214" s="4" t="n">
        <v>700</v>
      </c>
      <c r="L214" s="4" t="n">
        <v>60</v>
      </c>
      <c r="M214" s="9" t="n">
        <v>355</v>
      </c>
      <c r="N214" s="10" t="n">
        <f aca="false">K214*L214/1000000</f>
        <v>0.042</v>
      </c>
      <c r="O214" s="11" t="n">
        <f aca="false">M214/3600/N214</f>
        <v>2.3478835978836</v>
      </c>
      <c r="P214" s="4" t="str">
        <f aca="false">IF(O214&lt;=Hypothèses!$B$3,"oui","NON")</f>
        <v>oui</v>
      </c>
      <c r="Q214" s="13" t="s">
        <v>275</v>
      </c>
      <c r="R214" s="13" t="s">
        <v>437</v>
      </c>
      <c r="S214" s="12" t="s">
        <v>524</v>
      </c>
    </row>
    <row r="215" customFormat="false" ht="15" hidden="false" customHeight="false" outlineLevel="0" collapsed="false">
      <c r="A215" s="4" t="s">
        <v>582</v>
      </c>
      <c r="B215" s="4" t="s">
        <v>14</v>
      </c>
      <c r="C215" s="4" t="s">
        <v>9</v>
      </c>
      <c r="D215" s="4" t="s">
        <v>42</v>
      </c>
      <c r="E215" s="4" t="s">
        <v>522</v>
      </c>
      <c r="F215" s="4" t="s">
        <v>523</v>
      </c>
      <c r="G215" s="4" t="s">
        <v>45</v>
      </c>
      <c r="H215" s="4" t="s">
        <v>560</v>
      </c>
      <c r="I215" s="4" t="s">
        <v>561</v>
      </c>
      <c r="J215" s="4" t="s">
        <v>562</v>
      </c>
      <c r="K215" s="4" t="n">
        <v>700</v>
      </c>
      <c r="L215" s="4" t="n">
        <v>60</v>
      </c>
      <c r="M215" s="9" t="n">
        <v>355</v>
      </c>
      <c r="N215" s="10" t="n">
        <f aca="false">K215*L215/1000000</f>
        <v>0.042</v>
      </c>
      <c r="O215" s="11" t="n">
        <f aca="false">M215/3600/N215</f>
        <v>2.3478835978836</v>
      </c>
      <c r="P215" s="4" t="str">
        <f aca="false">IF(O215&lt;=Hypothèses!$B$3,"oui","NON")</f>
        <v>oui</v>
      </c>
      <c r="Q215" s="13" t="s">
        <v>275</v>
      </c>
      <c r="R215" s="13" t="s">
        <v>437</v>
      </c>
      <c r="S215" s="12" t="s">
        <v>524</v>
      </c>
    </row>
    <row r="216" customFormat="false" ht="15" hidden="false" customHeight="false" outlineLevel="0" collapsed="false">
      <c r="A216" s="4" t="s">
        <v>583</v>
      </c>
      <c r="B216" s="4" t="s">
        <v>14</v>
      </c>
      <c r="C216" s="4" t="s">
        <v>9</v>
      </c>
      <c r="D216" s="4" t="s">
        <v>42</v>
      </c>
      <c r="E216" s="4" t="s">
        <v>532</v>
      </c>
      <c r="F216" s="4" t="s">
        <v>533</v>
      </c>
      <c r="G216" s="4" t="s">
        <v>45</v>
      </c>
      <c r="H216" s="4" t="s">
        <v>560</v>
      </c>
      <c r="I216" s="4" t="s">
        <v>561</v>
      </c>
      <c r="J216" s="4" t="s">
        <v>562</v>
      </c>
      <c r="K216" s="4" t="n">
        <v>200</v>
      </c>
      <c r="L216" s="4" t="n">
        <v>60</v>
      </c>
      <c r="M216" s="9" t="n">
        <v>75</v>
      </c>
      <c r="N216" s="10" t="n">
        <f aca="false">K216*L216/1000000</f>
        <v>0.012</v>
      </c>
      <c r="O216" s="11" t="n">
        <f aca="false">M216/3600/N216</f>
        <v>1.73611111111111</v>
      </c>
      <c r="P216" s="4" t="str">
        <f aca="false">IF(O216&lt;=Hypothèses!$B$3,"oui","NON")</f>
        <v>oui</v>
      </c>
      <c r="Q216" s="4" t="s">
        <v>49</v>
      </c>
      <c r="R216" s="4"/>
      <c r="S216" s="12" t="s">
        <v>534</v>
      </c>
    </row>
    <row r="217" customFormat="false" ht="15" hidden="false" customHeight="false" outlineLevel="0" collapsed="false">
      <c r="A217" s="4" t="s">
        <v>584</v>
      </c>
      <c r="B217" s="4" t="s">
        <v>14</v>
      </c>
      <c r="C217" s="4" t="s">
        <v>9</v>
      </c>
      <c r="D217" s="4" t="s">
        <v>42</v>
      </c>
      <c r="E217" s="4" t="s">
        <v>536</v>
      </c>
      <c r="F217" s="4" t="s">
        <v>537</v>
      </c>
      <c r="G217" s="4" t="s">
        <v>45</v>
      </c>
      <c r="H217" s="4" t="s">
        <v>560</v>
      </c>
      <c r="I217" s="4" t="s">
        <v>561</v>
      </c>
      <c r="J217" s="4" t="s">
        <v>562</v>
      </c>
      <c r="K217" s="4" t="n">
        <v>200</v>
      </c>
      <c r="L217" s="4" t="n">
        <v>60</v>
      </c>
      <c r="M217" s="9" t="n">
        <v>100</v>
      </c>
      <c r="N217" s="10" t="n">
        <f aca="false">K217*L217/1000000</f>
        <v>0.012</v>
      </c>
      <c r="O217" s="11" t="n">
        <f aca="false">M217/3600/N217</f>
        <v>2.31481481481481</v>
      </c>
      <c r="P217" s="4" t="str">
        <f aca="false">IF(O217&lt;=Hypothèses!$B$3,"oui","NON")</f>
        <v>oui</v>
      </c>
      <c r="Q217" s="4" t="s">
        <v>49</v>
      </c>
      <c r="R217" s="4"/>
      <c r="S217" s="12" t="s">
        <v>538</v>
      </c>
    </row>
    <row r="218" customFormat="false" ht="15" hidden="false" customHeight="false" outlineLevel="0" collapsed="false">
      <c r="A218" s="4" t="s">
        <v>585</v>
      </c>
      <c r="B218" s="4" t="s">
        <v>14</v>
      </c>
      <c r="C218" s="4" t="s">
        <v>9</v>
      </c>
      <c r="D218" s="4" t="s">
        <v>91</v>
      </c>
      <c r="E218" s="4" t="s">
        <v>540</v>
      </c>
      <c r="F218" s="4" t="s">
        <v>541</v>
      </c>
      <c r="G218" s="4" t="s">
        <v>45</v>
      </c>
      <c r="H218" s="4" t="s">
        <v>560</v>
      </c>
      <c r="I218" s="4" t="s">
        <v>561</v>
      </c>
      <c r="J218" s="4" t="s">
        <v>562</v>
      </c>
      <c r="K218" s="4" t="n">
        <v>200</v>
      </c>
      <c r="L218" s="4" t="n">
        <v>60</v>
      </c>
      <c r="M218" s="9" t="n">
        <v>25</v>
      </c>
      <c r="N218" s="10" t="n">
        <f aca="false">K218*L218/1000000</f>
        <v>0.012</v>
      </c>
      <c r="O218" s="11" t="n">
        <f aca="false">M218/3600/N218</f>
        <v>0.578703703703704</v>
      </c>
      <c r="P218" s="4" t="str">
        <f aca="false">IF(O218&lt;=Hypothèses!$B$3,"oui","NON")</f>
        <v>oui</v>
      </c>
      <c r="Q218" s="4" t="s">
        <v>49</v>
      </c>
      <c r="R218" s="4"/>
      <c r="S218" s="12" t="s">
        <v>542</v>
      </c>
    </row>
    <row r="219" customFormat="false" ht="15" hidden="false" customHeight="false" outlineLevel="0" collapsed="false">
      <c r="A219" s="4" t="s">
        <v>586</v>
      </c>
      <c r="B219" s="4" t="s">
        <v>14</v>
      </c>
      <c r="C219" s="4" t="s">
        <v>9</v>
      </c>
      <c r="D219" s="4" t="s">
        <v>91</v>
      </c>
      <c r="E219" s="4" t="s">
        <v>544</v>
      </c>
      <c r="F219" s="4" t="s">
        <v>545</v>
      </c>
      <c r="G219" s="4" t="s">
        <v>45</v>
      </c>
      <c r="H219" s="4" t="s">
        <v>560</v>
      </c>
      <c r="I219" s="4" t="s">
        <v>561</v>
      </c>
      <c r="J219" s="4" t="s">
        <v>562</v>
      </c>
      <c r="K219" s="4" t="n">
        <v>250</v>
      </c>
      <c r="L219" s="4" t="n">
        <v>60</v>
      </c>
      <c r="M219" s="9" t="n">
        <v>108</v>
      </c>
      <c r="N219" s="10" t="n">
        <f aca="false">K219*L219/1000000</f>
        <v>0.015</v>
      </c>
      <c r="O219" s="11" t="n">
        <f aca="false">M219/3600/N219</f>
        <v>2</v>
      </c>
      <c r="P219" s="4" t="str">
        <f aca="false">IF(O219&lt;=Hypothèses!$B$3,"oui","NON")</f>
        <v>oui</v>
      </c>
      <c r="Q219" s="13" t="s">
        <v>275</v>
      </c>
      <c r="R219" s="13" t="s">
        <v>497</v>
      </c>
      <c r="S219" s="12" t="s">
        <v>546</v>
      </c>
    </row>
    <row r="220" customFormat="false" ht="15" hidden="false" customHeight="false" outlineLevel="0" collapsed="false">
      <c r="A220" s="4" t="s">
        <v>587</v>
      </c>
      <c r="B220" s="4" t="s">
        <v>14</v>
      </c>
      <c r="C220" s="4" t="s">
        <v>9</v>
      </c>
      <c r="D220" s="4" t="s">
        <v>91</v>
      </c>
      <c r="E220" s="4" t="s">
        <v>548</v>
      </c>
      <c r="F220" s="4" t="s">
        <v>523</v>
      </c>
      <c r="G220" s="4" t="s">
        <v>45</v>
      </c>
      <c r="H220" s="4" t="s">
        <v>560</v>
      </c>
      <c r="I220" s="4" t="s">
        <v>561</v>
      </c>
      <c r="J220" s="4" t="s">
        <v>562</v>
      </c>
      <c r="K220" s="4" t="n">
        <v>450</v>
      </c>
      <c r="L220" s="4" t="n">
        <v>60</v>
      </c>
      <c r="M220" s="9" t="n">
        <v>220</v>
      </c>
      <c r="N220" s="10" t="n">
        <f aca="false">K220*L220/1000000</f>
        <v>0.027</v>
      </c>
      <c r="O220" s="11" t="n">
        <f aca="false">M220/3600/N220</f>
        <v>2.26337448559671</v>
      </c>
      <c r="P220" s="4" t="str">
        <f aca="false">IF(O220&lt;=Hypothèses!$B$3,"oui","NON")</f>
        <v>oui</v>
      </c>
      <c r="Q220" s="4" t="s">
        <v>49</v>
      </c>
      <c r="R220" s="4"/>
      <c r="S220" s="12" t="s">
        <v>549</v>
      </c>
    </row>
    <row r="221" customFormat="false" ht="15" hidden="false" customHeight="false" outlineLevel="0" collapsed="false">
      <c r="A221" s="4" t="s">
        <v>588</v>
      </c>
      <c r="B221" s="4" t="s">
        <v>14</v>
      </c>
      <c r="C221" s="4" t="s">
        <v>9</v>
      </c>
      <c r="D221" s="4" t="s">
        <v>91</v>
      </c>
      <c r="E221" s="4" t="s">
        <v>548</v>
      </c>
      <c r="F221" s="4" t="s">
        <v>523</v>
      </c>
      <c r="G221" s="4" t="s">
        <v>45</v>
      </c>
      <c r="H221" s="4" t="s">
        <v>560</v>
      </c>
      <c r="I221" s="4" t="s">
        <v>561</v>
      </c>
      <c r="J221" s="4" t="s">
        <v>562</v>
      </c>
      <c r="K221" s="4" t="n">
        <v>450</v>
      </c>
      <c r="L221" s="4" t="n">
        <v>60</v>
      </c>
      <c r="M221" s="9" t="n">
        <v>220</v>
      </c>
      <c r="N221" s="10" t="n">
        <f aca="false">K221*L221/1000000</f>
        <v>0.027</v>
      </c>
      <c r="O221" s="11" t="n">
        <f aca="false">M221/3600/N221</f>
        <v>2.26337448559671</v>
      </c>
      <c r="P221" s="4" t="str">
        <f aca="false">IF(O221&lt;=Hypothèses!$B$3,"oui","NON")</f>
        <v>oui</v>
      </c>
      <c r="Q221" s="4" t="s">
        <v>49</v>
      </c>
      <c r="R221" s="4"/>
      <c r="S221" s="12" t="s">
        <v>549</v>
      </c>
    </row>
    <row r="222" customFormat="false" ht="15" hidden="false" customHeight="false" outlineLevel="0" collapsed="false">
      <c r="A222" s="4" t="s">
        <v>589</v>
      </c>
      <c r="B222" s="4" t="s">
        <v>14</v>
      </c>
      <c r="C222" s="4" t="s">
        <v>9</v>
      </c>
      <c r="D222" s="4" t="s">
        <v>91</v>
      </c>
      <c r="E222" s="4" t="s">
        <v>552</v>
      </c>
      <c r="F222" s="4" t="s">
        <v>553</v>
      </c>
      <c r="G222" s="4" t="s">
        <v>45</v>
      </c>
      <c r="H222" s="4" t="s">
        <v>560</v>
      </c>
      <c r="I222" s="4" t="s">
        <v>561</v>
      </c>
      <c r="J222" s="4" t="s">
        <v>562</v>
      </c>
      <c r="K222" s="4" t="n">
        <v>700</v>
      </c>
      <c r="L222" s="4" t="n">
        <v>60</v>
      </c>
      <c r="M222" s="9" t="n">
        <v>363</v>
      </c>
      <c r="N222" s="10" t="n">
        <f aca="false">K222*L222/1000000</f>
        <v>0.042</v>
      </c>
      <c r="O222" s="11" t="n">
        <f aca="false">M222/3600/N222</f>
        <v>2.40079365079365</v>
      </c>
      <c r="P222" s="4" t="str">
        <f aca="false">IF(O222&lt;=Hypothèses!$B$3,"oui","NON")</f>
        <v>oui</v>
      </c>
      <c r="Q222" s="13" t="s">
        <v>275</v>
      </c>
      <c r="R222" s="13" t="s">
        <v>437</v>
      </c>
      <c r="S222" s="12" t="s">
        <v>554</v>
      </c>
    </row>
    <row r="223" customFormat="false" ht="15" hidden="false" customHeight="false" outlineLevel="0" collapsed="false">
      <c r="A223" s="4" t="s">
        <v>590</v>
      </c>
      <c r="B223" s="4" t="s">
        <v>14</v>
      </c>
      <c r="C223" s="4" t="s">
        <v>9</v>
      </c>
      <c r="D223" s="4" t="s">
        <v>91</v>
      </c>
      <c r="E223" s="4" t="s">
        <v>552</v>
      </c>
      <c r="F223" s="4" t="s">
        <v>553</v>
      </c>
      <c r="G223" s="4" t="s">
        <v>45</v>
      </c>
      <c r="H223" s="4" t="s">
        <v>560</v>
      </c>
      <c r="I223" s="4" t="s">
        <v>561</v>
      </c>
      <c r="J223" s="4" t="s">
        <v>562</v>
      </c>
      <c r="K223" s="4" t="n">
        <v>700</v>
      </c>
      <c r="L223" s="4" t="n">
        <v>60</v>
      </c>
      <c r="M223" s="9" t="n">
        <v>363</v>
      </c>
      <c r="N223" s="10" t="n">
        <f aca="false">K223*L223/1000000</f>
        <v>0.042</v>
      </c>
      <c r="O223" s="11" t="n">
        <f aca="false">M223/3600/N223</f>
        <v>2.40079365079365</v>
      </c>
      <c r="P223" s="4" t="str">
        <f aca="false">IF(O223&lt;=Hypothèses!$B$3,"oui","NON")</f>
        <v>oui</v>
      </c>
      <c r="Q223" s="13" t="s">
        <v>275</v>
      </c>
      <c r="R223" s="13" t="s">
        <v>437</v>
      </c>
      <c r="S223" s="12" t="s">
        <v>554</v>
      </c>
    </row>
    <row r="224" customFormat="false" ht="15" hidden="false" customHeight="false" outlineLevel="0" collapsed="false">
      <c r="A224" s="4" t="s">
        <v>591</v>
      </c>
      <c r="B224" s="4" t="s">
        <v>14</v>
      </c>
      <c r="C224" s="4" t="s">
        <v>9</v>
      </c>
      <c r="D224" s="4" t="s">
        <v>91</v>
      </c>
      <c r="E224" s="4" t="s">
        <v>552</v>
      </c>
      <c r="F224" s="4" t="s">
        <v>553</v>
      </c>
      <c r="G224" s="4" t="s">
        <v>45</v>
      </c>
      <c r="H224" s="4" t="s">
        <v>560</v>
      </c>
      <c r="I224" s="4" t="s">
        <v>561</v>
      </c>
      <c r="J224" s="4" t="s">
        <v>562</v>
      </c>
      <c r="K224" s="4" t="n">
        <v>700</v>
      </c>
      <c r="L224" s="4" t="n">
        <v>60</v>
      </c>
      <c r="M224" s="9" t="n">
        <v>352</v>
      </c>
      <c r="N224" s="10" t="n">
        <f aca="false">K224*L224/1000000</f>
        <v>0.042</v>
      </c>
      <c r="O224" s="11" t="n">
        <f aca="false">M224/3600/N224</f>
        <v>2.32804232804233</v>
      </c>
      <c r="P224" s="4" t="str">
        <f aca="false">IF(O224&lt;=Hypothèses!$B$3,"oui","NON")</f>
        <v>oui</v>
      </c>
      <c r="Q224" s="13" t="s">
        <v>275</v>
      </c>
      <c r="R224" s="13" t="s">
        <v>437</v>
      </c>
      <c r="S224" s="12" t="s">
        <v>557</v>
      </c>
    </row>
    <row r="225" customFormat="false" ht="15" hidden="false" customHeight="false" outlineLevel="0" collapsed="false">
      <c r="A225" s="4" t="s">
        <v>592</v>
      </c>
      <c r="B225" s="4" t="s">
        <v>14</v>
      </c>
      <c r="C225" s="4" t="s">
        <v>9</v>
      </c>
      <c r="D225" s="4" t="s">
        <v>91</v>
      </c>
      <c r="E225" s="4" t="s">
        <v>552</v>
      </c>
      <c r="F225" s="4" t="s">
        <v>553</v>
      </c>
      <c r="G225" s="4" t="s">
        <v>45</v>
      </c>
      <c r="H225" s="4" t="s">
        <v>560</v>
      </c>
      <c r="I225" s="4" t="s">
        <v>561</v>
      </c>
      <c r="J225" s="4" t="s">
        <v>562</v>
      </c>
      <c r="K225" s="4" t="n">
        <v>650</v>
      </c>
      <c r="L225" s="4" t="n">
        <v>60</v>
      </c>
      <c r="M225" s="9" t="n">
        <v>352</v>
      </c>
      <c r="N225" s="10" t="n">
        <f aca="false">K225*L225/1000000</f>
        <v>0.039</v>
      </c>
      <c r="O225" s="11" t="n">
        <f aca="false">M225/3600/N225</f>
        <v>2.50712250712251</v>
      </c>
      <c r="P225" s="4" t="str">
        <f aca="false">IF(O225&lt;=Hypothèses!$B$3,"oui","NON")</f>
        <v>NON</v>
      </c>
      <c r="Q225" s="13" t="s">
        <v>275</v>
      </c>
      <c r="R225" s="13" t="s">
        <v>497</v>
      </c>
      <c r="S225" s="12" t="s">
        <v>557</v>
      </c>
    </row>
    <row r="226" customFormat="false" ht="15" hidden="false" customHeight="false" outlineLevel="0" collapsed="false">
      <c r="A226" s="4" t="s">
        <v>593</v>
      </c>
      <c r="B226" s="4" t="s">
        <v>16</v>
      </c>
      <c r="C226" s="4" t="s">
        <v>10</v>
      </c>
      <c r="D226" s="4" t="s">
        <v>42</v>
      </c>
      <c r="E226" s="4" t="s">
        <v>594</v>
      </c>
      <c r="F226" s="4" t="s">
        <v>595</v>
      </c>
      <c r="G226" s="4" t="s">
        <v>45</v>
      </c>
      <c r="H226" s="4" t="s">
        <v>46</v>
      </c>
      <c r="I226" s="4" t="s">
        <v>596</v>
      </c>
      <c r="J226" s="4" t="s">
        <v>597</v>
      </c>
      <c r="K226" s="4" t="n">
        <v>200</v>
      </c>
      <c r="L226" s="4" t="n">
        <v>60</v>
      </c>
      <c r="M226" s="9" t="n">
        <v>30</v>
      </c>
      <c r="N226" s="10" t="n">
        <f aca="false">K226*L226/1000000</f>
        <v>0.012</v>
      </c>
      <c r="O226" s="11" t="n">
        <f aca="false">M226/3600/N226</f>
        <v>0.694444444444444</v>
      </c>
      <c r="P226" s="4" t="str">
        <f aca="false">IF(O226&lt;=Hypothèses!$B$3,"oui","NON")</f>
        <v>oui</v>
      </c>
      <c r="Q226" s="4" t="s">
        <v>49</v>
      </c>
      <c r="R226" s="4" t="s">
        <v>598</v>
      </c>
      <c r="S226" s="12" t="s">
        <v>599</v>
      </c>
    </row>
    <row r="227" customFormat="false" ht="15" hidden="false" customHeight="false" outlineLevel="0" collapsed="false">
      <c r="A227" s="4" t="s">
        <v>600</v>
      </c>
      <c r="B227" s="4" t="s">
        <v>16</v>
      </c>
      <c r="C227" s="4" t="s">
        <v>10</v>
      </c>
      <c r="D227" s="4" t="s">
        <v>42</v>
      </c>
      <c r="E227" s="4" t="s">
        <v>594</v>
      </c>
      <c r="F227" s="4" t="s">
        <v>601</v>
      </c>
      <c r="G227" s="4" t="s">
        <v>45</v>
      </c>
      <c r="H227" s="4" t="s">
        <v>46</v>
      </c>
      <c r="I227" s="4" t="s">
        <v>596</v>
      </c>
      <c r="J227" s="4" t="s">
        <v>597</v>
      </c>
      <c r="K227" s="4" t="n">
        <v>200</v>
      </c>
      <c r="L227" s="4" t="n">
        <v>60</v>
      </c>
      <c r="M227" s="9" t="n">
        <v>30</v>
      </c>
      <c r="N227" s="10" t="n">
        <f aca="false">K227*L227/1000000</f>
        <v>0.012</v>
      </c>
      <c r="O227" s="11" t="n">
        <f aca="false">M227/3600/N227</f>
        <v>0.694444444444444</v>
      </c>
      <c r="P227" s="4" t="str">
        <f aca="false">IF(O227&lt;=Hypothèses!$B$3,"oui","NON")</f>
        <v>oui</v>
      </c>
      <c r="Q227" s="4" t="s">
        <v>49</v>
      </c>
      <c r="R227" s="4" t="s">
        <v>602</v>
      </c>
      <c r="S227" s="12" t="s">
        <v>603</v>
      </c>
    </row>
    <row r="228" customFormat="false" ht="15" hidden="false" customHeight="false" outlineLevel="0" collapsed="false">
      <c r="A228" s="4" t="s">
        <v>604</v>
      </c>
      <c r="B228" s="4" t="s">
        <v>16</v>
      </c>
      <c r="C228" s="4" t="s">
        <v>10</v>
      </c>
      <c r="D228" s="4" t="s">
        <v>42</v>
      </c>
      <c r="E228" s="4" t="s">
        <v>605</v>
      </c>
      <c r="F228" s="4" t="s">
        <v>606</v>
      </c>
      <c r="G228" s="4" t="s">
        <v>45</v>
      </c>
      <c r="H228" s="4" t="s">
        <v>46</v>
      </c>
      <c r="I228" s="4" t="s">
        <v>596</v>
      </c>
      <c r="J228" s="4" t="s">
        <v>597</v>
      </c>
      <c r="K228" s="4" t="n">
        <v>200</v>
      </c>
      <c r="L228" s="4" t="n">
        <v>60</v>
      </c>
      <c r="M228" s="9" t="n">
        <v>45</v>
      </c>
      <c r="N228" s="10" t="n">
        <f aca="false">K228*L228/1000000</f>
        <v>0.012</v>
      </c>
      <c r="O228" s="11" t="n">
        <f aca="false">M228/3600/N228</f>
        <v>1.04166666666667</v>
      </c>
      <c r="P228" s="4" t="str">
        <f aca="false">IF(O228&lt;=Hypothèses!$B$3,"oui","NON")</f>
        <v>oui</v>
      </c>
      <c r="Q228" s="4" t="s">
        <v>49</v>
      </c>
      <c r="R228" s="4" t="s">
        <v>602</v>
      </c>
      <c r="S228" s="12" t="s">
        <v>607</v>
      </c>
    </row>
    <row r="229" customFormat="false" ht="15" hidden="false" customHeight="false" outlineLevel="0" collapsed="false">
      <c r="A229" s="4" t="s">
        <v>608</v>
      </c>
      <c r="B229" s="4" t="s">
        <v>16</v>
      </c>
      <c r="C229" s="4" t="s">
        <v>10</v>
      </c>
      <c r="D229" s="4" t="s">
        <v>42</v>
      </c>
      <c r="E229" s="4" t="s">
        <v>605</v>
      </c>
      <c r="F229" s="4" t="s">
        <v>606</v>
      </c>
      <c r="G229" s="4" t="s">
        <v>45</v>
      </c>
      <c r="H229" s="4" t="s">
        <v>46</v>
      </c>
      <c r="I229" s="4" t="s">
        <v>596</v>
      </c>
      <c r="J229" s="4" t="s">
        <v>597</v>
      </c>
      <c r="K229" s="4" t="n">
        <v>200</v>
      </c>
      <c r="L229" s="4" t="n">
        <v>60</v>
      </c>
      <c r="M229" s="9" t="n">
        <v>45</v>
      </c>
      <c r="N229" s="10" t="n">
        <f aca="false">K229*L229/1000000</f>
        <v>0.012</v>
      </c>
      <c r="O229" s="11" t="n">
        <f aca="false">M229/3600/N229</f>
        <v>1.04166666666667</v>
      </c>
      <c r="P229" s="4" t="str">
        <f aca="false">IF(O229&lt;=Hypothèses!$B$3,"oui","NON")</f>
        <v>oui</v>
      </c>
      <c r="Q229" s="4" t="s">
        <v>49</v>
      </c>
      <c r="R229" s="4" t="s">
        <v>602</v>
      </c>
      <c r="S229" s="12" t="s">
        <v>609</v>
      </c>
    </row>
    <row r="230" customFormat="false" ht="15" hidden="false" customHeight="false" outlineLevel="0" collapsed="false">
      <c r="A230" s="4" t="s">
        <v>610</v>
      </c>
      <c r="B230" s="4" t="s">
        <v>16</v>
      </c>
      <c r="C230" s="4" t="s">
        <v>10</v>
      </c>
      <c r="D230" s="4" t="s">
        <v>42</v>
      </c>
      <c r="E230" s="4" t="s">
        <v>611</v>
      </c>
      <c r="F230" s="4" t="s">
        <v>612</v>
      </c>
      <c r="G230" s="4" t="s">
        <v>45</v>
      </c>
      <c r="H230" s="4" t="s">
        <v>46</v>
      </c>
      <c r="I230" s="4" t="s">
        <v>596</v>
      </c>
      <c r="J230" s="4" t="s">
        <v>597</v>
      </c>
      <c r="K230" s="4" t="n">
        <v>200</v>
      </c>
      <c r="L230" s="4" t="n">
        <v>60</v>
      </c>
      <c r="M230" s="9" t="n">
        <v>30</v>
      </c>
      <c r="N230" s="10" t="n">
        <f aca="false">K230*L230/1000000</f>
        <v>0.012</v>
      </c>
      <c r="O230" s="11" t="n">
        <f aca="false">M230/3600/N230</f>
        <v>0.694444444444444</v>
      </c>
      <c r="P230" s="4" t="str">
        <f aca="false">IF(O230&lt;=Hypothèses!$B$3,"oui","NON")</f>
        <v>oui</v>
      </c>
      <c r="Q230" s="4" t="s">
        <v>49</v>
      </c>
      <c r="R230" s="4" t="s">
        <v>613</v>
      </c>
      <c r="S230" s="12" t="s">
        <v>614</v>
      </c>
    </row>
    <row r="231" customFormat="false" ht="15" hidden="false" customHeight="false" outlineLevel="0" collapsed="false">
      <c r="A231" s="4" t="s">
        <v>615</v>
      </c>
      <c r="B231" s="4" t="s">
        <v>16</v>
      </c>
      <c r="C231" s="4" t="s">
        <v>10</v>
      </c>
      <c r="D231" s="4" t="s">
        <v>42</v>
      </c>
      <c r="E231" s="4" t="s">
        <v>616</v>
      </c>
      <c r="F231" s="4" t="s">
        <v>617</v>
      </c>
      <c r="G231" s="4" t="s">
        <v>45</v>
      </c>
      <c r="H231" s="4" t="s">
        <v>46</v>
      </c>
      <c r="I231" s="4" t="s">
        <v>596</v>
      </c>
      <c r="J231" s="4" t="s">
        <v>597</v>
      </c>
      <c r="K231" s="4" t="n">
        <v>200</v>
      </c>
      <c r="L231" s="4" t="n">
        <v>60</v>
      </c>
      <c r="M231" s="9" t="n">
        <v>30</v>
      </c>
      <c r="N231" s="10" t="n">
        <f aca="false">K231*L231/1000000</f>
        <v>0.012</v>
      </c>
      <c r="O231" s="11" t="n">
        <f aca="false">M231/3600/N231</f>
        <v>0.694444444444444</v>
      </c>
      <c r="P231" s="4" t="str">
        <f aca="false">IF(O231&lt;=Hypothèses!$B$3,"oui","NON")</f>
        <v>oui</v>
      </c>
      <c r="Q231" s="4" t="s">
        <v>49</v>
      </c>
      <c r="R231" s="4" t="s">
        <v>613</v>
      </c>
      <c r="S231" s="12" t="s">
        <v>618</v>
      </c>
    </row>
    <row r="232" customFormat="false" ht="15" hidden="false" customHeight="false" outlineLevel="0" collapsed="false">
      <c r="A232" s="4" t="s">
        <v>619</v>
      </c>
      <c r="B232" s="4" t="s">
        <v>16</v>
      </c>
      <c r="C232" s="4" t="s">
        <v>10</v>
      </c>
      <c r="D232" s="4" t="s">
        <v>42</v>
      </c>
      <c r="E232" s="4" t="s">
        <v>620</v>
      </c>
      <c r="F232" s="4" t="s">
        <v>617</v>
      </c>
      <c r="G232" s="4" t="s">
        <v>45</v>
      </c>
      <c r="H232" s="4" t="s">
        <v>46</v>
      </c>
      <c r="I232" s="4" t="s">
        <v>596</v>
      </c>
      <c r="J232" s="4" t="s">
        <v>597</v>
      </c>
      <c r="K232" s="4" t="n">
        <v>200</v>
      </c>
      <c r="L232" s="4" t="n">
        <v>60</v>
      </c>
      <c r="M232" s="9" t="n">
        <v>30</v>
      </c>
      <c r="N232" s="10" t="n">
        <f aca="false">K232*L232/1000000</f>
        <v>0.012</v>
      </c>
      <c r="O232" s="11" t="n">
        <f aca="false">M232/3600/N232</f>
        <v>0.694444444444444</v>
      </c>
      <c r="P232" s="4" t="str">
        <f aca="false">IF(O232&lt;=Hypothèses!$B$3,"oui","NON")</f>
        <v>oui</v>
      </c>
      <c r="Q232" s="4" t="s">
        <v>49</v>
      </c>
      <c r="R232" s="4" t="s">
        <v>621</v>
      </c>
      <c r="S232" s="12" t="s">
        <v>622</v>
      </c>
    </row>
    <row r="233" customFormat="false" ht="15" hidden="false" customHeight="false" outlineLevel="0" collapsed="false">
      <c r="A233" s="4" t="s">
        <v>623</v>
      </c>
      <c r="B233" s="4" t="s">
        <v>16</v>
      </c>
      <c r="C233" s="4" t="s">
        <v>10</v>
      </c>
      <c r="D233" s="4" t="s">
        <v>42</v>
      </c>
      <c r="E233" s="4" t="s">
        <v>616</v>
      </c>
      <c r="F233" s="4" t="s">
        <v>624</v>
      </c>
      <c r="G233" s="4" t="s">
        <v>45</v>
      </c>
      <c r="H233" s="4" t="s">
        <v>46</v>
      </c>
      <c r="I233" s="4" t="s">
        <v>596</v>
      </c>
      <c r="J233" s="4" t="s">
        <v>597</v>
      </c>
      <c r="K233" s="4" t="n">
        <v>200</v>
      </c>
      <c r="L233" s="4" t="n">
        <v>60</v>
      </c>
      <c r="M233" s="9" t="n">
        <v>30</v>
      </c>
      <c r="N233" s="10" t="n">
        <f aca="false">K233*L233/1000000</f>
        <v>0.012</v>
      </c>
      <c r="O233" s="11" t="n">
        <f aca="false">M233/3600/N233</f>
        <v>0.694444444444444</v>
      </c>
      <c r="P233" s="4" t="str">
        <f aca="false">IF(O233&lt;=Hypothèses!$B$3,"oui","NON")</f>
        <v>oui</v>
      </c>
      <c r="Q233" s="4" t="s">
        <v>49</v>
      </c>
      <c r="R233" s="4" t="s">
        <v>625</v>
      </c>
      <c r="S233" s="12" t="s">
        <v>626</v>
      </c>
    </row>
    <row r="234" customFormat="false" ht="15" hidden="false" customHeight="false" outlineLevel="0" collapsed="false">
      <c r="A234" s="4" t="s">
        <v>627</v>
      </c>
      <c r="B234" s="4" t="s">
        <v>16</v>
      </c>
      <c r="C234" s="4" t="s">
        <v>10</v>
      </c>
      <c r="D234" s="4" t="s">
        <v>42</v>
      </c>
      <c r="E234" s="4" t="s">
        <v>628</v>
      </c>
      <c r="F234" s="4" t="s">
        <v>629</v>
      </c>
      <c r="G234" s="4" t="s">
        <v>45</v>
      </c>
      <c r="H234" s="4" t="s">
        <v>46</v>
      </c>
      <c r="I234" s="4" t="s">
        <v>596</v>
      </c>
      <c r="J234" s="4" t="s">
        <v>597</v>
      </c>
      <c r="K234" s="4" t="n">
        <v>200</v>
      </c>
      <c r="L234" s="4" t="n">
        <v>60</v>
      </c>
      <c r="M234" s="9" t="n">
        <v>30</v>
      </c>
      <c r="N234" s="10" t="n">
        <f aca="false">K234*L234/1000000</f>
        <v>0.012</v>
      </c>
      <c r="O234" s="11" t="n">
        <f aca="false">M234/3600/N234</f>
        <v>0.694444444444444</v>
      </c>
      <c r="P234" s="4" t="str">
        <f aca="false">IF(O234&lt;=Hypothèses!$B$3,"oui","NON")</f>
        <v>oui</v>
      </c>
      <c r="Q234" s="4" t="s">
        <v>49</v>
      </c>
      <c r="R234" s="4" t="s">
        <v>602</v>
      </c>
      <c r="S234" s="12" t="s">
        <v>630</v>
      </c>
    </row>
    <row r="235" customFormat="false" ht="15" hidden="false" customHeight="false" outlineLevel="0" collapsed="false">
      <c r="A235" s="4" t="s">
        <v>631</v>
      </c>
      <c r="B235" s="4" t="s">
        <v>16</v>
      </c>
      <c r="C235" s="4" t="s">
        <v>10</v>
      </c>
      <c r="D235" s="4" t="s">
        <v>42</v>
      </c>
      <c r="E235" s="4" t="s">
        <v>628</v>
      </c>
      <c r="F235" s="4" t="s">
        <v>629</v>
      </c>
      <c r="G235" s="4" t="s">
        <v>45</v>
      </c>
      <c r="H235" s="4" t="s">
        <v>46</v>
      </c>
      <c r="I235" s="4" t="s">
        <v>596</v>
      </c>
      <c r="J235" s="4" t="s">
        <v>597</v>
      </c>
      <c r="K235" s="4" t="n">
        <v>200</v>
      </c>
      <c r="L235" s="4" t="n">
        <v>60</v>
      </c>
      <c r="M235" s="9" t="n">
        <v>30</v>
      </c>
      <c r="N235" s="10" t="n">
        <f aca="false">K235*L235/1000000</f>
        <v>0.012</v>
      </c>
      <c r="O235" s="11" t="n">
        <f aca="false">M235/3600/N235</f>
        <v>0.694444444444444</v>
      </c>
      <c r="P235" s="4" t="str">
        <f aca="false">IF(O235&lt;=Hypothèses!$B$3,"oui","NON")</f>
        <v>oui</v>
      </c>
      <c r="Q235" s="4" t="s">
        <v>49</v>
      </c>
      <c r="R235" s="4" t="s">
        <v>625</v>
      </c>
      <c r="S235" s="12" t="s">
        <v>632</v>
      </c>
    </row>
    <row r="236" customFormat="false" ht="15" hidden="false" customHeight="false" outlineLevel="0" collapsed="false">
      <c r="A236" s="4" t="s">
        <v>633</v>
      </c>
      <c r="B236" s="4" t="s">
        <v>16</v>
      </c>
      <c r="C236" s="4" t="s">
        <v>10</v>
      </c>
      <c r="D236" s="4" t="s">
        <v>42</v>
      </c>
      <c r="E236" s="4" t="s">
        <v>628</v>
      </c>
      <c r="F236" s="4" t="s">
        <v>634</v>
      </c>
      <c r="G236" s="4" t="s">
        <v>45</v>
      </c>
      <c r="H236" s="4" t="s">
        <v>46</v>
      </c>
      <c r="I236" s="4" t="s">
        <v>596</v>
      </c>
      <c r="J236" s="4" t="s">
        <v>597</v>
      </c>
      <c r="K236" s="4" t="n">
        <v>200</v>
      </c>
      <c r="L236" s="4" t="n">
        <v>60</v>
      </c>
      <c r="M236" s="9" t="n">
        <v>30</v>
      </c>
      <c r="N236" s="10" t="n">
        <f aca="false">K236*L236/1000000</f>
        <v>0.012</v>
      </c>
      <c r="O236" s="11" t="n">
        <f aca="false">M236/3600/N236</f>
        <v>0.694444444444444</v>
      </c>
      <c r="P236" s="4" t="str">
        <f aca="false">IF(O236&lt;=Hypothèses!$B$3,"oui","NON")</f>
        <v>oui</v>
      </c>
      <c r="Q236" s="4" t="s">
        <v>49</v>
      </c>
      <c r="R236" s="4" t="s">
        <v>635</v>
      </c>
      <c r="S236" s="12" t="s">
        <v>636</v>
      </c>
    </row>
    <row r="237" customFormat="false" ht="15" hidden="false" customHeight="false" outlineLevel="0" collapsed="false">
      <c r="A237" s="4" t="s">
        <v>637</v>
      </c>
      <c r="B237" s="4" t="s">
        <v>16</v>
      </c>
      <c r="C237" s="4" t="s">
        <v>10</v>
      </c>
      <c r="D237" s="4" t="s">
        <v>42</v>
      </c>
      <c r="E237" s="4" t="s">
        <v>638</v>
      </c>
      <c r="F237" s="4" t="s">
        <v>639</v>
      </c>
      <c r="G237" s="4" t="s">
        <v>45</v>
      </c>
      <c r="H237" s="4" t="s">
        <v>46</v>
      </c>
      <c r="I237" s="4" t="s">
        <v>596</v>
      </c>
      <c r="J237" s="4" t="s">
        <v>597</v>
      </c>
      <c r="K237" s="4" t="n">
        <v>200</v>
      </c>
      <c r="L237" s="4" t="n">
        <v>60</v>
      </c>
      <c r="M237" s="9" t="n">
        <v>30</v>
      </c>
      <c r="N237" s="10" t="n">
        <f aca="false">K237*L237/1000000</f>
        <v>0.012</v>
      </c>
      <c r="O237" s="11" t="n">
        <f aca="false">M237/3600/N237</f>
        <v>0.694444444444444</v>
      </c>
      <c r="P237" s="4" t="str">
        <f aca="false">IF(O237&lt;=Hypothèses!$B$3,"oui","NON")</f>
        <v>oui</v>
      </c>
      <c r="Q237" s="4" t="s">
        <v>49</v>
      </c>
      <c r="R237" s="4" t="s">
        <v>621</v>
      </c>
      <c r="S237" s="12" t="s">
        <v>640</v>
      </c>
    </row>
    <row r="238" customFormat="false" ht="15" hidden="false" customHeight="false" outlineLevel="0" collapsed="false">
      <c r="A238" s="4" t="s">
        <v>641</v>
      </c>
      <c r="B238" s="4" t="s">
        <v>16</v>
      </c>
      <c r="C238" s="4" t="s">
        <v>10</v>
      </c>
      <c r="D238" s="4" t="s">
        <v>42</v>
      </c>
      <c r="E238" s="4" t="s">
        <v>642</v>
      </c>
      <c r="F238" s="4" t="s">
        <v>643</v>
      </c>
      <c r="G238" s="4" t="s">
        <v>45</v>
      </c>
      <c r="H238" s="4" t="s">
        <v>46</v>
      </c>
      <c r="I238" s="4" t="s">
        <v>596</v>
      </c>
      <c r="J238" s="4" t="s">
        <v>597</v>
      </c>
      <c r="K238" s="4" t="n">
        <v>200</v>
      </c>
      <c r="L238" s="4" t="n">
        <v>60</v>
      </c>
      <c r="M238" s="9" t="n">
        <v>150</v>
      </c>
      <c r="N238" s="10" t="n">
        <f aca="false">K238*L238/1000000</f>
        <v>0.012</v>
      </c>
      <c r="O238" s="11" t="n">
        <f aca="false">M238/3600/N238</f>
        <v>3.47222222222222</v>
      </c>
      <c r="P238" s="4" t="str">
        <f aca="false">IF(O238&lt;=Hypothèses!$B$3,"oui","NON")</f>
        <v>NON</v>
      </c>
      <c r="Q238" s="4" t="s">
        <v>49</v>
      </c>
      <c r="R238" s="4" t="s">
        <v>644</v>
      </c>
      <c r="S238" s="12" t="s">
        <v>645</v>
      </c>
    </row>
    <row r="239" customFormat="false" ht="15" hidden="false" customHeight="false" outlineLevel="0" collapsed="false">
      <c r="A239" s="4" t="s">
        <v>646</v>
      </c>
      <c r="B239" s="4" t="s">
        <v>16</v>
      </c>
      <c r="C239" s="4" t="s">
        <v>10</v>
      </c>
      <c r="D239" s="4" t="s">
        <v>42</v>
      </c>
      <c r="E239" s="4" t="s">
        <v>642</v>
      </c>
      <c r="F239" s="4" t="s">
        <v>643</v>
      </c>
      <c r="G239" s="4" t="s">
        <v>45</v>
      </c>
      <c r="H239" s="4" t="s">
        <v>46</v>
      </c>
      <c r="I239" s="4" t="s">
        <v>596</v>
      </c>
      <c r="J239" s="4" t="s">
        <v>597</v>
      </c>
      <c r="K239" s="4" t="n">
        <v>200</v>
      </c>
      <c r="L239" s="4" t="n">
        <v>60</v>
      </c>
      <c r="M239" s="9" t="n">
        <v>150</v>
      </c>
      <c r="N239" s="10" t="n">
        <f aca="false">K239*L239/1000000</f>
        <v>0.012</v>
      </c>
      <c r="O239" s="11" t="n">
        <f aca="false">M239/3600/N239</f>
        <v>3.47222222222222</v>
      </c>
      <c r="P239" s="4" t="str">
        <f aca="false">IF(O239&lt;=Hypothèses!$B$3,"oui","NON")</f>
        <v>NON</v>
      </c>
      <c r="Q239" s="4" t="s">
        <v>49</v>
      </c>
      <c r="R239" s="4" t="s">
        <v>644</v>
      </c>
      <c r="S239" s="12" t="s">
        <v>645</v>
      </c>
    </row>
    <row r="240" customFormat="false" ht="15" hidden="false" customHeight="false" outlineLevel="0" collapsed="false">
      <c r="A240" s="4" t="s">
        <v>647</v>
      </c>
      <c r="B240" s="4" t="s">
        <v>16</v>
      </c>
      <c r="C240" s="4" t="s">
        <v>10</v>
      </c>
      <c r="D240" s="4" t="s">
        <v>42</v>
      </c>
      <c r="E240" s="4" t="s">
        <v>642</v>
      </c>
      <c r="F240" s="4" t="s">
        <v>643</v>
      </c>
      <c r="G240" s="4" t="s">
        <v>45</v>
      </c>
      <c r="H240" s="4" t="s">
        <v>46</v>
      </c>
      <c r="I240" s="4" t="s">
        <v>596</v>
      </c>
      <c r="J240" s="4" t="s">
        <v>597</v>
      </c>
      <c r="K240" s="4" t="n">
        <v>200</v>
      </c>
      <c r="L240" s="4" t="n">
        <v>60</v>
      </c>
      <c r="M240" s="9" t="n">
        <v>150</v>
      </c>
      <c r="N240" s="10" t="n">
        <f aca="false">K240*L240/1000000</f>
        <v>0.012</v>
      </c>
      <c r="O240" s="11" t="n">
        <f aca="false">M240/3600/N240</f>
        <v>3.47222222222222</v>
      </c>
      <c r="P240" s="4" t="str">
        <f aca="false">IF(O240&lt;=Hypothèses!$B$3,"oui","NON")</f>
        <v>NON</v>
      </c>
      <c r="Q240" s="4" t="s">
        <v>49</v>
      </c>
      <c r="R240" s="4" t="s">
        <v>625</v>
      </c>
      <c r="S240" s="12" t="s">
        <v>645</v>
      </c>
    </row>
    <row r="241" customFormat="false" ht="15" hidden="false" customHeight="false" outlineLevel="0" collapsed="false">
      <c r="A241" s="4" t="s">
        <v>648</v>
      </c>
      <c r="B241" s="4" t="s">
        <v>16</v>
      </c>
      <c r="C241" s="4" t="s">
        <v>10</v>
      </c>
      <c r="D241" s="4" t="s">
        <v>42</v>
      </c>
      <c r="E241" s="4" t="s">
        <v>649</v>
      </c>
      <c r="F241" s="4" t="s">
        <v>650</v>
      </c>
      <c r="G241" s="4" t="s">
        <v>45</v>
      </c>
      <c r="H241" s="4" t="s">
        <v>46</v>
      </c>
      <c r="I241" s="4" t="s">
        <v>596</v>
      </c>
      <c r="J241" s="4" t="s">
        <v>597</v>
      </c>
      <c r="K241" s="4" t="n">
        <v>200</v>
      </c>
      <c r="L241" s="4" t="n">
        <v>60</v>
      </c>
      <c r="M241" s="9" t="n">
        <v>45</v>
      </c>
      <c r="N241" s="10" t="n">
        <f aca="false">K241*L241/1000000</f>
        <v>0.012</v>
      </c>
      <c r="O241" s="11" t="n">
        <f aca="false">M241/3600/N241</f>
        <v>1.04166666666667</v>
      </c>
      <c r="P241" s="4" t="str">
        <f aca="false">IF(O241&lt;=Hypothèses!$B$3,"oui","NON")</f>
        <v>oui</v>
      </c>
      <c r="Q241" s="4" t="s">
        <v>49</v>
      </c>
      <c r="R241" s="4" t="s">
        <v>625</v>
      </c>
      <c r="S241" s="12" t="s">
        <v>651</v>
      </c>
    </row>
    <row r="242" customFormat="false" ht="15" hidden="false" customHeight="false" outlineLevel="0" collapsed="false">
      <c r="A242" s="4" t="s">
        <v>652</v>
      </c>
      <c r="B242" s="4" t="s">
        <v>16</v>
      </c>
      <c r="C242" s="4" t="s">
        <v>10</v>
      </c>
      <c r="D242" s="4" t="s">
        <v>42</v>
      </c>
      <c r="E242" s="4" t="s">
        <v>653</v>
      </c>
      <c r="F242" s="4" t="s">
        <v>654</v>
      </c>
      <c r="G242" s="4" t="s">
        <v>45</v>
      </c>
      <c r="H242" s="4" t="s">
        <v>46</v>
      </c>
      <c r="I242" s="4" t="s">
        <v>596</v>
      </c>
      <c r="J242" s="4" t="s">
        <v>597</v>
      </c>
      <c r="K242" s="4" t="n">
        <v>200</v>
      </c>
      <c r="L242" s="4" t="n">
        <v>60</v>
      </c>
      <c r="M242" s="9" t="n">
        <v>45</v>
      </c>
      <c r="N242" s="10" t="n">
        <f aca="false">K242*L242/1000000</f>
        <v>0.012</v>
      </c>
      <c r="O242" s="11" t="n">
        <f aca="false">M242/3600/N242</f>
        <v>1.04166666666667</v>
      </c>
      <c r="P242" s="4" t="str">
        <f aca="false">IF(O242&lt;=Hypothèses!$B$3,"oui","NON")</f>
        <v>oui</v>
      </c>
      <c r="Q242" s="4" t="s">
        <v>49</v>
      </c>
      <c r="R242" s="4" t="s">
        <v>613</v>
      </c>
      <c r="S242" s="12" t="s">
        <v>655</v>
      </c>
    </row>
    <row r="243" customFormat="false" ht="15" hidden="false" customHeight="false" outlineLevel="0" collapsed="false">
      <c r="A243" s="4" t="s">
        <v>656</v>
      </c>
      <c r="B243" s="4" t="s">
        <v>16</v>
      </c>
      <c r="C243" s="4" t="s">
        <v>10</v>
      </c>
      <c r="D243" s="4" t="s">
        <v>42</v>
      </c>
      <c r="E243" s="4" t="s">
        <v>657</v>
      </c>
      <c r="F243" s="4" t="s">
        <v>654</v>
      </c>
      <c r="G243" s="4" t="s">
        <v>45</v>
      </c>
      <c r="H243" s="4" t="s">
        <v>46</v>
      </c>
      <c r="I243" s="4" t="s">
        <v>596</v>
      </c>
      <c r="J243" s="4" t="s">
        <v>597</v>
      </c>
      <c r="K243" s="4" t="n">
        <v>200</v>
      </c>
      <c r="L243" s="4" t="n">
        <v>60</v>
      </c>
      <c r="M243" s="9" t="n">
        <v>45</v>
      </c>
      <c r="N243" s="10" t="n">
        <f aca="false">K243*L243/1000000</f>
        <v>0.012</v>
      </c>
      <c r="O243" s="11" t="n">
        <f aca="false">M243/3600/N243</f>
        <v>1.04166666666667</v>
      </c>
      <c r="P243" s="4" t="str">
        <f aca="false">IF(O243&lt;=Hypothèses!$B$3,"oui","NON")</f>
        <v>oui</v>
      </c>
      <c r="Q243" s="4" t="s">
        <v>49</v>
      </c>
      <c r="R243" s="4" t="s">
        <v>625</v>
      </c>
      <c r="S243" s="12" t="s">
        <v>658</v>
      </c>
    </row>
    <row r="244" customFormat="false" ht="15" hidden="false" customHeight="false" outlineLevel="0" collapsed="false">
      <c r="A244" s="4" t="s">
        <v>659</v>
      </c>
      <c r="B244" s="4" t="s">
        <v>16</v>
      </c>
      <c r="C244" s="4" t="s">
        <v>10</v>
      </c>
      <c r="D244" s="4" t="s">
        <v>42</v>
      </c>
      <c r="E244" s="4" t="s">
        <v>660</v>
      </c>
      <c r="F244" s="4" t="s">
        <v>654</v>
      </c>
      <c r="G244" s="4" t="s">
        <v>45</v>
      </c>
      <c r="H244" s="4" t="s">
        <v>46</v>
      </c>
      <c r="I244" s="4" t="s">
        <v>596</v>
      </c>
      <c r="J244" s="4" t="s">
        <v>597</v>
      </c>
      <c r="K244" s="4" t="n">
        <v>200</v>
      </c>
      <c r="L244" s="4" t="n">
        <v>60</v>
      </c>
      <c r="M244" s="9" t="n">
        <v>45</v>
      </c>
      <c r="N244" s="10" t="n">
        <f aca="false">K244*L244/1000000</f>
        <v>0.012</v>
      </c>
      <c r="O244" s="11" t="n">
        <f aca="false">M244/3600/N244</f>
        <v>1.04166666666667</v>
      </c>
      <c r="P244" s="4" t="str">
        <f aca="false">IF(O244&lt;=Hypothèses!$B$3,"oui","NON")</f>
        <v>oui</v>
      </c>
      <c r="Q244" s="4" t="s">
        <v>49</v>
      </c>
      <c r="R244" s="4" t="s">
        <v>625</v>
      </c>
      <c r="S244" s="12" t="s">
        <v>661</v>
      </c>
    </row>
    <row r="245" customFormat="false" ht="15" hidden="false" customHeight="false" outlineLevel="0" collapsed="false">
      <c r="A245" s="4" t="s">
        <v>662</v>
      </c>
      <c r="B245" s="4" t="s">
        <v>16</v>
      </c>
      <c r="C245" s="4" t="s">
        <v>10</v>
      </c>
      <c r="D245" s="4" t="s">
        <v>42</v>
      </c>
      <c r="E245" s="4" t="s">
        <v>653</v>
      </c>
      <c r="F245" s="4" t="s">
        <v>654</v>
      </c>
      <c r="G245" s="4" t="s">
        <v>45</v>
      </c>
      <c r="H245" s="4" t="s">
        <v>46</v>
      </c>
      <c r="I245" s="4" t="s">
        <v>596</v>
      </c>
      <c r="J245" s="4" t="s">
        <v>597</v>
      </c>
      <c r="K245" s="4" t="n">
        <v>200</v>
      </c>
      <c r="L245" s="4" t="n">
        <v>60</v>
      </c>
      <c r="M245" s="9" t="n">
        <v>45</v>
      </c>
      <c r="N245" s="10" t="n">
        <f aca="false">K245*L245/1000000</f>
        <v>0.012</v>
      </c>
      <c r="O245" s="11" t="n">
        <f aca="false">M245/3600/N245</f>
        <v>1.04166666666667</v>
      </c>
      <c r="P245" s="4" t="str">
        <f aca="false">IF(O245&lt;=Hypothèses!$B$3,"oui","NON")</f>
        <v>oui</v>
      </c>
      <c r="Q245" s="4" t="s">
        <v>49</v>
      </c>
      <c r="R245" s="4" t="s">
        <v>625</v>
      </c>
      <c r="S245" s="12" t="s">
        <v>663</v>
      </c>
    </row>
    <row r="246" customFormat="false" ht="15" hidden="false" customHeight="false" outlineLevel="0" collapsed="false">
      <c r="A246" s="4" t="s">
        <v>664</v>
      </c>
      <c r="B246" s="4" t="s">
        <v>16</v>
      </c>
      <c r="C246" s="4" t="s">
        <v>10</v>
      </c>
      <c r="D246" s="4" t="s">
        <v>42</v>
      </c>
      <c r="E246" s="4" t="s">
        <v>552</v>
      </c>
      <c r="F246" s="4" t="s">
        <v>665</v>
      </c>
      <c r="G246" s="4" t="s">
        <v>45</v>
      </c>
      <c r="H246" s="4" t="s">
        <v>46</v>
      </c>
      <c r="I246" s="4" t="s">
        <v>596</v>
      </c>
      <c r="J246" s="4" t="s">
        <v>597</v>
      </c>
      <c r="K246" s="4" t="n">
        <v>200</v>
      </c>
      <c r="L246" s="4" t="n">
        <v>60</v>
      </c>
      <c r="M246" s="9" t="n">
        <v>150</v>
      </c>
      <c r="N246" s="10" t="n">
        <f aca="false">K246*L246/1000000</f>
        <v>0.012</v>
      </c>
      <c r="O246" s="11" t="n">
        <f aca="false">M246/3600/N246</f>
        <v>3.47222222222222</v>
      </c>
      <c r="P246" s="4" t="str">
        <f aca="false">IF(O246&lt;=Hypothèses!$B$3,"oui","NON")</f>
        <v>NON</v>
      </c>
      <c r="Q246" s="4" t="s">
        <v>49</v>
      </c>
      <c r="R246" s="4" t="s">
        <v>625</v>
      </c>
      <c r="S246" s="12" t="s">
        <v>666</v>
      </c>
    </row>
    <row r="247" customFormat="false" ht="15" hidden="false" customHeight="false" outlineLevel="0" collapsed="false">
      <c r="A247" s="4" t="s">
        <v>667</v>
      </c>
      <c r="B247" s="4" t="s">
        <v>16</v>
      </c>
      <c r="C247" s="4" t="s">
        <v>10</v>
      </c>
      <c r="D247" s="4" t="s">
        <v>42</v>
      </c>
      <c r="E247" s="4" t="s">
        <v>552</v>
      </c>
      <c r="F247" s="4" t="s">
        <v>665</v>
      </c>
      <c r="G247" s="4" t="s">
        <v>45</v>
      </c>
      <c r="H247" s="4" t="s">
        <v>46</v>
      </c>
      <c r="I247" s="4" t="s">
        <v>596</v>
      </c>
      <c r="J247" s="4" t="s">
        <v>597</v>
      </c>
      <c r="K247" s="4" t="n">
        <v>200</v>
      </c>
      <c r="L247" s="4" t="n">
        <v>60</v>
      </c>
      <c r="M247" s="9" t="n">
        <v>150</v>
      </c>
      <c r="N247" s="10" t="n">
        <f aca="false">K247*L247/1000000</f>
        <v>0.012</v>
      </c>
      <c r="O247" s="11" t="n">
        <f aca="false">M247/3600/N247</f>
        <v>3.47222222222222</v>
      </c>
      <c r="P247" s="4" t="str">
        <f aca="false">IF(O247&lt;=Hypothèses!$B$3,"oui","NON")</f>
        <v>NON</v>
      </c>
      <c r="Q247" s="4" t="s">
        <v>49</v>
      </c>
      <c r="R247" s="4" t="s">
        <v>625</v>
      </c>
      <c r="S247" s="12" t="s">
        <v>666</v>
      </c>
    </row>
    <row r="248" customFormat="false" ht="15" hidden="false" customHeight="false" outlineLevel="0" collapsed="false">
      <c r="A248" s="4" t="s">
        <v>668</v>
      </c>
      <c r="B248" s="4" t="s">
        <v>16</v>
      </c>
      <c r="C248" s="4" t="s">
        <v>10</v>
      </c>
      <c r="D248" s="4" t="s">
        <v>42</v>
      </c>
      <c r="E248" s="4" t="s">
        <v>552</v>
      </c>
      <c r="F248" s="4" t="s">
        <v>665</v>
      </c>
      <c r="G248" s="4" t="s">
        <v>45</v>
      </c>
      <c r="H248" s="4" t="s">
        <v>46</v>
      </c>
      <c r="I248" s="4" t="s">
        <v>596</v>
      </c>
      <c r="J248" s="4" t="s">
        <v>597</v>
      </c>
      <c r="K248" s="4" t="n">
        <v>200</v>
      </c>
      <c r="L248" s="4" t="n">
        <v>60</v>
      </c>
      <c r="M248" s="9" t="n">
        <v>150</v>
      </c>
      <c r="N248" s="10" t="n">
        <f aca="false">K248*L248/1000000</f>
        <v>0.012</v>
      </c>
      <c r="O248" s="11" t="n">
        <f aca="false">M248/3600/N248</f>
        <v>3.47222222222222</v>
      </c>
      <c r="P248" s="4" t="str">
        <f aca="false">IF(O248&lt;=Hypothèses!$B$3,"oui","NON")</f>
        <v>NON</v>
      </c>
      <c r="Q248" s="4" t="s">
        <v>49</v>
      </c>
      <c r="R248" s="4" t="s">
        <v>644</v>
      </c>
      <c r="S248" s="12" t="s">
        <v>666</v>
      </c>
    </row>
    <row r="249" customFormat="false" ht="15" hidden="false" customHeight="false" outlineLevel="0" collapsed="false">
      <c r="A249" s="4" t="s">
        <v>669</v>
      </c>
      <c r="B249" s="4" t="s">
        <v>16</v>
      </c>
      <c r="C249" s="4" t="s">
        <v>10</v>
      </c>
      <c r="D249" s="4" t="s">
        <v>42</v>
      </c>
      <c r="E249" s="4" t="s">
        <v>670</v>
      </c>
      <c r="F249" s="4" t="s">
        <v>671</v>
      </c>
      <c r="G249" s="4" t="s">
        <v>45</v>
      </c>
      <c r="H249" s="4" t="s">
        <v>46</v>
      </c>
      <c r="I249" s="4" t="s">
        <v>596</v>
      </c>
      <c r="J249" s="4" t="s">
        <v>597</v>
      </c>
      <c r="K249" s="4" t="n">
        <v>200</v>
      </c>
      <c r="L249" s="4" t="n">
        <v>60</v>
      </c>
      <c r="M249" s="9" t="n">
        <v>45</v>
      </c>
      <c r="N249" s="10" t="n">
        <f aca="false">K249*L249/1000000</f>
        <v>0.012</v>
      </c>
      <c r="O249" s="11" t="n">
        <f aca="false">M249/3600/N249</f>
        <v>1.04166666666667</v>
      </c>
      <c r="P249" s="4" t="str">
        <f aca="false">IF(O249&lt;=Hypothèses!$B$3,"oui","NON")</f>
        <v>oui</v>
      </c>
      <c r="Q249" s="4" t="s">
        <v>49</v>
      </c>
      <c r="R249" s="4" t="s">
        <v>598</v>
      </c>
      <c r="S249" s="12" t="s">
        <v>672</v>
      </c>
    </row>
    <row r="250" customFormat="false" ht="15" hidden="false" customHeight="false" outlineLevel="0" collapsed="false">
      <c r="A250" s="4" t="s">
        <v>673</v>
      </c>
      <c r="B250" s="4" t="s">
        <v>16</v>
      </c>
      <c r="C250" s="4" t="s">
        <v>10</v>
      </c>
      <c r="D250" s="4" t="s">
        <v>42</v>
      </c>
      <c r="E250" s="4" t="s">
        <v>674</v>
      </c>
      <c r="F250" s="4" t="s">
        <v>671</v>
      </c>
      <c r="G250" s="4" t="s">
        <v>45</v>
      </c>
      <c r="H250" s="4" t="s">
        <v>46</v>
      </c>
      <c r="I250" s="4" t="s">
        <v>596</v>
      </c>
      <c r="J250" s="4" t="s">
        <v>597</v>
      </c>
      <c r="K250" s="4" t="n">
        <v>200</v>
      </c>
      <c r="L250" s="4" t="n">
        <v>60</v>
      </c>
      <c r="M250" s="9" t="n">
        <v>45</v>
      </c>
      <c r="N250" s="10" t="n">
        <f aca="false">K250*L250/1000000</f>
        <v>0.012</v>
      </c>
      <c r="O250" s="11" t="n">
        <f aca="false">M250/3600/N250</f>
        <v>1.04166666666667</v>
      </c>
      <c r="P250" s="4" t="str">
        <f aca="false">IF(O250&lt;=Hypothèses!$B$3,"oui","NON")</f>
        <v>oui</v>
      </c>
      <c r="Q250" s="4" t="s">
        <v>49</v>
      </c>
      <c r="R250" s="4" t="s">
        <v>598</v>
      </c>
      <c r="S250" s="12" t="s">
        <v>675</v>
      </c>
    </row>
    <row r="251" customFormat="false" ht="15" hidden="false" customHeight="false" outlineLevel="0" collapsed="false">
      <c r="A251" s="4" t="s">
        <v>676</v>
      </c>
      <c r="B251" s="4" t="s">
        <v>16</v>
      </c>
      <c r="C251" s="4" t="s">
        <v>10</v>
      </c>
      <c r="D251" s="4" t="s">
        <v>42</v>
      </c>
      <c r="E251" s="4" t="s">
        <v>674</v>
      </c>
      <c r="F251" s="4" t="s">
        <v>671</v>
      </c>
      <c r="G251" s="4" t="s">
        <v>45</v>
      </c>
      <c r="H251" s="4" t="s">
        <v>46</v>
      </c>
      <c r="I251" s="4" t="s">
        <v>596</v>
      </c>
      <c r="J251" s="4" t="s">
        <v>597</v>
      </c>
      <c r="K251" s="4" t="n">
        <v>200</v>
      </c>
      <c r="L251" s="4" t="n">
        <v>60</v>
      </c>
      <c r="M251" s="9" t="n">
        <v>45</v>
      </c>
      <c r="N251" s="10" t="n">
        <f aca="false">K251*L251/1000000</f>
        <v>0.012</v>
      </c>
      <c r="O251" s="11" t="n">
        <f aca="false">M251/3600/N251</f>
        <v>1.04166666666667</v>
      </c>
      <c r="P251" s="4" t="str">
        <f aca="false">IF(O251&lt;=Hypothèses!$B$3,"oui","NON")</f>
        <v>oui</v>
      </c>
      <c r="Q251" s="4" t="s">
        <v>49</v>
      </c>
      <c r="R251" s="4" t="s">
        <v>598</v>
      </c>
      <c r="S251" s="12" t="s">
        <v>677</v>
      </c>
    </row>
    <row r="252" customFormat="false" ht="15" hidden="false" customHeight="false" outlineLevel="0" collapsed="false">
      <c r="A252" s="4" t="s">
        <v>678</v>
      </c>
      <c r="B252" s="4" t="s">
        <v>16</v>
      </c>
      <c r="C252" s="4" t="s">
        <v>10</v>
      </c>
      <c r="D252" s="4" t="s">
        <v>42</v>
      </c>
      <c r="E252" s="4" t="s">
        <v>653</v>
      </c>
      <c r="F252" s="4" t="s">
        <v>679</v>
      </c>
      <c r="G252" s="4" t="s">
        <v>45</v>
      </c>
      <c r="H252" s="4" t="s">
        <v>46</v>
      </c>
      <c r="I252" s="4" t="s">
        <v>596</v>
      </c>
      <c r="J252" s="4" t="s">
        <v>597</v>
      </c>
      <c r="K252" s="4" t="n">
        <v>200</v>
      </c>
      <c r="L252" s="4" t="n">
        <v>60</v>
      </c>
      <c r="M252" s="9" t="n">
        <v>30</v>
      </c>
      <c r="N252" s="10" t="n">
        <f aca="false">K252*L252/1000000</f>
        <v>0.012</v>
      </c>
      <c r="O252" s="11" t="n">
        <f aca="false">M252/3600/N252</f>
        <v>0.694444444444444</v>
      </c>
      <c r="P252" s="4" t="str">
        <f aca="false">IF(O252&lt;=Hypothèses!$B$3,"oui","NON")</f>
        <v>oui</v>
      </c>
      <c r="Q252" s="4" t="s">
        <v>49</v>
      </c>
      <c r="R252" s="4" t="s">
        <v>635</v>
      </c>
      <c r="S252" s="12" t="s">
        <v>680</v>
      </c>
    </row>
    <row r="253" customFormat="false" ht="15" hidden="false" customHeight="false" outlineLevel="0" collapsed="false">
      <c r="A253" s="4" t="s">
        <v>681</v>
      </c>
      <c r="B253" s="4" t="s">
        <v>16</v>
      </c>
      <c r="C253" s="4" t="s">
        <v>10</v>
      </c>
      <c r="D253" s="4" t="s">
        <v>42</v>
      </c>
      <c r="E253" s="4" t="s">
        <v>653</v>
      </c>
      <c r="F253" s="4" t="s">
        <v>679</v>
      </c>
      <c r="G253" s="4" t="s">
        <v>45</v>
      </c>
      <c r="H253" s="4" t="s">
        <v>46</v>
      </c>
      <c r="I253" s="4" t="s">
        <v>596</v>
      </c>
      <c r="J253" s="4" t="s">
        <v>597</v>
      </c>
      <c r="K253" s="4" t="n">
        <v>200</v>
      </c>
      <c r="L253" s="4" t="n">
        <v>60</v>
      </c>
      <c r="M253" s="9" t="n">
        <v>30</v>
      </c>
      <c r="N253" s="10" t="n">
        <f aca="false">K253*L253/1000000</f>
        <v>0.012</v>
      </c>
      <c r="O253" s="11" t="n">
        <f aca="false">M253/3600/N253</f>
        <v>0.694444444444444</v>
      </c>
      <c r="P253" s="4" t="str">
        <f aca="false">IF(O253&lt;=Hypothèses!$B$3,"oui","NON")</f>
        <v>oui</v>
      </c>
      <c r="Q253" s="4" t="s">
        <v>49</v>
      </c>
      <c r="R253" s="4" t="s">
        <v>635</v>
      </c>
      <c r="S253" s="12" t="s">
        <v>682</v>
      </c>
    </row>
    <row r="254" customFormat="false" ht="15" hidden="false" customHeight="false" outlineLevel="0" collapsed="false">
      <c r="A254" s="4" t="s">
        <v>683</v>
      </c>
      <c r="B254" s="4" t="s">
        <v>16</v>
      </c>
      <c r="C254" s="4" t="s">
        <v>10</v>
      </c>
      <c r="D254" s="4" t="s">
        <v>91</v>
      </c>
      <c r="E254" s="4" t="s">
        <v>684</v>
      </c>
      <c r="F254" s="4" t="s">
        <v>624</v>
      </c>
      <c r="G254" s="4" t="s">
        <v>45</v>
      </c>
      <c r="H254" s="4" t="s">
        <v>46</v>
      </c>
      <c r="I254" s="4" t="s">
        <v>596</v>
      </c>
      <c r="J254" s="4" t="s">
        <v>597</v>
      </c>
      <c r="K254" s="4" t="n">
        <v>200</v>
      </c>
      <c r="L254" s="4" t="n">
        <v>60</v>
      </c>
      <c r="M254" s="9" t="n">
        <v>30</v>
      </c>
      <c r="N254" s="10" t="n">
        <f aca="false">K254*L254/1000000</f>
        <v>0.012</v>
      </c>
      <c r="O254" s="11" t="n">
        <f aca="false">M254/3600/N254</f>
        <v>0.694444444444444</v>
      </c>
      <c r="P254" s="4" t="str">
        <f aca="false">IF(O254&lt;=Hypothèses!$B$3,"oui","NON")</f>
        <v>oui</v>
      </c>
      <c r="Q254" s="4" t="s">
        <v>49</v>
      </c>
      <c r="R254" s="4" t="s">
        <v>685</v>
      </c>
      <c r="S254" s="12" t="s">
        <v>686</v>
      </c>
    </row>
    <row r="255" customFormat="false" ht="15" hidden="false" customHeight="false" outlineLevel="0" collapsed="false">
      <c r="A255" s="4" t="s">
        <v>687</v>
      </c>
      <c r="B255" s="4" t="s">
        <v>16</v>
      </c>
      <c r="C255" s="4" t="s">
        <v>10</v>
      </c>
      <c r="D255" s="4" t="s">
        <v>91</v>
      </c>
      <c r="E255" s="4" t="s">
        <v>616</v>
      </c>
      <c r="F255" s="4" t="s">
        <v>624</v>
      </c>
      <c r="G255" s="4" t="s">
        <v>45</v>
      </c>
      <c r="H255" s="4" t="s">
        <v>46</v>
      </c>
      <c r="I255" s="4" t="s">
        <v>596</v>
      </c>
      <c r="J255" s="4" t="s">
        <v>597</v>
      </c>
      <c r="K255" s="4" t="n">
        <v>200</v>
      </c>
      <c r="L255" s="4" t="n">
        <v>60</v>
      </c>
      <c r="M255" s="9" t="n">
        <v>30</v>
      </c>
      <c r="N255" s="10" t="n">
        <f aca="false">K255*L255/1000000</f>
        <v>0.012</v>
      </c>
      <c r="O255" s="11" t="n">
        <f aca="false">M255/3600/N255</f>
        <v>0.694444444444444</v>
      </c>
      <c r="P255" s="4" t="str">
        <f aca="false">IF(O255&lt;=Hypothèses!$B$3,"oui","NON")</f>
        <v>oui</v>
      </c>
      <c r="Q255" s="4" t="s">
        <v>49</v>
      </c>
      <c r="R255" s="4" t="s">
        <v>625</v>
      </c>
      <c r="S255" s="12" t="s">
        <v>688</v>
      </c>
    </row>
    <row r="256" customFormat="false" ht="15" hidden="false" customHeight="false" outlineLevel="0" collapsed="false">
      <c r="A256" s="4" t="s">
        <v>689</v>
      </c>
      <c r="B256" s="4" t="s">
        <v>16</v>
      </c>
      <c r="C256" s="4" t="s">
        <v>10</v>
      </c>
      <c r="D256" s="4" t="s">
        <v>91</v>
      </c>
      <c r="E256" s="4" t="s">
        <v>628</v>
      </c>
      <c r="F256" s="4" t="s">
        <v>629</v>
      </c>
      <c r="G256" s="4" t="s">
        <v>45</v>
      </c>
      <c r="H256" s="4" t="s">
        <v>46</v>
      </c>
      <c r="I256" s="4" t="s">
        <v>596</v>
      </c>
      <c r="J256" s="4" t="s">
        <v>597</v>
      </c>
      <c r="K256" s="4" t="n">
        <v>200</v>
      </c>
      <c r="L256" s="4" t="n">
        <v>60</v>
      </c>
      <c r="M256" s="9" t="n">
        <v>30</v>
      </c>
      <c r="N256" s="10" t="n">
        <f aca="false">K256*L256/1000000</f>
        <v>0.012</v>
      </c>
      <c r="O256" s="11" t="n">
        <f aca="false">M256/3600/N256</f>
        <v>0.694444444444444</v>
      </c>
      <c r="P256" s="4" t="str">
        <f aca="false">IF(O256&lt;=Hypothèses!$B$3,"oui","NON")</f>
        <v>oui</v>
      </c>
      <c r="Q256" s="4" t="s">
        <v>49</v>
      </c>
      <c r="R256" s="4" t="s">
        <v>625</v>
      </c>
      <c r="S256" s="12" t="s">
        <v>690</v>
      </c>
    </row>
    <row r="257" customFormat="false" ht="15" hidden="false" customHeight="false" outlineLevel="0" collapsed="false">
      <c r="A257" s="4" t="s">
        <v>691</v>
      </c>
      <c r="B257" s="4" t="s">
        <v>16</v>
      </c>
      <c r="C257" s="4" t="s">
        <v>10</v>
      </c>
      <c r="D257" s="4" t="s">
        <v>91</v>
      </c>
      <c r="E257" s="4" t="s">
        <v>628</v>
      </c>
      <c r="F257" s="4" t="s">
        <v>634</v>
      </c>
      <c r="G257" s="4" t="s">
        <v>45</v>
      </c>
      <c r="H257" s="4" t="s">
        <v>46</v>
      </c>
      <c r="I257" s="4" t="s">
        <v>596</v>
      </c>
      <c r="J257" s="4" t="s">
        <v>597</v>
      </c>
      <c r="K257" s="4" t="n">
        <v>200</v>
      </c>
      <c r="L257" s="4" t="n">
        <v>60</v>
      </c>
      <c r="M257" s="9" t="n">
        <v>30</v>
      </c>
      <c r="N257" s="10" t="n">
        <f aca="false">K257*L257/1000000</f>
        <v>0.012</v>
      </c>
      <c r="O257" s="11" t="n">
        <f aca="false">M257/3600/N257</f>
        <v>0.694444444444444</v>
      </c>
      <c r="P257" s="4" t="str">
        <f aca="false">IF(O257&lt;=Hypothèses!$B$3,"oui","NON")</f>
        <v>oui</v>
      </c>
      <c r="Q257" s="4" t="s">
        <v>49</v>
      </c>
      <c r="R257" s="4" t="s">
        <v>685</v>
      </c>
      <c r="S257" s="12" t="s">
        <v>692</v>
      </c>
    </row>
    <row r="258" customFormat="false" ht="15" hidden="false" customHeight="false" outlineLevel="0" collapsed="false">
      <c r="A258" s="4" t="s">
        <v>693</v>
      </c>
      <c r="B258" s="4" t="s">
        <v>16</v>
      </c>
      <c r="C258" s="4" t="s">
        <v>10</v>
      </c>
      <c r="D258" s="4" t="s">
        <v>91</v>
      </c>
      <c r="E258" s="4" t="s">
        <v>642</v>
      </c>
      <c r="F258" s="4" t="s">
        <v>643</v>
      </c>
      <c r="G258" s="4" t="s">
        <v>45</v>
      </c>
      <c r="H258" s="4" t="s">
        <v>46</v>
      </c>
      <c r="I258" s="4" t="s">
        <v>596</v>
      </c>
      <c r="J258" s="4" t="s">
        <v>597</v>
      </c>
      <c r="K258" s="4" t="n">
        <v>200</v>
      </c>
      <c r="L258" s="4" t="n">
        <v>60</v>
      </c>
      <c r="M258" s="9" t="n">
        <v>150</v>
      </c>
      <c r="N258" s="10" t="n">
        <f aca="false">K258*L258/1000000</f>
        <v>0.012</v>
      </c>
      <c r="O258" s="11" t="n">
        <f aca="false">M258/3600/N258</f>
        <v>3.47222222222222</v>
      </c>
      <c r="P258" s="4" t="str">
        <f aca="false">IF(O258&lt;=Hypothèses!$B$3,"oui","NON")</f>
        <v>NON</v>
      </c>
      <c r="Q258" s="4" t="s">
        <v>49</v>
      </c>
      <c r="R258" s="4" t="s">
        <v>635</v>
      </c>
      <c r="S258" s="12" t="s">
        <v>694</v>
      </c>
    </row>
    <row r="259" customFormat="false" ht="15" hidden="false" customHeight="false" outlineLevel="0" collapsed="false">
      <c r="A259" s="4" t="s">
        <v>695</v>
      </c>
      <c r="B259" s="4" t="s">
        <v>16</v>
      </c>
      <c r="C259" s="4" t="s">
        <v>10</v>
      </c>
      <c r="D259" s="4" t="s">
        <v>91</v>
      </c>
      <c r="E259" s="4" t="s">
        <v>642</v>
      </c>
      <c r="F259" s="4" t="s">
        <v>643</v>
      </c>
      <c r="G259" s="4" t="s">
        <v>45</v>
      </c>
      <c r="H259" s="4" t="s">
        <v>46</v>
      </c>
      <c r="I259" s="4" t="s">
        <v>596</v>
      </c>
      <c r="J259" s="4" t="s">
        <v>597</v>
      </c>
      <c r="K259" s="4" t="n">
        <v>200</v>
      </c>
      <c r="L259" s="4" t="n">
        <v>60</v>
      </c>
      <c r="M259" s="9" t="n">
        <v>150</v>
      </c>
      <c r="N259" s="10" t="n">
        <f aca="false">K259*L259/1000000</f>
        <v>0.012</v>
      </c>
      <c r="O259" s="11" t="n">
        <f aca="false">M259/3600/N259</f>
        <v>3.47222222222222</v>
      </c>
      <c r="P259" s="4" t="str">
        <f aca="false">IF(O259&lt;=Hypothèses!$B$3,"oui","NON")</f>
        <v>NON</v>
      </c>
      <c r="Q259" s="4" t="s">
        <v>49</v>
      </c>
      <c r="R259" s="4" t="s">
        <v>635</v>
      </c>
      <c r="S259" s="12" t="s">
        <v>694</v>
      </c>
    </row>
    <row r="260" customFormat="false" ht="15" hidden="false" customHeight="false" outlineLevel="0" collapsed="false">
      <c r="A260" s="4" t="s">
        <v>696</v>
      </c>
      <c r="B260" s="4" t="s">
        <v>16</v>
      </c>
      <c r="C260" s="4" t="s">
        <v>10</v>
      </c>
      <c r="D260" s="4" t="s">
        <v>91</v>
      </c>
      <c r="E260" s="4" t="s">
        <v>642</v>
      </c>
      <c r="F260" s="4" t="s">
        <v>643</v>
      </c>
      <c r="G260" s="4" t="s">
        <v>45</v>
      </c>
      <c r="H260" s="4" t="s">
        <v>46</v>
      </c>
      <c r="I260" s="4" t="s">
        <v>596</v>
      </c>
      <c r="J260" s="4" t="s">
        <v>597</v>
      </c>
      <c r="K260" s="4" t="n">
        <v>200</v>
      </c>
      <c r="L260" s="4" t="n">
        <v>60</v>
      </c>
      <c r="M260" s="9" t="n">
        <v>150</v>
      </c>
      <c r="N260" s="10" t="n">
        <f aca="false">K260*L260/1000000</f>
        <v>0.012</v>
      </c>
      <c r="O260" s="11" t="n">
        <f aca="false">M260/3600/N260</f>
        <v>3.47222222222222</v>
      </c>
      <c r="P260" s="4" t="str">
        <f aca="false">IF(O260&lt;=Hypothèses!$B$3,"oui","NON")</f>
        <v>NON</v>
      </c>
      <c r="Q260" s="4" t="s">
        <v>49</v>
      </c>
      <c r="R260" s="4" t="s">
        <v>635</v>
      </c>
      <c r="S260" s="12" t="s">
        <v>694</v>
      </c>
    </row>
    <row r="261" customFormat="false" ht="15" hidden="false" customHeight="false" outlineLevel="0" collapsed="false">
      <c r="A261" s="4" t="s">
        <v>697</v>
      </c>
      <c r="B261" s="4" t="s">
        <v>16</v>
      </c>
      <c r="C261" s="4" t="s">
        <v>10</v>
      </c>
      <c r="D261" s="4" t="s">
        <v>91</v>
      </c>
      <c r="E261" s="4" t="s">
        <v>642</v>
      </c>
      <c r="F261" s="4" t="s">
        <v>643</v>
      </c>
      <c r="G261" s="4" t="s">
        <v>45</v>
      </c>
      <c r="H261" s="4" t="s">
        <v>46</v>
      </c>
      <c r="I261" s="4" t="s">
        <v>596</v>
      </c>
      <c r="J261" s="4" t="s">
        <v>597</v>
      </c>
      <c r="K261" s="4" t="n">
        <v>200</v>
      </c>
      <c r="L261" s="4" t="n">
        <v>60</v>
      </c>
      <c r="M261" s="9" t="n">
        <v>150</v>
      </c>
      <c r="N261" s="10" t="n">
        <f aca="false">K261*L261/1000000</f>
        <v>0.012</v>
      </c>
      <c r="O261" s="11" t="n">
        <f aca="false">M261/3600/N261</f>
        <v>3.47222222222222</v>
      </c>
      <c r="P261" s="4" t="str">
        <f aca="false">IF(O261&lt;=Hypothèses!$B$3,"oui","NON")</f>
        <v>NON</v>
      </c>
      <c r="Q261" s="4" t="s">
        <v>49</v>
      </c>
      <c r="R261" s="4" t="s">
        <v>644</v>
      </c>
      <c r="S261" s="12" t="s">
        <v>698</v>
      </c>
    </row>
    <row r="262" customFormat="false" ht="15" hidden="false" customHeight="false" outlineLevel="0" collapsed="false">
      <c r="A262" s="4" t="s">
        <v>699</v>
      </c>
      <c r="B262" s="4" t="s">
        <v>16</v>
      </c>
      <c r="C262" s="4" t="s">
        <v>10</v>
      </c>
      <c r="D262" s="4" t="s">
        <v>91</v>
      </c>
      <c r="E262" s="4" t="s">
        <v>642</v>
      </c>
      <c r="F262" s="4" t="s">
        <v>643</v>
      </c>
      <c r="G262" s="4" t="s">
        <v>45</v>
      </c>
      <c r="H262" s="4" t="s">
        <v>46</v>
      </c>
      <c r="I262" s="4" t="s">
        <v>596</v>
      </c>
      <c r="J262" s="4" t="s">
        <v>597</v>
      </c>
      <c r="K262" s="4" t="n">
        <v>200</v>
      </c>
      <c r="L262" s="4" t="n">
        <v>60</v>
      </c>
      <c r="M262" s="9" t="n">
        <v>150</v>
      </c>
      <c r="N262" s="10" t="n">
        <f aca="false">K262*L262/1000000</f>
        <v>0.012</v>
      </c>
      <c r="O262" s="11" t="n">
        <f aca="false">M262/3600/N262</f>
        <v>3.47222222222222</v>
      </c>
      <c r="P262" s="4" t="str">
        <f aca="false">IF(O262&lt;=Hypothèses!$B$3,"oui","NON")</f>
        <v>NON</v>
      </c>
      <c r="Q262" s="4" t="s">
        <v>49</v>
      </c>
      <c r="R262" s="4" t="s">
        <v>625</v>
      </c>
      <c r="S262" s="12" t="s">
        <v>698</v>
      </c>
    </row>
    <row r="263" customFormat="false" ht="15" hidden="false" customHeight="false" outlineLevel="0" collapsed="false">
      <c r="A263" s="4" t="s">
        <v>700</v>
      </c>
      <c r="B263" s="4" t="s">
        <v>16</v>
      </c>
      <c r="C263" s="4" t="s">
        <v>10</v>
      </c>
      <c r="D263" s="4" t="s">
        <v>91</v>
      </c>
      <c r="E263" s="4" t="s">
        <v>642</v>
      </c>
      <c r="F263" s="4" t="s">
        <v>643</v>
      </c>
      <c r="G263" s="4" t="s">
        <v>45</v>
      </c>
      <c r="H263" s="4" t="s">
        <v>46</v>
      </c>
      <c r="I263" s="4" t="s">
        <v>596</v>
      </c>
      <c r="J263" s="4" t="s">
        <v>597</v>
      </c>
      <c r="K263" s="4" t="n">
        <v>200</v>
      </c>
      <c r="L263" s="4" t="n">
        <v>60</v>
      </c>
      <c r="M263" s="9" t="n">
        <v>150</v>
      </c>
      <c r="N263" s="10" t="n">
        <f aca="false">K263*L263/1000000</f>
        <v>0.012</v>
      </c>
      <c r="O263" s="11" t="n">
        <f aca="false">M263/3600/N263</f>
        <v>3.47222222222222</v>
      </c>
      <c r="P263" s="4" t="str">
        <f aca="false">IF(O263&lt;=Hypothèses!$B$3,"oui","NON")</f>
        <v>NON</v>
      </c>
      <c r="Q263" s="4" t="s">
        <v>49</v>
      </c>
      <c r="R263" s="4" t="s">
        <v>625</v>
      </c>
      <c r="S263" s="12" t="s">
        <v>698</v>
      </c>
    </row>
    <row r="264" customFormat="false" ht="15" hidden="false" customHeight="false" outlineLevel="0" collapsed="false">
      <c r="A264" s="4" t="s">
        <v>701</v>
      </c>
      <c r="B264" s="4" t="s">
        <v>16</v>
      </c>
      <c r="C264" s="4" t="s">
        <v>10</v>
      </c>
      <c r="D264" s="4" t="s">
        <v>91</v>
      </c>
      <c r="E264" s="4" t="s">
        <v>649</v>
      </c>
      <c r="F264" s="4" t="s">
        <v>650</v>
      </c>
      <c r="G264" s="4" t="s">
        <v>45</v>
      </c>
      <c r="H264" s="4" t="s">
        <v>46</v>
      </c>
      <c r="I264" s="4" t="s">
        <v>596</v>
      </c>
      <c r="J264" s="4" t="s">
        <v>597</v>
      </c>
      <c r="K264" s="4" t="n">
        <v>200</v>
      </c>
      <c r="L264" s="4" t="n">
        <v>60</v>
      </c>
      <c r="M264" s="9" t="n">
        <v>45</v>
      </c>
      <c r="N264" s="10" t="n">
        <f aca="false">K264*L264/1000000</f>
        <v>0.012</v>
      </c>
      <c r="O264" s="11" t="n">
        <f aca="false">M264/3600/N264</f>
        <v>1.04166666666667</v>
      </c>
      <c r="P264" s="4" t="str">
        <f aca="false">IF(O264&lt;=Hypothèses!$B$3,"oui","NON")</f>
        <v>oui</v>
      </c>
      <c r="Q264" s="4" t="s">
        <v>49</v>
      </c>
      <c r="R264" s="4" t="s">
        <v>625</v>
      </c>
      <c r="S264" s="12" t="s">
        <v>702</v>
      </c>
    </row>
    <row r="265" customFormat="false" ht="15" hidden="false" customHeight="false" outlineLevel="0" collapsed="false">
      <c r="A265" s="4" t="s">
        <v>703</v>
      </c>
      <c r="B265" s="4" t="s">
        <v>16</v>
      </c>
      <c r="C265" s="4" t="s">
        <v>10</v>
      </c>
      <c r="D265" s="4" t="s">
        <v>91</v>
      </c>
      <c r="E265" s="4" t="s">
        <v>653</v>
      </c>
      <c r="F265" s="4" t="s">
        <v>654</v>
      </c>
      <c r="G265" s="4" t="s">
        <v>45</v>
      </c>
      <c r="H265" s="4" t="s">
        <v>46</v>
      </c>
      <c r="I265" s="4" t="s">
        <v>596</v>
      </c>
      <c r="J265" s="4" t="s">
        <v>597</v>
      </c>
      <c r="K265" s="4" t="n">
        <v>200</v>
      </c>
      <c r="L265" s="4" t="n">
        <v>60</v>
      </c>
      <c r="M265" s="9" t="n">
        <v>45</v>
      </c>
      <c r="N265" s="10" t="n">
        <f aca="false">K265*L265/1000000</f>
        <v>0.012</v>
      </c>
      <c r="O265" s="11" t="n">
        <f aca="false">M265/3600/N265</f>
        <v>1.04166666666667</v>
      </c>
      <c r="P265" s="4" t="str">
        <f aca="false">IF(O265&lt;=Hypothèses!$B$3,"oui","NON")</f>
        <v>oui</v>
      </c>
      <c r="Q265" s="4" t="s">
        <v>49</v>
      </c>
      <c r="R265" s="4" t="s">
        <v>613</v>
      </c>
      <c r="S265" s="12" t="s">
        <v>704</v>
      </c>
    </row>
    <row r="266" customFormat="false" ht="15" hidden="false" customHeight="false" outlineLevel="0" collapsed="false">
      <c r="A266" s="4" t="s">
        <v>705</v>
      </c>
      <c r="B266" s="4" t="s">
        <v>16</v>
      </c>
      <c r="C266" s="4" t="s">
        <v>10</v>
      </c>
      <c r="D266" s="4" t="s">
        <v>91</v>
      </c>
      <c r="E266" s="4" t="s">
        <v>653</v>
      </c>
      <c r="F266" s="4" t="s">
        <v>654</v>
      </c>
      <c r="G266" s="4" t="s">
        <v>45</v>
      </c>
      <c r="H266" s="4" t="s">
        <v>46</v>
      </c>
      <c r="I266" s="4" t="s">
        <v>596</v>
      </c>
      <c r="J266" s="4" t="s">
        <v>597</v>
      </c>
      <c r="K266" s="4" t="n">
        <v>200</v>
      </c>
      <c r="L266" s="4" t="n">
        <v>60</v>
      </c>
      <c r="M266" s="9" t="n">
        <v>45</v>
      </c>
      <c r="N266" s="10" t="n">
        <f aca="false">K266*L266/1000000</f>
        <v>0.012</v>
      </c>
      <c r="O266" s="11" t="n">
        <f aca="false">M266/3600/N266</f>
        <v>1.04166666666667</v>
      </c>
      <c r="P266" s="4" t="str">
        <f aca="false">IF(O266&lt;=Hypothèses!$B$3,"oui","NON")</f>
        <v>oui</v>
      </c>
      <c r="Q266" s="4" t="s">
        <v>49</v>
      </c>
      <c r="R266" s="4" t="s">
        <v>613</v>
      </c>
      <c r="S266" s="12" t="s">
        <v>706</v>
      </c>
    </row>
    <row r="267" customFormat="false" ht="15" hidden="false" customHeight="false" outlineLevel="0" collapsed="false">
      <c r="A267" s="4" t="s">
        <v>707</v>
      </c>
      <c r="B267" s="4" t="s">
        <v>16</v>
      </c>
      <c r="C267" s="4" t="s">
        <v>10</v>
      </c>
      <c r="D267" s="4" t="s">
        <v>91</v>
      </c>
      <c r="E267" s="4" t="s">
        <v>653</v>
      </c>
      <c r="F267" s="4" t="s">
        <v>654</v>
      </c>
      <c r="G267" s="4" t="s">
        <v>45</v>
      </c>
      <c r="H267" s="4" t="s">
        <v>46</v>
      </c>
      <c r="I267" s="4" t="s">
        <v>596</v>
      </c>
      <c r="J267" s="4" t="s">
        <v>597</v>
      </c>
      <c r="K267" s="4" t="n">
        <v>200</v>
      </c>
      <c r="L267" s="4" t="n">
        <v>60</v>
      </c>
      <c r="M267" s="9" t="n">
        <v>45</v>
      </c>
      <c r="N267" s="10" t="n">
        <f aca="false">K267*L267/1000000</f>
        <v>0.012</v>
      </c>
      <c r="O267" s="11" t="n">
        <f aca="false">M267/3600/N267</f>
        <v>1.04166666666667</v>
      </c>
      <c r="P267" s="4" t="str">
        <f aca="false">IF(O267&lt;=Hypothèses!$B$3,"oui","NON")</f>
        <v>oui</v>
      </c>
      <c r="Q267" s="4" t="s">
        <v>49</v>
      </c>
      <c r="R267" s="4" t="s">
        <v>625</v>
      </c>
      <c r="S267" s="12" t="s">
        <v>708</v>
      </c>
    </row>
    <row r="268" customFormat="false" ht="15" hidden="false" customHeight="false" outlineLevel="0" collapsed="false">
      <c r="A268" s="4" t="s">
        <v>709</v>
      </c>
      <c r="B268" s="4" t="s">
        <v>16</v>
      </c>
      <c r="C268" s="4" t="s">
        <v>10</v>
      </c>
      <c r="D268" s="4" t="s">
        <v>91</v>
      </c>
      <c r="E268" s="4" t="s">
        <v>653</v>
      </c>
      <c r="F268" s="4" t="s">
        <v>654</v>
      </c>
      <c r="G268" s="4" t="s">
        <v>45</v>
      </c>
      <c r="H268" s="4" t="s">
        <v>46</v>
      </c>
      <c r="I268" s="4" t="s">
        <v>596</v>
      </c>
      <c r="J268" s="4" t="s">
        <v>597</v>
      </c>
      <c r="K268" s="4" t="n">
        <v>200</v>
      </c>
      <c r="L268" s="4" t="n">
        <v>60</v>
      </c>
      <c r="M268" s="9" t="n">
        <v>45</v>
      </c>
      <c r="N268" s="10" t="n">
        <f aca="false">K268*L268/1000000</f>
        <v>0.012</v>
      </c>
      <c r="O268" s="11" t="n">
        <f aca="false">M268/3600/N268</f>
        <v>1.04166666666667</v>
      </c>
      <c r="P268" s="4" t="str">
        <f aca="false">IF(O268&lt;=Hypothèses!$B$3,"oui","NON")</f>
        <v>oui</v>
      </c>
      <c r="Q268" s="4" t="s">
        <v>49</v>
      </c>
      <c r="R268" s="4" t="s">
        <v>625</v>
      </c>
      <c r="S268" s="12" t="s">
        <v>710</v>
      </c>
    </row>
    <row r="269" customFormat="false" ht="15" hidden="false" customHeight="false" outlineLevel="0" collapsed="false">
      <c r="A269" s="4" t="s">
        <v>711</v>
      </c>
      <c r="B269" s="4" t="s">
        <v>16</v>
      </c>
      <c r="C269" s="4" t="s">
        <v>10</v>
      </c>
      <c r="D269" s="4" t="s">
        <v>91</v>
      </c>
      <c r="E269" s="4" t="s">
        <v>657</v>
      </c>
      <c r="F269" s="4" t="s">
        <v>654</v>
      </c>
      <c r="G269" s="4" t="s">
        <v>45</v>
      </c>
      <c r="H269" s="4" t="s">
        <v>46</v>
      </c>
      <c r="I269" s="4" t="s">
        <v>596</v>
      </c>
      <c r="J269" s="4" t="s">
        <v>597</v>
      </c>
      <c r="K269" s="4" t="n">
        <v>200</v>
      </c>
      <c r="L269" s="4" t="n">
        <v>60</v>
      </c>
      <c r="M269" s="9" t="n">
        <v>45</v>
      </c>
      <c r="N269" s="10" t="n">
        <f aca="false">K269*L269/1000000</f>
        <v>0.012</v>
      </c>
      <c r="O269" s="11" t="n">
        <f aca="false">M269/3600/N269</f>
        <v>1.04166666666667</v>
      </c>
      <c r="P269" s="4" t="str">
        <f aca="false">IF(O269&lt;=Hypothèses!$B$3,"oui","NON")</f>
        <v>oui</v>
      </c>
      <c r="Q269" s="4" t="s">
        <v>49</v>
      </c>
      <c r="R269" s="4" t="s">
        <v>635</v>
      </c>
      <c r="S269" s="12" t="s">
        <v>712</v>
      </c>
    </row>
    <row r="270" customFormat="false" ht="15" hidden="false" customHeight="false" outlineLevel="0" collapsed="false">
      <c r="A270" s="4" t="s">
        <v>713</v>
      </c>
      <c r="B270" s="4" t="s">
        <v>16</v>
      </c>
      <c r="C270" s="4" t="s">
        <v>10</v>
      </c>
      <c r="D270" s="4" t="s">
        <v>91</v>
      </c>
      <c r="E270" s="4" t="s">
        <v>653</v>
      </c>
      <c r="F270" s="4" t="s">
        <v>654</v>
      </c>
      <c r="G270" s="4" t="s">
        <v>45</v>
      </c>
      <c r="H270" s="4" t="s">
        <v>46</v>
      </c>
      <c r="I270" s="4" t="s">
        <v>596</v>
      </c>
      <c r="J270" s="4" t="s">
        <v>597</v>
      </c>
      <c r="K270" s="4" t="n">
        <v>200</v>
      </c>
      <c r="L270" s="4" t="n">
        <v>60</v>
      </c>
      <c r="M270" s="9" t="n">
        <v>45</v>
      </c>
      <c r="N270" s="10" t="n">
        <f aca="false">K270*L270/1000000</f>
        <v>0.012</v>
      </c>
      <c r="O270" s="11" t="n">
        <f aca="false">M270/3600/N270</f>
        <v>1.04166666666667</v>
      </c>
      <c r="P270" s="4" t="str">
        <f aca="false">IF(O270&lt;=Hypothèses!$B$3,"oui","NON")</f>
        <v>oui</v>
      </c>
      <c r="Q270" s="4" t="s">
        <v>49</v>
      </c>
      <c r="R270" s="4" t="s">
        <v>635</v>
      </c>
      <c r="S270" s="12" t="s">
        <v>714</v>
      </c>
    </row>
    <row r="271" customFormat="false" ht="15" hidden="false" customHeight="false" outlineLevel="0" collapsed="false">
      <c r="A271" s="4" t="s">
        <v>715</v>
      </c>
      <c r="B271" s="4" t="s">
        <v>16</v>
      </c>
      <c r="C271" s="4" t="s">
        <v>10</v>
      </c>
      <c r="D271" s="4" t="s">
        <v>91</v>
      </c>
      <c r="E271" s="4" t="s">
        <v>716</v>
      </c>
      <c r="F271" s="4" t="s">
        <v>654</v>
      </c>
      <c r="G271" s="4" t="s">
        <v>45</v>
      </c>
      <c r="H271" s="4" t="s">
        <v>46</v>
      </c>
      <c r="I271" s="4" t="s">
        <v>596</v>
      </c>
      <c r="J271" s="4" t="s">
        <v>597</v>
      </c>
      <c r="K271" s="4" t="n">
        <v>200</v>
      </c>
      <c r="L271" s="4" t="n">
        <v>60</v>
      </c>
      <c r="M271" s="9" t="n">
        <v>45</v>
      </c>
      <c r="N271" s="10" t="n">
        <f aca="false">K271*L271/1000000</f>
        <v>0.012</v>
      </c>
      <c r="O271" s="11" t="n">
        <f aca="false">M271/3600/N271</f>
        <v>1.04166666666667</v>
      </c>
      <c r="P271" s="4" t="str">
        <f aca="false">IF(O271&lt;=Hypothèses!$B$3,"oui","NON")</f>
        <v>oui</v>
      </c>
      <c r="Q271" s="4" t="s">
        <v>49</v>
      </c>
      <c r="R271" s="4" t="s">
        <v>717</v>
      </c>
      <c r="S271" s="12" t="s">
        <v>718</v>
      </c>
    </row>
  </sheetData>
  <autoFilter ref="A1:S2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11" min="7" style="0" width="11"/>
    <col collapsed="false" customWidth="true" hidden="false" outlineLevel="0" max="12" min="12" style="0" width="8"/>
    <col collapsed="false" customWidth="true" hidden="false" outlineLevel="0" max="14" min="13" style="0" width="9"/>
    <col collapsed="false" customWidth="true" hidden="false" outlineLevel="0" max="15" min="15" style="0" width="55"/>
    <col collapsed="false" customWidth="true" hidden="false" outlineLevel="0" max="16" min="16" style="0" width="40"/>
  </cols>
  <sheetData>
    <row r="1" customFormat="false" ht="46.25" hidden="false" customHeight="false" outlineLevel="0" collapsed="false">
      <c r="A1" s="3" t="s">
        <v>40</v>
      </c>
      <c r="B1" s="3" t="s">
        <v>25</v>
      </c>
      <c r="C1" s="3" t="s">
        <v>26</v>
      </c>
      <c r="D1" s="3" t="s">
        <v>27</v>
      </c>
      <c r="E1" s="3" t="s">
        <v>719</v>
      </c>
      <c r="F1" s="3" t="s">
        <v>720</v>
      </c>
      <c r="G1" s="3" t="s">
        <v>721</v>
      </c>
      <c r="H1" s="3" t="s">
        <v>722</v>
      </c>
      <c r="I1" s="3" t="s">
        <v>723</v>
      </c>
      <c r="J1" s="3" t="s">
        <v>724</v>
      </c>
      <c r="K1" s="3" t="s">
        <v>725</v>
      </c>
      <c r="L1" s="3" t="s">
        <v>726</v>
      </c>
      <c r="M1" s="3" t="s">
        <v>727</v>
      </c>
      <c r="N1" s="3" t="s">
        <v>728</v>
      </c>
      <c r="O1" s="3" t="s">
        <v>39</v>
      </c>
      <c r="P1" s="3" t="s">
        <v>729</v>
      </c>
    </row>
    <row r="2" customFormat="false" ht="15" hidden="false" customHeight="false" outlineLevel="0" collapsed="false">
      <c r="A2" s="4" t="s">
        <v>286</v>
      </c>
      <c r="B2" s="4" t="s">
        <v>42</v>
      </c>
      <c r="C2" s="4" t="s">
        <v>134</v>
      </c>
      <c r="D2" s="4" t="s">
        <v>279</v>
      </c>
      <c r="E2" s="4" t="s">
        <v>730</v>
      </c>
      <c r="F2" s="4" t="s">
        <v>731</v>
      </c>
      <c r="G2" s="9" t="n">
        <v>90</v>
      </c>
      <c r="H2" s="9" t="n">
        <v>0</v>
      </c>
      <c r="I2" s="4" t="n">
        <f aca="false">SUMIFS(Bouches!$M$2:$M$271,Bouches!$S$2:$S$271,A2,Bouches!$C$2:$C$271,"Soufflage")</f>
        <v>90</v>
      </c>
      <c r="J2" s="4" t="n">
        <f aca="false">SUMIFS(Bouches!$M$2:$M$271,Bouches!$S$2:$S$271,A2,Bouches!$C$2:$C$271,"Reprise")</f>
        <v>0</v>
      </c>
      <c r="K2" s="4" t="n">
        <f aca="false">SUMIFS(Bouches!$M$2:$M$271,Bouches!$S$2:$S$271,A2,Bouches!$C$2:$C$271,"Extraction")</f>
        <v>0</v>
      </c>
      <c r="L2" s="4" t="n">
        <v>1</v>
      </c>
      <c r="M2" s="4" t="n">
        <v>1</v>
      </c>
      <c r="N2" s="4" t="str">
        <f aca="false">IF(AND(OR(G2&lt;Hypothèses!$B$6,ABS(I2-G2)&lt;=2),ABS(K2-H2)&lt;=2),"oui","NON")</f>
        <v>oui</v>
      </c>
      <c r="O2" s="4"/>
      <c r="P2" s="4" t="s">
        <v>285</v>
      </c>
    </row>
    <row r="3" customFormat="false" ht="15" hidden="false" customHeight="false" outlineLevel="0" collapsed="false">
      <c r="A3" s="4" t="s">
        <v>280</v>
      </c>
      <c r="B3" s="4" t="s">
        <v>42</v>
      </c>
      <c r="C3" s="4" t="s">
        <v>134</v>
      </c>
      <c r="D3" s="4" t="s">
        <v>279</v>
      </c>
      <c r="E3" s="4" t="s">
        <v>730</v>
      </c>
      <c r="F3" s="4" t="s">
        <v>731</v>
      </c>
      <c r="G3" s="9" t="n">
        <v>90</v>
      </c>
      <c r="H3" s="9" t="n">
        <v>0</v>
      </c>
      <c r="I3" s="4" t="n">
        <f aca="false">SUMIFS(Bouches!$M$2:$M$271,Bouches!$S$2:$S$271,A3,Bouches!$C$2:$C$271,"Soufflage")</f>
        <v>90</v>
      </c>
      <c r="J3" s="4" t="n">
        <f aca="false">SUMIFS(Bouches!$M$2:$M$271,Bouches!$S$2:$S$271,A3,Bouches!$C$2:$C$271,"Reprise")</f>
        <v>0</v>
      </c>
      <c r="K3" s="4" t="n">
        <f aca="false">SUMIFS(Bouches!$M$2:$M$271,Bouches!$S$2:$S$271,A3,Bouches!$C$2:$C$271,"Extraction")</f>
        <v>0</v>
      </c>
      <c r="L3" s="4" t="n">
        <v>1</v>
      </c>
      <c r="M3" s="4" t="n">
        <v>1</v>
      </c>
      <c r="N3" s="4" t="str">
        <f aca="false">IF(AND(OR(G3&lt;Hypothèses!$B$6,ABS(I3-G3)&lt;=2),ABS(K3-H3)&lt;=2),"oui","NON")</f>
        <v>oui</v>
      </c>
      <c r="O3" s="4"/>
      <c r="P3" s="4" t="s">
        <v>278</v>
      </c>
    </row>
    <row r="4" customFormat="false" ht="15" hidden="false" customHeight="false" outlineLevel="0" collapsed="false">
      <c r="A4" s="4" t="s">
        <v>282</v>
      </c>
      <c r="B4" s="4" t="s">
        <v>42</v>
      </c>
      <c r="C4" s="4" t="s">
        <v>134</v>
      </c>
      <c r="D4" s="4" t="s">
        <v>279</v>
      </c>
      <c r="E4" s="4" t="s">
        <v>730</v>
      </c>
      <c r="F4" s="4" t="s">
        <v>731</v>
      </c>
      <c r="G4" s="9" t="n">
        <v>90</v>
      </c>
      <c r="H4" s="9" t="n">
        <v>0</v>
      </c>
      <c r="I4" s="4" t="n">
        <f aca="false">SUMIFS(Bouches!$M$2:$M$271,Bouches!$S$2:$S$271,A4,Bouches!$C$2:$C$271,"Soufflage")</f>
        <v>90</v>
      </c>
      <c r="J4" s="4" t="n">
        <f aca="false">SUMIFS(Bouches!$M$2:$M$271,Bouches!$S$2:$S$271,A4,Bouches!$C$2:$C$271,"Reprise")</f>
        <v>0</v>
      </c>
      <c r="K4" s="4" t="n">
        <f aca="false">SUMIFS(Bouches!$M$2:$M$271,Bouches!$S$2:$S$271,A4,Bouches!$C$2:$C$271,"Extraction")</f>
        <v>0</v>
      </c>
      <c r="L4" s="4" t="n">
        <v>1</v>
      </c>
      <c r="M4" s="4" t="n">
        <v>1</v>
      </c>
      <c r="N4" s="4" t="str">
        <f aca="false">IF(AND(OR(G4&lt;Hypothèses!$B$6,ABS(I4-G4)&lt;=2),ABS(K4-H4)&lt;=2),"oui","NON")</f>
        <v>oui</v>
      </c>
      <c r="O4" s="4"/>
      <c r="P4" s="4" t="s">
        <v>281</v>
      </c>
    </row>
    <row r="5" customFormat="false" ht="15" hidden="false" customHeight="false" outlineLevel="0" collapsed="false">
      <c r="A5" s="4" t="s">
        <v>284</v>
      </c>
      <c r="B5" s="4" t="s">
        <v>42</v>
      </c>
      <c r="C5" s="4" t="s">
        <v>134</v>
      </c>
      <c r="D5" s="4" t="s">
        <v>279</v>
      </c>
      <c r="E5" s="4" t="s">
        <v>730</v>
      </c>
      <c r="F5" s="4" t="s">
        <v>731</v>
      </c>
      <c r="G5" s="9" t="n">
        <v>90</v>
      </c>
      <c r="H5" s="9" t="n">
        <v>0</v>
      </c>
      <c r="I5" s="4" t="n">
        <f aca="false">SUMIFS(Bouches!$M$2:$M$271,Bouches!$S$2:$S$271,A5,Bouches!$C$2:$C$271,"Soufflage")</f>
        <v>90</v>
      </c>
      <c r="J5" s="4" t="n">
        <f aca="false">SUMIFS(Bouches!$M$2:$M$271,Bouches!$S$2:$S$271,A5,Bouches!$C$2:$C$271,"Reprise")</f>
        <v>0</v>
      </c>
      <c r="K5" s="4" t="n">
        <f aca="false">SUMIFS(Bouches!$M$2:$M$271,Bouches!$S$2:$S$271,A5,Bouches!$C$2:$C$271,"Extraction")</f>
        <v>0</v>
      </c>
      <c r="L5" s="4" t="n">
        <v>1</v>
      </c>
      <c r="M5" s="4" t="n">
        <v>1</v>
      </c>
      <c r="N5" s="4" t="str">
        <f aca="false">IF(AND(OR(G5&lt;Hypothèses!$B$6,ABS(I5-G5)&lt;=2),ABS(K5-H5)&lt;=2),"oui","NON")</f>
        <v>oui</v>
      </c>
      <c r="O5" s="4"/>
      <c r="P5" s="4" t="s">
        <v>283</v>
      </c>
    </row>
    <row r="6" customFormat="false" ht="15" hidden="false" customHeight="false" outlineLevel="0" collapsed="false">
      <c r="A6" s="4" t="s">
        <v>139</v>
      </c>
      <c r="B6" s="4" t="s">
        <v>42</v>
      </c>
      <c r="C6" s="4" t="s">
        <v>134</v>
      </c>
      <c r="D6" s="4" t="s">
        <v>135</v>
      </c>
      <c r="E6" s="4" t="s">
        <v>730</v>
      </c>
      <c r="F6" s="4" t="s">
        <v>731</v>
      </c>
      <c r="G6" s="9" t="n">
        <v>90</v>
      </c>
      <c r="H6" s="9" t="n">
        <v>0</v>
      </c>
      <c r="I6" s="4" t="n">
        <f aca="false">SUMIFS(Bouches!$M$2:$M$271,Bouches!$S$2:$S$271,A6,Bouches!$C$2:$C$271,"Soufflage")</f>
        <v>90</v>
      </c>
      <c r="J6" s="4" t="n">
        <f aca="false">SUMIFS(Bouches!$M$2:$M$271,Bouches!$S$2:$S$271,A6,Bouches!$C$2:$C$271,"Reprise")</f>
        <v>0</v>
      </c>
      <c r="K6" s="4" t="n">
        <f aca="false">SUMIFS(Bouches!$M$2:$M$271,Bouches!$S$2:$S$271,A6,Bouches!$C$2:$C$271,"Extraction")</f>
        <v>0</v>
      </c>
      <c r="L6" s="4" t="n">
        <v>1</v>
      </c>
      <c r="M6" s="4" t="n">
        <v>1</v>
      </c>
      <c r="N6" s="4" t="str">
        <f aca="false">IF(AND(OR(G6&lt;Hypothèses!$B$6,ABS(I6-G6)&lt;=2),ABS(K6-H6)&lt;=2),"oui","NON")</f>
        <v>oui</v>
      </c>
      <c r="O6" s="4"/>
      <c r="P6" s="4" t="s">
        <v>133</v>
      </c>
    </row>
    <row r="7" customFormat="false" ht="15" hidden="false" customHeight="false" outlineLevel="0" collapsed="false">
      <c r="A7" s="4" t="s">
        <v>141</v>
      </c>
      <c r="B7" s="4" t="s">
        <v>42</v>
      </c>
      <c r="C7" s="4" t="s">
        <v>134</v>
      </c>
      <c r="D7" s="4" t="s">
        <v>135</v>
      </c>
      <c r="E7" s="4" t="s">
        <v>730</v>
      </c>
      <c r="F7" s="4" t="s">
        <v>731</v>
      </c>
      <c r="G7" s="9" t="n">
        <v>90</v>
      </c>
      <c r="H7" s="9" t="n">
        <v>0</v>
      </c>
      <c r="I7" s="4" t="n">
        <f aca="false">SUMIFS(Bouches!$M$2:$M$271,Bouches!$S$2:$S$271,A7,Bouches!$C$2:$C$271,"Soufflage")</f>
        <v>90</v>
      </c>
      <c r="J7" s="4" t="n">
        <f aca="false">SUMIFS(Bouches!$M$2:$M$271,Bouches!$S$2:$S$271,A7,Bouches!$C$2:$C$271,"Reprise")</f>
        <v>0</v>
      </c>
      <c r="K7" s="4" t="n">
        <f aca="false">SUMIFS(Bouches!$M$2:$M$271,Bouches!$S$2:$S$271,A7,Bouches!$C$2:$C$271,"Extraction")</f>
        <v>0</v>
      </c>
      <c r="L7" s="4" t="n">
        <v>1</v>
      </c>
      <c r="M7" s="4" t="n">
        <v>1</v>
      </c>
      <c r="N7" s="4" t="str">
        <f aca="false">IF(AND(OR(G7&lt;Hypothèses!$B$6,ABS(I7-G7)&lt;=2),ABS(K7-H7)&lt;=2),"oui","NON")</f>
        <v>oui</v>
      </c>
      <c r="O7" s="4"/>
      <c r="P7" s="4" t="s">
        <v>140</v>
      </c>
    </row>
    <row r="8" customFormat="false" ht="15" hidden="false" customHeight="false" outlineLevel="0" collapsed="false">
      <c r="A8" s="4" t="s">
        <v>288</v>
      </c>
      <c r="B8" s="4" t="s">
        <v>42</v>
      </c>
      <c r="C8" s="4" t="s">
        <v>134</v>
      </c>
      <c r="D8" s="4" t="s">
        <v>135</v>
      </c>
      <c r="E8" s="4" t="s">
        <v>730</v>
      </c>
      <c r="F8" s="4" t="s">
        <v>731</v>
      </c>
      <c r="G8" s="9" t="n">
        <v>90</v>
      </c>
      <c r="H8" s="9" t="n">
        <v>0</v>
      </c>
      <c r="I8" s="4" t="n">
        <f aca="false">SUMIFS(Bouches!$M$2:$M$271,Bouches!$S$2:$S$271,A8,Bouches!$C$2:$C$271,"Soufflage")</f>
        <v>90</v>
      </c>
      <c r="J8" s="4" t="n">
        <f aca="false">SUMIFS(Bouches!$M$2:$M$271,Bouches!$S$2:$S$271,A8,Bouches!$C$2:$C$271,"Reprise")</f>
        <v>0</v>
      </c>
      <c r="K8" s="4" t="n">
        <f aca="false">SUMIFS(Bouches!$M$2:$M$271,Bouches!$S$2:$S$271,A8,Bouches!$C$2:$C$271,"Extraction")</f>
        <v>0</v>
      </c>
      <c r="L8" s="4" t="n">
        <v>1</v>
      </c>
      <c r="M8" s="4" t="n">
        <v>1</v>
      </c>
      <c r="N8" s="4" t="str">
        <f aca="false">IF(AND(OR(G8&lt;Hypothèses!$B$6,ABS(I8-G8)&lt;=2),ABS(K8-H8)&lt;=2),"oui","NON")</f>
        <v>oui</v>
      </c>
      <c r="O8" s="4"/>
      <c r="P8" s="4" t="s">
        <v>287</v>
      </c>
    </row>
    <row r="9" customFormat="false" ht="15" hidden="false" customHeight="false" outlineLevel="0" collapsed="false">
      <c r="A9" s="4" t="s">
        <v>290</v>
      </c>
      <c r="B9" s="4" t="s">
        <v>42</v>
      </c>
      <c r="C9" s="4" t="s">
        <v>134</v>
      </c>
      <c r="D9" s="4" t="s">
        <v>135</v>
      </c>
      <c r="E9" s="4" t="s">
        <v>730</v>
      </c>
      <c r="F9" s="4" t="s">
        <v>731</v>
      </c>
      <c r="G9" s="9" t="n">
        <v>90</v>
      </c>
      <c r="H9" s="9" t="n">
        <v>0</v>
      </c>
      <c r="I9" s="4" t="n">
        <f aca="false">SUMIFS(Bouches!$M$2:$M$271,Bouches!$S$2:$S$271,A9,Bouches!$C$2:$C$271,"Soufflage")</f>
        <v>90</v>
      </c>
      <c r="J9" s="4" t="n">
        <f aca="false">SUMIFS(Bouches!$M$2:$M$271,Bouches!$S$2:$S$271,A9,Bouches!$C$2:$C$271,"Reprise")</f>
        <v>0</v>
      </c>
      <c r="K9" s="4" t="n">
        <f aca="false">SUMIFS(Bouches!$M$2:$M$271,Bouches!$S$2:$S$271,A9,Bouches!$C$2:$C$271,"Extraction")</f>
        <v>0</v>
      </c>
      <c r="L9" s="4" t="n">
        <v>1</v>
      </c>
      <c r="M9" s="4" t="n">
        <v>1</v>
      </c>
      <c r="N9" s="4" t="str">
        <f aca="false">IF(AND(OR(G9&lt;Hypothèses!$B$6,ABS(I9-G9)&lt;=2),ABS(K9-H9)&lt;=2),"oui","NON")</f>
        <v>oui</v>
      </c>
      <c r="O9" s="4"/>
      <c r="P9" s="4" t="s">
        <v>289</v>
      </c>
    </row>
    <row r="10" customFormat="false" ht="15" hidden="false" customHeight="false" outlineLevel="0" collapsed="false">
      <c r="A10" s="4" t="s">
        <v>292</v>
      </c>
      <c r="B10" s="4" t="s">
        <v>42</v>
      </c>
      <c r="C10" s="4" t="s">
        <v>134</v>
      </c>
      <c r="D10" s="4" t="s">
        <v>135</v>
      </c>
      <c r="E10" s="4" t="s">
        <v>730</v>
      </c>
      <c r="F10" s="4" t="s">
        <v>731</v>
      </c>
      <c r="G10" s="9" t="n">
        <v>90</v>
      </c>
      <c r="H10" s="9" t="n">
        <v>0</v>
      </c>
      <c r="I10" s="4" t="n">
        <f aca="false">SUMIFS(Bouches!$M$2:$M$271,Bouches!$S$2:$S$271,A10,Bouches!$C$2:$C$271,"Soufflage")</f>
        <v>90</v>
      </c>
      <c r="J10" s="4" t="n">
        <f aca="false">SUMIFS(Bouches!$M$2:$M$271,Bouches!$S$2:$S$271,A10,Bouches!$C$2:$C$271,"Reprise")</f>
        <v>0</v>
      </c>
      <c r="K10" s="4" t="n">
        <f aca="false">SUMIFS(Bouches!$M$2:$M$271,Bouches!$S$2:$S$271,A10,Bouches!$C$2:$C$271,"Extraction")</f>
        <v>0</v>
      </c>
      <c r="L10" s="4" t="n">
        <v>1</v>
      </c>
      <c r="M10" s="4" t="n">
        <v>1</v>
      </c>
      <c r="N10" s="4" t="str">
        <f aca="false">IF(AND(OR(G10&lt;Hypothèses!$B$6,ABS(I10-G10)&lt;=2),ABS(K10-H10)&lt;=2),"oui","NON")</f>
        <v>oui</v>
      </c>
      <c r="O10" s="4"/>
      <c r="P10" s="4" t="s">
        <v>291</v>
      </c>
    </row>
    <row r="11" customFormat="false" ht="15" hidden="false" customHeight="false" outlineLevel="0" collapsed="false">
      <c r="A11" s="4" t="s">
        <v>294</v>
      </c>
      <c r="B11" s="4" t="s">
        <v>42</v>
      </c>
      <c r="C11" s="4" t="s">
        <v>134</v>
      </c>
      <c r="D11" s="4" t="s">
        <v>135</v>
      </c>
      <c r="E11" s="4" t="s">
        <v>730</v>
      </c>
      <c r="F11" s="4" t="s">
        <v>731</v>
      </c>
      <c r="G11" s="9" t="n">
        <v>90</v>
      </c>
      <c r="H11" s="9" t="n">
        <v>0</v>
      </c>
      <c r="I11" s="4" t="n">
        <f aca="false">SUMIFS(Bouches!$M$2:$M$271,Bouches!$S$2:$S$271,A11,Bouches!$C$2:$C$271,"Soufflage")</f>
        <v>90</v>
      </c>
      <c r="J11" s="4" t="n">
        <f aca="false">SUMIFS(Bouches!$M$2:$M$271,Bouches!$S$2:$S$271,A11,Bouches!$C$2:$C$271,"Reprise")</f>
        <v>0</v>
      </c>
      <c r="K11" s="4" t="n">
        <f aca="false">SUMIFS(Bouches!$M$2:$M$271,Bouches!$S$2:$S$271,A11,Bouches!$C$2:$C$271,"Extraction")</f>
        <v>0</v>
      </c>
      <c r="L11" s="4" t="n">
        <v>1</v>
      </c>
      <c r="M11" s="4" t="n">
        <v>1</v>
      </c>
      <c r="N11" s="4" t="str">
        <f aca="false">IF(AND(OR(G11&lt;Hypothèses!$B$6,ABS(I11-G11)&lt;=2),ABS(K11-H11)&lt;=2),"oui","NON")</f>
        <v>oui</v>
      </c>
      <c r="O11" s="4"/>
      <c r="P11" s="4" t="s">
        <v>293</v>
      </c>
    </row>
    <row r="12" customFormat="false" ht="15" hidden="false" customHeight="false" outlineLevel="0" collapsed="false">
      <c r="A12" s="4" t="s">
        <v>156</v>
      </c>
      <c r="B12" s="4" t="s">
        <v>42</v>
      </c>
      <c r="C12" s="4" t="s">
        <v>134</v>
      </c>
      <c r="D12" s="4" t="s">
        <v>143</v>
      </c>
      <c r="E12" s="4" t="s">
        <v>730</v>
      </c>
      <c r="F12" s="4" t="s">
        <v>731</v>
      </c>
      <c r="G12" s="9" t="n">
        <v>90</v>
      </c>
      <c r="H12" s="9" t="n">
        <v>0</v>
      </c>
      <c r="I12" s="4" t="n">
        <f aca="false">SUMIFS(Bouches!$M$2:$M$271,Bouches!$S$2:$S$271,A12,Bouches!$C$2:$C$271,"Soufflage")</f>
        <v>90</v>
      </c>
      <c r="J12" s="4" t="n">
        <f aca="false">SUMIFS(Bouches!$M$2:$M$271,Bouches!$S$2:$S$271,A12,Bouches!$C$2:$C$271,"Reprise")</f>
        <v>0</v>
      </c>
      <c r="K12" s="4" t="n">
        <f aca="false">SUMIFS(Bouches!$M$2:$M$271,Bouches!$S$2:$S$271,A12,Bouches!$C$2:$C$271,"Extraction")</f>
        <v>0</v>
      </c>
      <c r="L12" s="4" t="n">
        <v>1</v>
      </c>
      <c r="M12" s="4" t="n">
        <v>1</v>
      </c>
      <c r="N12" s="4" t="str">
        <f aca="false">IF(AND(OR(G12&lt;Hypothèses!$B$6,ABS(I12-G12)&lt;=2),ABS(K12-H12)&lt;=2),"oui","NON")</f>
        <v>oui</v>
      </c>
      <c r="O12" s="4"/>
      <c r="P12" s="4" t="s">
        <v>155</v>
      </c>
    </row>
    <row r="13" customFormat="false" ht="15" hidden="false" customHeight="false" outlineLevel="0" collapsed="false">
      <c r="A13" s="4" t="s">
        <v>144</v>
      </c>
      <c r="B13" s="4" t="s">
        <v>42</v>
      </c>
      <c r="C13" s="4" t="s">
        <v>134</v>
      </c>
      <c r="D13" s="4" t="s">
        <v>143</v>
      </c>
      <c r="E13" s="4" t="s">
        <v>730</v>
      </c>
      <c r="F13" s="4" t="s">
        <v>731</v>
      </c>
      <c r="G13" s="9" t="n">
        <v>90</v>
      </c>
      <c r="H13" s="9" t="n">
        <v>0</v>
      </c>
      <c r="I13" s="4" t="n">
        <f aca="false">SUMIFS(Bouches!$M$2:$M$271,Bouches!$S$2:$S$271,A13,Bouches!$C$2:$C$271,"Soufflage")</f>
        <v>90</v>
      </c>
      <c r="J13" s="4" t="n">
        <f aca="false">SUMIFS(Bouches!$M$2:$M$271,Bouches!$S$2:$S$271,A13,Bouches!$C$2:$C$271,"Reprise")</f>
        <v>0</v>
      </c>
      <c r="K13" s="4" t="n">
        <f aca="false">SUMIFS(Bouches!$M$2:$M$271,Bouches!$S$2:$S$271,A13,Bouches!$C$2:$C$271,"Extraction")</f>
        <v>0</v>
      </c>
      <c r="L13" s="4" t="n">
        <v>1</v>
      </c>
      <c r="M13" s="4" t="n">
        <v>1</v>
      </c>
      <c r="N13" s="4" t="str">
        <f aca="false">IF(AND(OR(G13&lt;Hypothèses!$B$6,ABS(I13-G13)&lt;=2),ABS(K13-H13)&lt;=2),"oui","NON")</f>
        <v>oui</v>
      </c>
      <c r="O13" s="4"/>
      <c r="P13" s="4" t="s">
        <v>142</v>
      </c>
    </row>
    <row r="14" customFormat="false" ht="15" hidden="false" customHeight="false" outlineLevel="0" collapsed="false">
      <c r="A14" s="4" t="s">
        <v>148</v>
      </c>
      <c r="B14" s="4" t="s">
        <v>42</v>
      </c>
      <c r="C14" s="4" t="s">
        <v>134</v>
      </c>
      <c r="D14" s="4" t="s">
        <v>143</v>
      </c>
      <c r="E14" s="4" t="s">
        <v>730</v>
      </c>
      <c r="F14" s="4" t="s">
        <v>731</v>
      </c>
      <c r="G14" s="9" t="n">
        <v>90</v>
      </c>
      <c r="H14" s="9" t="n">
        <v>0</v>
      </c>
      <c r="I14" s="4" t="n">
        <f aca="false">SUMIFS(Bouches!$M$2:$M$271,Bouches!$S$2:$S$271,A14,Bouches!$C$2:$C$271,"Soufflage")</f>
        <v>90</v>
      </c>
      <c r="J14" s="4" t="n">
        <f aca="false">SUMIFS(Bouches!$M$2:$M$271,Bouches!$S$2:$S$271,A14,Bouches!$C$2:$C$271,"Reprise")</f>
        <v>0</v>
      </c>
      <c r="K14" s="4" t="n">
        <f aca="false">SUMIFS(Bouches!$M$2:$M$271,Bouches!$S$2:$S$271,A14,Bouches!$C$2:$C$271,"Extraction")</f>
        <v>0</v>
      </c>
      <c r="L14" s="4" t="n">
        <v>1</v>
      </c>
      <c r="M14" s="4" t="n">
        <v>1</v>
      </c>
      <c r="N14" s="4" t="str">
        <f aca="false">IF(AND(OR(G14&lt;Hypothèses!$B$6,ABS(I14-G14)&lt;=2),ABS(K14-H14)&lt;=2),"oui","NON")</f>
        <v>oui</v>
      </c>
      <c r="O14" s="4"/>
      <c r="P14" s="4" t="s">
        <v>147</v>
      </c>
    </row>
    <row r="15" customFormat="false" ht="15" hidden="false" customHeight="false" outlineLevel="0" collapsed="false">
      <c r="A15" s="4" t="s">
        <v>164</v>
      </c>
      <c r="B15" s="4" t="s">
        <v>42</v>
      </c>
      <c r="C15" s="4" t="s">
        <v>134</v>
      </c>
      <c r="D15" s="4" t="s">
        <v>143</v>
      </c>
      <c r="E15" s="4" t="s">
        <v>730</v>
      </c>
      <c r="F15" s="4" t="s">
        <v>731</v>
      </c>
      <c r="G15" s="9" t="n">
        <v>90</v>
      </c>
      <c r="H15" s="9" t="n">
        <v>0</v>
      </c>
      <c r="I15" s="4" t="n">
        <f aca="false">SUMIFS(Bouches!$M$2:$M$271,Bouches!$S$2:$S$271,A15,Bouches!$C$2:$C$271,"Soufflage")</f>
        <v>90</v>
      </c>
      <c r="J15" s="4" t="n">
        <f aca="false">SUMIFS(Bouches!$M$2:$M$271,Bouches!$S$2:$S$271,A15,Bouches!$C$2:$C$271,"Reprise")</f>
        <v>0</v>
      </c>
      <c r="K15" s="4" t="n">
        <f aca="false">SUMIFS(Bouches!$M$2:$M$271,Bouches!$S$2:$S$271,A15,Bouches!$C$2:$C$271,"Extraction")</f>
        <v>0</v>
      </c>
      <c r="L15" s="4" t="n">
        <v>1</v>
      </c>
      <c r="M15" s="4" t="n">
        <v>1</v>
      </c>
      <c r="N15" s="4" t="str">
        <f aca="false">IF(AND(OR(G15&lt;Hypothèses!$B$6,ABS(I15-G15)&lt;=2),ABS(K15-H15)&lt;=2),"oui","NON")</f>
        <v>oui</v>
      </c>
      <c r="O15" s="4"/>
      <c r="P15" s="4" t="s">
        <v>163</v>
      </c>
    </row>
    <row r="16" customFormat="false" ht="15" hidden="false" customHeight="false" outlineLevel="0" collapsed="false">
      <c r="A16" s="4" t="s">
        <v>162</v>
      </c>
      <c r="B16" s="4" t="s">
        <v>42</v>
      </c>
      <c r="C16" s="4" t="s">
        <v>134</v>
      </c>
      <c r="D16" s="4" t="s">
        <v>143</v>
      </c>
      <c r="E16" s="4" t="s">
        <v>730</v>
      </c>
      <c r="F16" s="4" t="s">
        <v>731</v>
      </c>
      <c r="G16" s="9" t="n">
        <v>90</v>
      </c>
      <c r="H16" s="9" t="n">
        <v>0</v>
      </c>
      <c r="I16" s="4" t="n">
        <f aca="false">SUMIFS(Bouches!$M$2:$M$271,Bouches!$S$2:$S$271,A16,Bouches!$C$2:$C$271,"Soufflage")</f>
        <v>90</v>
      </c>
      <c r="J16" s="4" t="n">
        <f aca="false">SUMIFS(Bouches!$M$2:$M$271,Bouches!$S$2:$S$271,A16,Bouches!$C$2:$C$271,"Reprise")</f>
        <v>0</v>
      </c>
      <c r="K16" s="4" t="n">
        <f aca="false">SUMIFS(Bouches!$M$2:$M$271,Bouches!$S$2:$S$271,A16,Bouches!$C$2:$C$271,"Extraction")</f>
        <v>0</v>
      </c>
      <c r="L16" s="4" t="n">
        <v>1</v>
      </c>
      <c r="M16" s="4" t="n">
        <v>1</v>
      </c>
      <c r="N16" s="4" t="str">
        <f aca="false">IF(AND(OR(G16&lt;Hypothèses!$B$6,ABS(I16-G16)&lt;=2),ABS(K16-H16)&lt;=2),"oui","NON")</f>
        <v>oui</v>
      </c>
      <c r="O16" s="4"/>
      <c r="P16" s="4" t="s">
        <v>161</v>
      </c>
    </row>
    <row r="17" customFormat="false" ht="15" hidden="false" customHeight="false" outlineLevel="0" collapsed="false">
      <c r="A17" s="4" t="s">
        <v>146</v>
      </c>
      <c r="B17" s="4" t="s">
        <v>42</v>
      </c>
      <c r="C17" s="4" t="s">
        <v>134</v>
      </c>
      <c r="D17" s="4" t="s">
        <v>143</v>
      </c>
      <c r="E17" s="4" t="s">
        <v>730</v>
      </c>
      <c r="F17" s="4" t="s">
        <v>731</v>
      </c>
      <c r="G17" s="9" t="n">
        <v>90</v>
      </c>
      <c r="H17" s="9" t="n">
        <v>0</v>
      </c>
      <c r="I17" s="4" t="n">
        <f aca="false">SUMIFS(Bouches!$M$2:$M$271,Bouches!$S$2:$S$271,A17,Bouches!$C$2:$C$271,"Soufflage")</f>
        <v>90</v>
      </c>
      <c r="J17" s="4" t="n">
        <f aca="false">SUMIFS(Bouches!$M$2:$M$271,Bouches!$S$2:$S$271,A17,Bouches!$C$2:$C$271,"Reprise")</f>
        <v>0</v>
      </c>
      <c r="K17" s="4" t="n">
        <f aca="false">SUMIFS(Bouches!$M$2:$M$271,Bouches!$S$2:$S$271,A17,Bouches!$C$2:$C$271,"Extraction")</f>
        <v>0</v>
      </c>
      <c r="L17" s="4" t="n">
        <v>1</v>
      </c>
      <c r="M17" s="4" t="n">
        <v>1</v>
      </c>
      <c r="N17" s="4" t="str">
        <f aca="false">IF(AND(OR(G17&lt;Hypothèses!$B$6,ABS(I17-G17)&lt;=2),ABS(K17-H17)&lt;=2),"oui","NON")</f>
        <v>oui</v>
      </c>
      <c r="O17" s="4"/>
      <c r="P17" s="4" t="s">
        <v>145</v>
      </c>
    </row>
    <row r="18" customFormat="false" ht="15" hidden="false" customHeight="false" outlineLevel="0" collapsed="false">
      <c r="A18" s="4" t="s">
        <v>158</v>
      </c>
      <c r="B18" s="4" t="s">
        <v>42</v>
      </c>
      <c r="C18" s="4" t="s">
        <v>134</v>
      </c>
      <c r="D18" s="4" t="s">
        <v>143</v>
      </c>
      <c r="E18" s="4" t="s">
        <v>730</v>
      </c>
      <c r="F18" s="4" t="s">
        <v>731</v>
      </c>
      <c r="G18" s="9" t="n">
        <v>90</v>
      </c>
      <c r="H18" s="9" t="n">
        <v>0</v>
      </c>
      <c r="I18" s="4" t="n">
        <f aca="false">SUMIFS(Bouches!$M$2:$M$271,Bouches!$S$2:$S$271,A18,Bouches!$C$2:$C$271,"Soufflage")</f>
        <v>90</v>
      </c>
      <c r="J18" s="4" t="n">
        <f aca="false">SUMIFS(Bouches!$M$2:$M$271,Bouches!$S$2:$S$271,A18,Bouches!$C$2:$C$271,"Reprise")</f>
        <v>0</v>
      </c>
      <c r="K18" s="4" t="n">
        <f aca="false">SUMIFS(Bouches!$M$2:$M$271,Bouches!$S$2:$S$271,A18,Bouches!$C$2:$C$271,"Extraction")</f>
        <v>0</v>
      </c>
      <c r="L18" s="4" t="n">
        <v>1</v>
      </c>
      <c r="M18" s="4" t="n">
        <v>1</v>
      </c>
      <c r="N18" s="4" t="str">
        <f aca="false">IF(AND(OR(G18&lt;Hypothèses!$B$6,ABS(I18-G18)&lt;=2),ABS(K18-H18)&lt;=2),"oui","NON")</f>
        <v>oui</v>
      </c>
      <c r="O18" s="4"/>
      <c r="P18" s="4" t="s">
        <v>157</v>
      </c>
    </row>
    <row r="19" customFormat="false" ht="15" hidden="false" customHeight="false" outlineLevel="0" collapsed="false">
      <c r="A19" s="4" t="s">
        <v>160</v>
      </c>
      <c r="B19" s="4" t="s">
        <v>42</v>
      </c>
      <c r="C19" s="4" t="s">
        <v>134</v>
      </c>
      <c r="D19" s="4" t="s">
        <v>143</v>
      </c>
      <c r="E19" s="4" t="s">
        <v>730</v>
      </c>
      <c r="F19" s="4" t="s">
        <v>731</v>
      </c>
      <c r="G19" s="9" t="n">
        <v>90</v>
      </c>
      <c r="H19" s="9" t="n">
        <v>0</v>
      </c>
      <c r="I19" s="4" t="n">
        <f aca="false">SUMIFS(Bouches!$M$2:$M$271,Bouches!$S$2:$S$271,A19,Bouches!$C$2:$C$271,"Soufflage")</f>
        <v>90</v>
      </c>
      <c r="J19" s="4" t="n">
        <f aca="false">SUMIFS(Bouches!$M$2:$M$271,Bouches!$S$2:$S$271,A19,Bouches!$C$2:$C$271,"Reprise")</f>
        <v>0</v>
      </c>
      <c r="K19" s="4" t="n">
        <f aca="false">SUMIFS(Bouches!$M$2:$M$271,Bouches!$S$2:$S$271,A19,Bouches!$C$2:$C$271,"Extraction")</f>
        <v>0</v>
      </c>
      <c r="L19" s="4" t="n">
        <v>1</v>
      </c>
      <c r="M19" s="4" t="n">
        <v>1</v>
      </c>
      <c r="N19" s="4" t="str">
        <f aca="false">IF(AND(OR(G19&lt;Hypothèses!$B$6,ABS(I19-G19)&lt;=2),ABS(K19-H19)&lt;=2),"oui","NON")</f>
        <v>oui</v>
      </c>
      <c r="O19" s="4"/>
      <c r="P19" s="4" t="s">
        <v>159</v>
      </c>
    </row>
    <row r="20" customFormat="false" ht="15" hidden="false" customHeight="false" outlineLevel="0" collapsed="false">
      <c r="A20" s="4" t="s">
        <v>296</v>
      </c>
      <c r="B20" s="4" t="s">
        <v>42</v>
      </c>
      <c r="C20" s="4" t="s">
        <v>134</v>
      </c>
      <c r="D20" s="4" t="s">
        <v>143</v>
      </c>
      <c r="E20" s="4" t="s">
        <v>730</v>
      </c>
      <c r="F20" s="4" t="s">
        <v>731</v>
      </c>
      <c r="G20" s="9" t="n">
        <v>90</v>
      </c>
      <c r="H20" s="9" t="n">
        <v>0</v>
      </c>
      <c r="I20" s="4" t="n">
        <f aca="false">SUMIFS(Bouches!$M$2:$M$271,Bouches!$S$2:$S$271,A20,Bouches!$C$2:$C$271,"Soufflage")</f>
        <v>90</v>
      </c>
      <c r="J20" s="4" t="n">
        <f aca="false">SUMIFS(Bouches!$M$2:$M$271,Bouches!$S$2:$S$271,A20,Bouches!$C$2:$C$271,"Reprise")</f>
        <v>0</v>
      </c>
      <c r="K20" s="4" t="n">
        <f aca="false">SUMIFS(Bouches!$M$2:$M$271,Bouches!$S$2:$S$271,A20,Bouches!$C$2:$C$271,"Extraction")</f>
        <v>0</v>
      </c>
      <c r="L20" s="4" t="n">
        <v>1</v>
      </c>
      <c r="M20" s="4" t="n">
        <v>1</v>
      </c>
      <c r="N20" s="4" t="str">
        <f aca="false">IF(AND(OR(G20&lt;Hypothèses!$B$6,ABS(I20-G20)&lt;=2),ABS(K20-H20)&lt;=2),"oui","NON")</f>
        <v>oui</v>
      </c>
      <c r="O20" s="4"/>
      <c r="P20" s="4" t="s">
        <v>295</v>
      </c>
    </row>
    <row r="21" customFormat="false" ht="15" hidden="false" customHeight="false" outlineLevel="0" collapsed="false">
      <c r="A21" s="4" t="s">
        <v>152</v>
      </c>
      <c r="B21" s="4" t="s">
        <v>42</v>
      </c>
      <c r="C21" s="4" t="s">
        <v>134</v>
      </c>
      <c r="D21" s="4" t="s">
        <v>143</v>
      </c>
      <c r="E21" s="4" t="s">
        <v>730</v>
      </c>
      <c r="F21" s="4" t="s">
        <v>731</v>
      </c>
      <c r="G21" s="9" t="n">
        <v>90</v>
      </c>
      <c r="H21" s="9" t="n">
        <v>0</v>
      </c>
      <c r="I21" s="4" t="n">
        <f aca="false">SUMIFS(Bouches!$M$2:$M$271,Bouches!$S$2:$S$271,A21,Bouches!$C$2:$C$271,"Soufflage")</f>
        <v>90</v>
      </c>
      <c r="J21" s="4" t="n">
        <f aca="false">SUMIFS(Bouches!$M$2:$M$271,Bouches!$S$2:$S$271,A21,Bouches!$C$2:$C$271,"Reprise")</f>
        <v>0</v>
      </c>
      <c r="K21" s="4" t="n">
        <f aca="false">SUMIFS(Bouches!$M$2:$M$271,Bouches!$S$2:$S$271,A21,Bouches!$C$2:$C$271,"Extraction")</f>
        <v>0</v>
      </c>
      <c r="L21" s="4" t="n">
        <v>1</v>
      </c>
      <c r="M21" s="4" t="n">
        <v>1</v>
      </c>
      <c r="N21" s="4" t="str">
        <f aca="false">IF(AND(OR(G21&lt;Hypothèses!$B$6,ABS(I21-G21)&lt;=2),ABS(K21-H21)&lt;=2),"oui","NON")</f>
        <v>oui</v>
      </c>
      <c r="O21" s="4"/>
      <c r="P21" s="4" t="s">
        <v>151</v>
      </c>
    </row>
    <row r="22" customFormat="false" ht="15" hidden="false" customHeight="false" outlineLevel="0" collapsed="false">
      <c r="A22" s="4" t="s">
        <v>154</v>
      </c>
      <c r="B22" s="4" t="s">
        <v>42</v>
      </c>
      <c r="C22" s="4" t="s">
        <v>134</v>
      </c>
      <c r="D22" s="4" t="s">
        <v>143</v>
      </c>
      <c r="E22" s="4" t="s">
        <v>730</v>
      </c>
      <c r="F22" s="4" t="s">
        <v>731</v>
      </c>
      <c r="G22" s="9" t="n">
        <v>90</v>
      </c>
      <c r="H22" s="9" t="n">
        <v>0</v>
      </c>
      <c r="I22" s="4" t="n">
        <f aca="false">SUMIFS(Bouches!$M$2:$M$271,Bouches!$S$2:$S$271,A22,Bouches!$C$2:$C$271,"Soufflage")</f>
        <v>90</v>
      </c>
      <c r="J22" s="4" t="n">
        <f aca="false">SUMIFS(Bouches!$M$2:$M$271,Bouches!$S$2:$S$271,A22,Bouches!$C$2:$C$271,"Reprise")</f>
        <v>0</v>
      </c>
      <c r="K22" s="4" t="n">
        <f aca="false">SUMIFS(Bouches!$M$2:$M$271,Bouches!$S$2:$S$271,A22,Bouches!$C$2:$C$271,"Extraction")</f>
        <v>0</v>
      </c>
      <c r="L22" s="4" t="n">
        <v>1</v>
      </c>
      <c r="M22" s="4" t="n">
        <v>1</v>
      </c>
      <c r="N22" s="4" t="str">
        <f aca="false">IF(AND(OR(G22&lt;Hypothèses!$B$6,ABS(I22-G22)&lt;=2),ABS(K22-H22)&lt;=2),"oui","NON")</f>
        <v>oui</v>
      </c>
      <c r="O22" s="4"/>
      <c r="P22" s="4" t="s">
        <v>153</v>
      </c>
    </row>
    <row r="23" customFormat="false" ht="15" hidden="false" customHeight="false" outlineLevel="0" collapsed="false">
      <c r="A23" s="4" t="s">
        <v>166</v>
      </c>
      <c r="B23" s="4" t="s">
        <v>42</v>
      </c>
      <c r="C23" s="4" t="s">
        <v>134</v>
      </c>
      <c r="D23" s="4" t="s">
        <v>143</v>
      </c>
      <c r="E23" s="4" t="s">
        <v>730</v>
      </c>
      <c r="F23" s="4" t="s">
        <v>731</v>
      </c>
      <c r="G23" s="9" t="n">
        <v>90</v>
      </c>
      <c r="H23" s="9" t="n">
        <v>0</v>
      </c>
      <c r="I23" s="4" t="n">
        <f aca="false">SUMIFS(Bouches!$M$2:$M$271,Bouches!$S$2:$S$271,A23,Bouches!$C$2:$C$271,"Soufflage")</f>
        <v>90</v>
      </c>
      <c r="J23" s="4" t="n">
        <f aca="false">SUMIFS(Bouches!$M$2:$M$271,Bouches!$S$2:$S$271,A23,Bouches!$C$2:$C$271,"Reprise")</f>
        <v>0</v>
      </c>
      <c r="K23" s="4" t="n">
        <f aca="false">SUMIFS(Bouches!$M$2:$M$271,Bouches!$S$2:$S$271,A23,Bouches!$C$2:$C$271,"Extraction")</f>
        <v>0</v>
      </c>
      <c r="L23" s="4" t="n">
        <v>1</v>
      </c>
      <c r="M23" s="4" t="n">
        <v>1</v>
      </c>
      <c r="N23" s="4" t="str">
        <f aca="false">IF(AND(OR(G23&lt;Hypothèses!$B$6,ABS(I23-G23)&lt;=2),ABS(K23-H23)&lt;=2),"oui","NON")</f>
        <v>oui</v>
      </c>
      <c r="O23" s="4"/>
      <c r="P23" s="4" t="s">
        <v>165</v>
      </c>
    </row>
    <row r="24" customFormat="false" ht="15" hidden="false" customHeight="false" outlineLevel="0" collapsed="false">
      <c r="A24" s="4" t="s">
        <v>298</v>
      </c>
      <c r="B24" s="4" t="s">
        <v>42</v>
      </c>
      <c r="C24" s="4" t="s">
        <v>134</v>
      </c>
      <c r="D24" s="4" t="s">
        <v>143</v>
      </c>
      <c r="E24" s="4" t="s">
        <v>730</v>
      </c>
      <c r="F24" s="4" t="s">
        <v>731</v>
      </c>
      <c r="G24" s="9" t="n">
        <v>90</v>
      </c>
      <c r="H24" s="9" t="n">
        <v>0</v>
      </c>
      <c r="I24" s="4" t="n">
        <f aca="false">SUMIFS(Bouches!$M$2:$M$271,Bouches!$S$2:$S$271,A24,Bouches!$C$2:$C$271,"Soufflage")</f>
        <v>90</v>
      </c>
      <c r="J24" s="4" t="n">
        <f aca="false">SUMIFS(Bouches!$M$2:$M$271,Bouches!$S$2:$S$271,A24,Bouches!$C$2:$C$271,"Reprise")</f>
        <v>0</v>
      </c>
      <c r="K24" s="4" t="n">
        <f aca="false">SUMIFS(Bouches!$M$2:$M$271,Bouches!$S$2:$S$271,A24,Bouches!$C$2:$C$271,"Extraction")</f>
        <v>0</v>
      </c>
      <c r="L24" s="4" t="n">
        <v>1</v>
      </c>
      <c r="M24" s="4" t="n">
        <v>1</v>
      </c>
      <c r="N24" s="4" t="str">
        <f aca="false">IF(AND(OR(G24&lt;Hypothèses!$B$6,ABS(I24-G24)&lt;=2),ABS(K24-H24)&lt;=2),"oui","NON")</f>
        <v>oui</v>
      </c>
      <c r="O24" s="4"/>
      <c r="P24" s="4" t="s">
        <v>297</v>
      </c>
    </row>
    <row r="25" customFormat="false" ht="15" hidden="false" customHeight="false" outlineLevel="0" collapsed="false">
      <c r="A25" s="4" t="s">
        <v>302</v>
      </c>
      <c r="B25" s="4" t="s">
        <v>42</v>
      </c>
      <c r="C25" s="4" t="s">
        <v>134</v>
      </c>
      <c r="D25" s="4" t="s">
        <v>143</v>
      </c>
      <c r="E25" s="4" t="s">
        <v>730</v>
      </c>
      <c r="F25" s="4" t="s">
        <v>731</v>
      </c>
      <c r="G25" s="9" t="n">
        <v>90</v>
      </c>
      <c r="H25" s="9" t="n">
        <v>0</v>
      </c>
      <c r="I25" s="4" t="n">
        <f aca="false">SUMIFS(Bouches!$M$2:$M$271,Bouches!$S$2:$S$271,A25,Bouches!$C$2:$C$271,"Soufflage")</f>
        <v>90</v>
      </c>
      <c r="J25" s="4" t="n">
        <f aca="false">SUMIFS(Bouches!$M$2:$M$271,Bouches!$S$2:$S$271,A25,Bouches!$C$2:$C$271,"Reprise")</f>
        <v>0</v>
      </c>
      <c r="K25" s="4" t="n">
        <f aca="false">SUMIFS(Bouches!$M$2:$M$271,Bouches!$S$2:$S$271,A25,Bouches!$C$2:$C$271,"Extraction")</f>
        <v>0</v>
      </c>
      <c r="L25" s="4" t="n">
        <v>1</v>
      </c>
      <c r="M25" s="4" t="n">
        <v>1</v>
      </c>
      <c r="N25" s="4" t="str">
        <f aca="false">IF(AND(OR(G25&lt;Hypothèses!$B$6,ABS(I25-G25)&lt;=2),ABS(K25-H25)&lt;=2),"oui","NON")</f>
        <v>oui</v>
      </c>
      <c r="O25" s="4"/>
      <c r="P25" s="4" t="s">
        <v>301</v>
      </c>
    </row>
    <row r="26" customFormat="false" ht="15" hidden="false" customHeight="false" outlineLevel="0" collapsed="false">
      <c r="A26" s="4" t="s">
        <v>304</v>
      </c>
      <c r="B26" s="4" t="s">
        <v>42</v>
      </c>
      <c r="C26" s="4" t="s">
        <v>134</v>
      </c>
      <c r="D26" s="4" t="s">
        <v>143</v>
      </c>
      <c r="E26" s="4" t="s">
        <v>730</v>
      </c>
      <c r="F26" s="4" t="s">
        <v>731</v>
      </c>
      <c r="G26" s="9" t="n">
        <v>90</v>
      </c>
      <c r="H26" s="9" t="n">
        <v>0</v>
      </c>
      <c r="I26" s="4" t="n">
        <f aca="false">SUMIFS(Bouches!$M$2:$M$271,Bouches!$S$2:$S$271,A26,Bouches!$C$2:$C$271,"Soufflage")</f>
        <v>90</v>
      </c>
      <c r="J26" s="4" t="n">
        <f aca="false">SUMIFS(Bouches!$M$2:$M$271,Bouches!$S$2:$S$271,A26,Bouches!$C$2:$C$271,"Reprise")</f>
        <v>0</v>
      </c>
      <c r="K26" s="4" t="n">
        <f aca="false">SUMIFS(Bouches!$M$2:$M$271,Bouches!$S$2:$S$271,A26,Bouches!$C$2:$C$271,"Extraction")</f>
        <v>0</v>
      </c>
      <c r="L26" s="4" t="n">
        <v>1</v>
      </c>
      <c r="M26" s="4" t="n">
        <v>1</v>
      </c>
      <c r="N26" s="4" t="str">
        <f aca="false">IF(AND(OR(G26&lt;Hypothèses!$B$6,ABS(I26-G26)&lt;=2),ABS(K26-H26)&lt;=2),"oui","NON")</f>
        <v>oui</v>
      </c>
      <c r="O26" s="4"/>
      <c r="P26" s="4" t="s">
        <v>303</v>
      </c>
    </row>
    <row r="27" customFormat="false" ht="15" hidden="false" customHeight="false" outlineLevel="0" collapsed="false">
      <c r="A27" s="4" t="s">
        <v>300</v>
      </c>
      <c r="B27" s="4" t="s">
        <v>42</v>
      </c>
      <c r="C27" s="4" t="s">
        <v>134</v>
      </c>
      <c r="D27" s="4" t="s">
        <v>143</v>
      </c>
      <c r="E27" s="4" t="s">
        <v>730</v>
      </c>
      <c r="F27" s="4" t="s">
        <v>731</v>
      </c>
      <c r="G27" s="9" t="n">
        <v>90</v>
      </c>
      <c r="H27" s="9" t="n">
        <v>0</v>
      </c>
      <c r="I27" s="4" t="n">
        <f aca="false">SUMIFS(Bouches!$M$2:$M$271,Bouches!$S$2:$S$271,A27,Bouches!$C$2:$C$271,"Soufflage")</f>
        <v>90</v>
      </c>
      <c r="J27" s="4" t="n">
        <f aca="false">SUMIFS(Bouches!$M$2:$M$271,Bouches!$S$2:$S$271,A27,Bouches!$C$2:$C$271,"Reprise")</f>
        <v>0</v>
      </c>
      <c r="K27" s="4" t="n">
        <f aca="false">SUMIFS(Bouches!$M$2:$M$271,Bouches!$S$2:$S$271,A27,Bouches!$C$2:$C$271,"Extraction")</f>
        <v>0</v>
      </c>
      <c r="L27" s="4" t="n">
        <v>1</v>
      </c>
      <c r="M27" s="4" t="n">
        <v>1</v>
      </c>
      <c r="N27" s="4" t="str">
        <f aca="false">IF(AND(OR(G27&lt;Hypothèses!$B$6,ABS(I27-G27)&lt;=2),ABS(K27-H27)&lt;=2),"oui","NON")</f>
        <v>oui</v>
      </c>
      <c r="O27" s="4"/>
      <c r="P27" s="4" t="s">
        <v>299</v>
      </c>
    </row>
    <row r="28" customFormat="false" ht="15" hidden="false" customHeight="false" outlineLevel="0" collapsed="false">
      <c r="A28" s="4" t="s">
        <v>306</v>
      </c>
      <c r="B28" s="4" t="s">
        <v>42</v>
      </c>
      <c r="C28" s="4" t="s">
        <v>134</v>
      </c>
      <c r="D28" s="4" t="s">
        <v>143</v>
      </c>
      <c r="E28" s="4" t="s">
        <v>730</v>
      </c>
      <c r="F28" s="4" t="s">
        <v>731</v>
      </c>
      <c r="G28" s="9" t="n">
        <v>90</v>
      </c>
      <c r="H28" s="9" t="n">
        <v>0</v>
      </c>
      <c r="I28" s="4" t="n">
        <f aca="false">SUMIFS(Bouches!$M$2:$M$271,Bouches!$S$2:$S$271,A28,Bouches!$C$2:$C$271,"Soufflage")</f>
        <v>90</v>
      </c>
      <c r="J28" s="4" t="n">
        <f aca="false">SUMIFS(Bouches!$M$2:$M$271,Bouches!$S$2:$S$271,A28,Bouches!$C$2:$C$271,"Reprise")</f>
        <v>0</v>
      </c>
      <c r="K28" s="4" t="n">
        <f aca="false">SUMIFS(Bouches!$M$2:$M$271,Bouches!$S$2:$S$271,A28,Bouches!$C$2:$C$271,"Extraction")</f>
        <v>0</v>
      </c>
      <c r="L28" s="4" t="n">
        <v>1</v>
      </c>
      <c r="M28" s="4" t="n">
        <v>1</v>
      </c>
      <c r="N28" s="4" t="str">
        <f aca="false">IF(AND(OR(G28&lt;Hypothèses!$B$6,ABS(I28-G28)&lt;=2),ABS(K28-H28)&lt;=2),"oui","NON")</f>
        <v>oui</v>
      </c>
      <c r="O28" s="4"/>
      <c r="P28" s="4" t="s">
        <v>305</v>
      </c>
    </row>
    <row r="29" customFormat="false" ht="15" hidden="false" customHeight="false" outlineLevel="0" collapsed="false">
      <c r="A29" s="4" t="s">
        <v>150</v>
      </c>
      <c r="B29" s="4" t="s">
        <v>42</v>
      </c>
      <c r="C29" s="4" t="s">
        <v>134</v>
      </c>
      <c r="D29" s="4" t="s">
        <v>143</v>
      </c>
      <c r="E29" s="4" t="s">
        <v>730</v>
      </c>
      <c r="F29" s="4" t="s">
        <v>731</v>
      </c>
      <c r="G29" s="9" t="n">
        <v>90</v>
      </c>
      <c r="H29" s="9" t="n">
        <v>0</v>
      </c>
      <c r="I29" s="4" t="n">
        <f aca="false">SUMIFS(Bouches!$M$2:$M$271,Bouches!$S$2:$S$271,A29,Bouches!$C$2:$C$271,"Soufflage")</f>
        <v>90</v>
      </c>
      <c r="J29" s="4" t="n">
        <f aca="false">SUMIFS(Bouches!$M$2:$M$271,Bouches!$S$2:$S$271,A29,Bouches!$C$2:$C$271,"Reprise")</f>
        <v>0</v>
      </c>
      <c r="K29" s="4" t="n">
        <f aca="false">SUMIFS(Bouches!$M$2:$M$271,Bouches!$S$2:$S$271,A29,Bouches!$C$2:$C$271,"Extraction")</f>
        <v>0</v>
      </c>
      <c r="L29" s="4" t="n">
        <v>1</v>
      </c>
      <c r="M29" s="4" t="n">
        <v>1</v>
      </c>
      <c r="N29" s="4" t="str">
        <f aca="false">IF(AND(OR(G29&lt;Hypothèses!$B$6,ABS(I29-G29)&lt;=2),ABS(K29-H29)&lt;=2),"oui","NON")</f>
        <v>oui</v>
      </c>
      <c r="O29" s="4"/>
      <c r="P29" s="4" t="s">
        <v>149</v>
      </c>
    </row>
    <row r="30" customFormat="false" ht="15" hidden="false" customHeight="false" outlineLevel="0" collapsed="false">
      <c r="A30" s="4" t="s">
        <v>218</v>
      </c>
      <c r="B30" s="4" t="s">
        <v>42</v>
      </c>
      <c r="C30" s="4" t="s">
        <v>217</v>
      </c>
      <c r="D30" s="4" t="s">
        <v>44</v>
      </c>
      <c r="E30" s="4" t="s">
        <v>732</v>
      </c>
      <c r="F30" s="4" t="s">
        <v>731</v>
      </c>
      <c r="G30" s="9" t="n">
        <v>0</v>
      </c>
      <c r="H30" s="9" t="n">
        <v>90</v>
      </c>
      <c r="I30" s="4" t="n">
        <f aca="false">SUMIFS(Bouches!$M$2:$M$271,Bouches!$S$2:$S$271,A30,Bouches!$C$2:$C$271,"Soufflage")</f>
        <v>0</v>
      </c>
      <c r="J30" s="4" t="n">
        <f aca="false">SUMIFS(Bouches!$M$2:$M$271,Bouches!$S$2:$S$271,A30,Bouches!$C$2:$C$271,"Reprise")</f>
        <v>0</v>
      </c>
      <c r="K30" s="4" t="n">
        <f aca="false">SUMIFS(Bouches!$M$2:$M$271,Bouches!$S$2:$S$271,A30,Bouches!$C$2:$C$271,"Extraction")</f>
        <v>90</v>
      </c>
      <c r="L30" s="4" t="n">
        <v>1</v>
      </c>
      <c r="M30" s="4" t="n">
        <v>1</v>
      </c>
      <c r="N30" s="4" t="str">
        <f aca="false">IF(AND(OR(G30&lt;Hypothèses!$B$6,ABS(I30-G30)&lt;=2),ABS(K30-H30)&lt;=2),"oui","NON")</f>
        <v>oui</v>
      </c>
      <c r="O30" s="4"/>
      <c r="P30" s="4" t="s">
        <v>216</v>
      </c>
    </row>
    <row r="31" customFormat="false" ht="15" hidden="false" customHeight="false" outlineLevel="0" collapsed="false">
      <c r="A31" s="4" t="s">
        <v>221</v>
      </c>
      <c r="B31" s="4" t="s">
        <v>42</v>
      </c>
      <c r="C31" s="4" t="s">
        <v>220</v>
      </c>
      <c r="D31" s="4" t="s">
        <v>44</v>
      </c>
      <c r="E31" s="4" t="s">
        <v>732</v>
      </c>
      <c r="F31" s="4" t="s">
        <v>731</v>
      </c>
      <c r="G31" s="9" t="n">
        <v>0</v>
      </c>
      <c r="H31" s="9" t="n">
        <v>90</v>
      </c>
      <c r="I31" s="4" t="n">
        <f aca="false">SUMIFS(Bouches!$M$2:$M$271,Bouches!$S$2:$S$271,A31,Bouches!$C$2:$C$271,"Soufflage")</f>
        <v>0</v>
      </c>
      <c r="J31" s="4" t="n">
        <f aca="false">SUMIFS(Bouches!$M$2:$M$271,Bouches!$S$2:$S$271,A31,Bouches!$C$2:$C$271,"Reprise")</f>
        <v>0</v>
      </c>
      <c r="K31" s="4" t="n">
        <f aca="false">SUMIFS(Bouches!$M$2:$M$271,Bouches!$S$2:$S$271,A31,Bouches!$C$2:$C$271,"Extraction")</f>
        <v>90</v>
      </c>
      <c r="L31" s="4" t="n">
        <v>1</v>
      </c>
      <c r="M31" s="4" t="n">
        <v>1</v>
      </c>
      <c r="N31" s="4" t="str">
        <f aca="false">IF(AND(OR(G31&lt;Hypothèses!$B$6,ABS(I31-G31)&lt;=2),ABS(K31-H31)&lt;=2),"oui","NON")</f>
        <v>oui</v>
      </c>
      <c r="O31" s="4"/>
      <c r="P31" s="4" t="s">
        <v>219</v>
      </c>
    </row>
    <row r="32" customFormat="false" ht="15" hidden="false" customHeight="false" outlineLevel="0" collapsed="false">
      <c r="A32" s="4" t="s">
        <v>224</v>
      </c>
      <c r="B32" s="4" t="s">
        <v>42</v>
      </c>
      <c r="C32" s="4" t="s">
        <v>223</v>
      </c>
      <c r="D32" s="4" t="s">
        <v>44</v>
      </c>
      <c r="E32" s="4" t="s">
        <v>732</v>
      </c>
      <c r="F32" s="4" t="s">
        <v>731</v>
      </c>
      <c r="G32" s="9" t="n">
        <v>0</v>
      </c>
      <c r="H32" s="9" t="n">
        <v>90</v>
      </c>
      <c r="I32" s="4" t="n">
        <f aca="false">SUMIFS(Bouches!$M$2:$M$271,Bouches!$S$2:$S$271,A32,Bouches!$C$2:$C$271,"Soufflage")</f>
        <v>0</v>
      </c>
      <c r="J32" s="4" t="n">
        <f aca="false">SUMIFS(Bouches!$M$2:$M$271,Bouches!$S$2:$S$271,A32,Bouches!$C$2:$C$271,"Reprise")</f>
        <v>0</v>
      </c>
      <c r="K32" s="4" t="n">
        <f aca="false">SUMIFS(Bouches!$M$2:$M$271,Bouches!$S$2:$S$271,A32,Bouches!$C$2:$C$271,"Extraction")</f>
        <v>90</v>
      </c>
      <c r="L32" s="4" t="n">
        <v>1</v>
      </c>
      <c r="M32" s="4" t="n">
        <v>1</v>
      </c>
      <c r="N32" s="4" t="str">
        <f aca="false">IF(AND(OR(G32&lt;Hypothèses!$B$6,ABS(I32-G32)&lt;=2),ABS(K32-H32)&lt;=2),"oui","NON")</f>
        <v>oui</v>
      </c>
      <c r="O32" s="4"/>
      <c r="P32" s="4" t="s">
        <v>222</v>
      </c>
    </row>
    <row r="33" customFormat="false" ht="15" hidden="false" customHeight="false" outlineLevel="0" collapsed="false">
      <c r="A33" s="4" t="s">
        <v>53</v>
      </c>
      <c r="B33" s="4" t="s">
        <v>42</v>
      </c>
      <c r="C33" s="4" t="s">
        <v>52</v>
      </c>
      <c r="D33" s="4" t="s">
        <v>44</v>
      </c>
      <c r="E33" s="4" t="s">
        <v>732</v>
      </c>
      <c r="F33" s="4" t="s">
        <v>731</v>
      </c>
      <c r="G33" s="9" t="n">
        <v>0</v>
      </c>
      <c r="H33" s="9" t="n">
        <v>90</v>
      </c>
      <c r="I33" s="4" t="n">
        <f aca="false">SUMIFS(Bouches!$M$2:$M$271,Bouches!$S$2:$S$271,A33,Bouches!$C$2:$C$271,"Soufflage")</f>
        <v>0</v>
      </c>
      <c r="J33" s="4" t="n">
        <f aca="false">SUMIFS(Bouches!$M$2:$M$271,Bouches!$S$2:$S$271,A33,Bouches!$C$2:$C$271,"Reprise")</f>
        <v>0</v>
      </c>
      <c r="K33" s="4" t="n">
        <f aca="false">SUMIFS(Bouches!$M$2:$M$271,Bouches!$S$2:$S$271,A33,Bouches!$C$2:$C$271,"Extraction")</f>
        <v>90</v>
      </c>
      <c r="L33" s="4" t="n">
        <v>1</v>
      </c>
      <c r="M33" s="4" t="n">
        <v>1</v>
      </c>
      <c r="N33" s="4" t="str">
        <f aca="false">IF(AND(OR(G33&lt;Hypothèses!$B$6,ABS(I33-G33)&lt;=2),ABS(K33-H33)&lt;=2),"oui","NON")</f>
        <v>oui</v>
      </c>
      <c r="O33" s="4"/>
      <c r="P33" s="4" t="s">
        <v>51</v>
      </c>
    </row>
    <row r="34" customFormat="false" ht="15" hidden="false" customHeight="false" outlineLevel="0" collapsed="false">
      <c r="A34" s="4" t="s">
        <v>65</v>
      </c>
      <c r="B34" s="4" t="s">
        <v>42</v>
      </c>
      <c r="C34" s="4" t="s">
        <v>64</v>
      </c>
      <c r="D34" s="4" t="s">
        <v>44</v>
      </c>
      <c r="E34" s="4" t="s">
        <v>732</v>
      </c>
      <c r="F34" s="4" t="s">
        <v>731</v>
      </c>
      <c r="G34" s="9" t="n">
        <v>0</v>
      </c>
      <c r="H34" s="9" t="n">
        <v>90</v>
      </c>
      <c r="I34" s="4" t="n">
        <f aca="false">SUMIFS(Bouches!$M$2:$M$271,Bouches!$S$2:$S$271,A34,Bouches!$C$2:$C$271,"Soufflage")</f>
        <v>0</v>
      </c>
      <c r="J34" s="4" t="n">
        <f aca="false">SUMIFS(Bouches!$M$2:$M$271,Bouches!$S$2:$S$271,A34,Bouches!$C$2:$C$271,"Reprise")</f>
        <v>0</v>
      </c>
      <c r="K34" s="4" t="n">
        <f aca="false">SUMIFS(Bouches!$M$2:$M$271,Bouches!$S$2:$S$271,A34,Bouches!$C$2:$C$271,"Extraction")</f>
        <v>90</v>
      </c>
      <c r="L34" s="4" t="n">
        <v>1</v>
      </c>
      <c r="M34" s="4" t="n">
        <v>1</v>
      </c>
      <c r="N34" s="4" t="str">
        <f aca="false">IF(AND(OR(G34&lt;Hypothèses!$B$6,ABS(I34-G34)&lt;=2),ABS(K34-H34)&lt;=2),"oui","NON")</f>
        <v>oui</v>
      </c>
      <c r="O34" s="4"/>
      <c r="P34" s="4" t="s">
        <v>63</v>
      </c>
    </row>
    <row r="35" customFormat="false" ht="15" hidden="false" customHeight="false" outlineLevel="0" collapsed="false">
      <c r="A35" s="4" t="s">
        <v>77</v>
      </c>
      <c r="B35" s="4" t="s">
        <v>42</v>
      </c>
      <c r="C35" s="4" t="s">
        <v>76</v>
      </c>
      <c r="D35" s="4" t="s">
        <v>44</v>
      </c>
      <c r="E35" s="4" t="s">
        <v>732</v>
      </c>
      <c r="F35" s="4" t="s">
        <v>731</v>
      </c>
      <c r="G35" s="9" t="n">
        <v>0</v>
      </c>
      <c r="H35" s="9" t="n">
        <v>90</v>
      </c>
      <c r="I35" s="4" t="n">
        <f aca="false">SUMIFS(Bouches!$M$2:$M$271,Bouches!$S$2:$S$271,A35,Bouches!$C$2:$C$271,"Soufflage")</f>
        <v>0</v>
      </c>
      <c r="J35" s="4" t="n">
        <f aca="false">SUMIFS(Bouches!$M$2:$M$271,Bouches!$S$2:$S$271,A35,Bouches!$C$2:$C$271,"Reprise")</f>
        <v>0</v>
      </c>
      <c r="K35" s="4" t="n">
        <f aca="false">SUMIFS(Bouches!$M$2:$M$271,Bouches!$S$2:$S$271,A35,Bouches!$C$2:$C$271,"Extraction")</f>
        <v>90</v>
      </c>
      <c r="L35" s="4" t="n">
        <v>1</v>
      </c>
      <c r="M35" s="4" t="n">
        <v>1</v>
      </c>
      <c r="N35" s="4" t="str">
        <f aca="false">IF(AND(OR(G35&lt;Hypothèses!$B$6,ABS(I35-G35)&lt;=2),ABS(K35-H35)&lt;=2),"oui","NON")</f>
        <v>oui</v>
      </c>
      <c r="O35" s="4"/>
      <c r="P35" s="4" t="s">
        <v>75</v>
      </c>
    </row>
    <row r="36" customFormat="false" ht="15" hidden="false" customHeight="false" outlineLevel="0" collapsed="false">
      <c r="A36" s="4" t="s">
        <v>89</v>
      </c>
      <c r="B36" s="4" t="s">
        <v>42</v>
      </c>
      <c r="C36" s="4" t="s">
        <v>88</v>
      </c>
      <c r="D36" s="4" t="s">
        <v>44</v>
      </c>
      <c r="E36" s="4" t="s">
        <v>732</v>
      </c>
      <c r="F36" s="4" t="s">
        <v>731</v>
      </c>
      <c r="G36" s="9" t="n">
        <v>0</v>
      </c>
      <c r="H36" s="9" t="n">
        <v>90</v>
      </c>
      <c r="I36" s="4" t="n">
        <f aca="false">SUMIFS(Bouches!$M$2:$M$271,Bouches!$S$2:$S$271,A36,Bouches!$C$2:$C$271,"Soufflage")</f>
        <v>0</v>
      </c>
      <c r="J36" s="4" t="n">
        <f aca="false">SUMIFS(Bouches!$M$2:$M$271,Bouches!$S$2:$S$271,A36,Bouches!$C$2:$C$271,"Reprise")</f>
        <v>0</v>
      </c>
      <c r="K36" s="4" t="n">
        <f aca="false">SUMIFS(Bouches!$M$2:$M$271,Bouches!$S$2:$S$271,A36,Bouches!$C$2:$C$271,"Extraction")</f>
        <v>90</v>
      </c>
      <c r="L36" s="4" t="n">
        <v>1</v>
      </c>
      <c r="M36" s="4" t="n">
        <v>1</v>
      </c>
      <c r="N36" s="4" t="str">
        <f aca="false">IF(AND(OR(G36&lt;Hypothèses!$B$6,ABS(I36-G36)&lt;=2),ABS(K36-H36)&lt;=2),"oui","NON")</f>
        <v>oui</v>
      </c>
      <c r="O36" s="4"/>
      <c r="P36" s="4" t="s">
        <v>87</v>
      </c>
    </row>
    <row r="37" customFormat="false" ht="15" hidden="false" customHeight="false" outlineLevel="0" collapsed="false">
      <c r="A37" s="4" t="s">
        <v>83</v>
      </c>
      <c r="B37" s="4" t="s">
        <v>42</v>
      </c>
      <c r="C37" s="4" t="s">
        <v>82</v>
      </c>
      <c r="D37" s="4" t="s">
        <v>44</v>
      </c>
      <c r="E37" s="4" t="s">
        <v>732</v>
      </c>
      <c r="F37" s="4" t="s">
        <v>731</v>
      </c>
      <c r="G37" s="9" t="n">
        <v>0</v>
      </c>
      <c r="H37" s="9" t="n">
        <v>90</v>
      </c>
      <c r="I37" s="4" t="n">
        <f aca="false">SUMIFS(Bouches!$M$2:$M$271,Bouches!$S$2:$S$271,A37,Bouches!$C$2:$C$271,"Soufflage")</f>
        <v>0</v>
      </c>
      <c r="J37" s="4" t="n">
        <f aca="false">SUMIFS(Bouches!$M$2:$M$271,Bouches!$S$2:$S$271,A37,Bouches!$C$2:$C$271,"Reprise")</f>
        <v>0</v>
      </c>
      <c r="K37" s="4" t="n">
        <f aca="false">SUMIFS(Bouches!$M$2:$M$271,Bouches!$S$2:$S$271,A37,Bouches!$C$2:$C$271,"Extraction")</f>
        <v>90</v>
      </c>
      <c r="L37" s="4" t="n">
        <v>1</v>
      </c>
      <c r="M37" s="4" t="n">
        <v>1</v>
      </c>
      <c r="N37" s="4" t="str">
        <f aca="false">IF(AND(OR(G37&lt;Hypothèses!$B$6,ABS(I37-G37)&lt;=2),ABS(K37-H37)&lt;=2),"oui","NON")</f>
        <v>oui</v>
      </c>
      <c r="O37" s="4"/>
      <c r="P37" s="4" t="s">
        <v>81</v>
      </c>
    </row>
    <row r="38" customFormat="false" ht="15" hidden="false" customHeight="false" outlineLevel="0" collapsed="false">
      <c r="A38" s="4" t="s">
        <v>197</v>
      </c>
      <c r="B38" s="4" t="s">
        <v>42</v>
      </c>
      <c r="C38" s="4" t="s">
        <v>196</v>
      </c>
      <c r="D38" s="4" t="s">
        <v>44</v>
      </c>
      <c r="E38" s="4" t="s">
        <v>732</v>
      </c>
      <c r="F38" s="4" t="s">
        <v>731</v>
      </c>
      <c r="G38" s="9" t="n">
        <v>0</v>
      </c>
      <c r="H38" s="9" t="n">
        <v>90</v>
      </c>
      <c r="I38" s="4" t="n">
        <f aca="false">SUMIFS(Bouches!$M$2:$M$271,Bouches!$S$2:$S$271,A38,Bouches!$C$2:$C$271,"Soufflage")</f>
        <v>0</v>
      </c>
      <c r="J38" s="4" t="n">
        <f aca="false">SUMIFS(Bouches!$M$2:$M$271,Bouches!$S$2:$S$271,A38,Bouches!$C$2:$C$271,"Reprise")</f>
        <v>0</v>
      </c>
      <c r="K38" s="4" t="n">
        <f aca="false">SUMIFS(Bouches!$M$2:$M$271,Bouches!$S$2:$S$271,A38,Bouches!$C$2:$C$271,"Extraction")</f>
        <v>90</v>
      </c>
      <c r="L38" s="4" t="n">
        <v>1</v>
      </c>
      <c r="M38" s="4" t="n">
        <v>1</v>
      </c>
      <c r="N38" s="4" t="str">
        <f aca="false">IF(AND(OR(G38&lt;Hypothèses!$B$6,ABS(I38-G38)&lt;=2),ABS(K38-H38)&lt;=2),"oui","NON")</f>
        <v>oui</v>
      </c>
      <c r="O38" s="4"/>
      <c r="P38" s="4" t="s">
        <v>195</v>
      </c>
    </row>
    <row r="39" customFormat="false" ht="15" hidden="false" customHeight="false" outlineLevel="0" collapsed="false">
      <c r="A39" s="4" t="s">
        <v>71</v>
      </c>
      <c r="B39" s="4" t="s">
        <v>42</v>
      </c>
      <c r="C39" s="4" t="s">
        <v>70</v>
      </c>
      <c r="D39" s="4" t="s">
        <v>44</v>
      </c>
      <c r="E39" s="4" t="s">
        <v>732</v>
      </c>
      <c r="F39" s="4" t="s">
        <v>731</v>
      </c>
      <c r="G39" s="9" t="n">
        <v>0</v>
      </c>
      <c r="H39" s="9" t="n">
        <v>90</v>
      </c>
      <c r="I39" s="4" t="n">
        <f aca="false">SUMIFS(Bouches!$M$2:$M$271,Bouches!$S$2:$S$271,A39,Bouches!$C$2:$C$271,"Soufflage")</f>
        <v>0</v>
      </c>
      <c r="J39" s="4" t="n">
        <f aca="false">SUMIFS(Bouches!$M$2:$M$271,Bouches!$S$2:$S$271,A39,Bouches!$C$2:$C$271,"Reprise")</f>
        <v>0</v>
      </c>
      <c r="K39" s="4" t="n">
        <f aca="false">SUMIFS(Bouches!$M$2:$M$271,Bouches!$S$2:$S$271,A39,Bouches!$C$2:$C$271,"Extraction")</f>
        <v>90</v>
      </c>
      <c r="L39" s="4" t="n">
        <v>1</v>
      </c>
      <c r="M39" s="4" t="n">
        <v>1</v>
      </c>
      <c r="N39" s="4" t="str">
        <f aca="false">IF(AND(OR(G39&lt;Hypothèses!$B$6,ABS(I39-G39)&lt;=2),ABS(K39-H39)&lt;=2),"oui","NON")</f>
        <v>oui</v>
      </c>
      <c r="O39" s="4"/>
      <c r="P39" s="4" t="s">
        <v>69</v>
      </c>
    </row>
    <row r="40" customFormat="false" ht="15" hidden="false" customHeight="false" outlineLevel="0" collapsed="false">
      <c r="A40" s="4" t="s">
        <v>200</v>
      </c>
      <c r="B40" s="4" t="s">
        <v>42</v>
      </c>
      <c r="C40" s="4" t="s">
        <v>199</v>
      </c>
      <c r="D40" s="4" t="s">
        <v>44</v>
      </c>
      <c r="E40" s="4" t="s">
        <v>732</v>
      </c>
      <c r="F40" s="4" t="s">
        <v>731</v>
      </c>
      <c r="G40" s="9" t="n">
        <v>0</v>
      </c>
      <c r="H40" s="9" t="n">
        <v>90</v>
      </c>
      <c r="I40" s="4" t="n">
        <f aca="false">SUMIFS(Bouches!$M$2:$M$271,Bouches!$S$2:$S$271,A40,Bouches!$C$2:$C$271,"Soufflage")</f>
        <v>0</v>
      </c>
      <c r="J40" s="4" t="n">
        <f aca="false">SUMIFS(Bouches!$M$2:$M$271,Bouches!$S$2:$S$271,A40,Bouches!$C$2:$C$271,"Reprise")</f>
        <v>0</v>
      </c>
      <c r="K40" s="4" t="n">
        <f aca="false">SUMIFS(Bouches!$M$2:$M$271,Bouches!$S$2:$S$271,A40,Bouches!$C$2:$C$271,"Extraction")</f>
        <v>90</v>
      </c>
      <c r="L40" s="4" t="n">
        <v>1</v>
      </c>
      <c r="M40" s="4" t="n">
        <v>1</v>
      </c>
      <c r="N40" s="4" t="str">
        <f aca="false">IF(AND(OR(G40&lt;Hypothèses!$B$6,ABS(I40-G40)&lt;=2),ABS(K40-H40)&lt;=2),"oui","NON")</f>
        <v>oui</v>
      </c>
      <c r="O40" s="4"/>
      <c r="P40" s="4" t="s">
        <v>198</v>
      </c>
    </row>
    <row r="41" customFormat="false" ht="15" hidden="false" customHeight="false" outlineLevel="0" collapsed="false">
      <c r="A41" s="4" t="s">
        <v>203</v>
      </c>
      <c r="B41" s="4" t="s">
        <v>42</v>
      </c>
      <c r="C41" s="4" t="s">
        <v>202</v>
      </c>
      <c r="D41" s="4" t="s">
        <v>44</v>
      </c>
      <c r="E41" s="4" t="s">
        <v>732</v>
      </c>
      <c r="F41" s="4" t="s">
        <v>731</v>
      </c>
      <c r="G41" s="9" t="n">
        <v>0</v>
      </c>
      <c r="H41" s="9" t="n">
        <v>90</v>
      </c>
      <c r="I41" s="4" t="n">
        <f aca="false">SUMIFS(Bouches!$M$2:$M$271,Bouches!$S$2:$S$271,A41,Bouches!$C$2:$C$271,"Soufflage")</f>
        <v>0</v>
      </c>
      <c r="J41" s="4" t="n">
        <f aca="false">SUMIFS(Bouches!$M$2:$M$271,Bouches!$S$2:$S$271,A41,Bouches!$C$2:$C$271,"Reprise")</f>
        <v>0</v>
      </c>
      <c r="K41" s="4" t="n">
        <f aca="false">SUMIFS(Bouches!$M$2:$M$271,Bouches!$S$2:$S$271,A41,Bouches!$C$2:$C$271,"Extraction")</f>
        <v>90</v>
      </c>
      <c r="L41" s="4" t="n">
        <v>1</v>
      </c>
      <c r="M41" s="4" t="n">
        <v>1</v>
      </c>
      <c r="N41" s="4" t="str">
        <f aca="false">IF(AND(OR(G41&lt;Hypothèses!$B$6,ABS(I41-G41)&lt;=2),ABS(K41-H41)&lt;=2),"oui","NON")</f>
        <v>oui</v>
      </c>
      <c r="O41" s="4"/>
      <c r="P41" s="4" t="s">
        <v>201</v>
      </c>
    </row>
    <row r="42" customFormat="false" ht="15" hidden="false" customHeight="false" outlineLevel="0" collapsed="false">
      <c r="A42" s="4" t="s">
        <v>74</v>
      </c>
      <c r="B42" s="4" t="s">
        <v>42</v>
      </c>
      <c r="C42" s="4" t="s">
        <v>73</v>
      </c>
      <c r="D42" s="4" t="s">
        <v>44</v>
      </c>
      <c r="E42" s="4" t="s">
        <v>732</v>
      </c>
      <c r="F42" s="4" t="s">
        <v>731</v>
      </c>
      <c r="G42" s="9" t="n">
        <v>0</v>
      </c>
      <c r="H42" s="9" t="n">
        <v>90</v>
      </c>
      <c r="I42" s="4" t="n">
        <f aca="false">SUMIFS(Bouches!$M$2:$M$271,Bouches!$S$2:$S$271,A42,Bouches!$C$2:$C$271,"Soufflage")</f>
        <v>0</v>
      </c>
      <c r="J42" s="4" t="n">
        <f aca="false">SUMIFS(Bouches!$M$2:$M$271,Bouches!$S$2:$S$271,A42,Bouches!$C$2:$C$271,"Reprise")</f>
        <v>0</v>
      </c>
      <c r="K42" s="4" t="n">
        <f aca="false">SUMIFS(Bouches!$M$2:$M$271,Bouches!$S$2:$S$271,A42,Bouches!$C$2:$C$271,"Extraction")</f>
        <v>90</v>
      </c>
      <c r="L42" s="4" t="n">
        <v>1</v>
      </c>
      <c r="M42" s="4" t="n">
        <v>1</v>
      </c>
      <c r="N42" s="4" t="str">
        <f aca="false">IF(AND(OR(G42&lt;Hypothèses!$B$6,ABS(I42-G42)&lt;=2),ABS(K42-H42)&lt;=2),"oui","NON")</f>
        <v>oui</v>
      </c>
      <c r="O42" s="4"/>
      <c r="P42" s="4" t="s">
        <v>72</v>
      </c>
    </row>
    <row r="43" customFormat="false" ht="15" hidden="false" customHeight="false" outlineLevel="0" collapsed="false">
      <c r="A43" s="4" t="s">
        <v>80</v>
      </c>
      <c r="B43" s="4" t="s">
        <v>42</v>
      </c>
      <c r="C43" s="4" t="s">
        <v>79</v>
      </c>
      <c r="D43" s="4" t="s">
        <v>44</v>
      </c>
      <c r="E43" s="4" t="s">
        <v>732</v>
      </c>
      <c r="F43" s="4" t="s">
        <v>731</v>
      </c>
      <c r="G43" s="9" t="n">
        <v>0</v>
      </c>
      <c r="H43" s="9" t="n">
        <v>90</v>
      </c>
      <c r="I43" s="4" t="n">
        <f aca="false">SUMIFS(Bouches!$M$2:$M$271,Bouches!$S$2:$S$271,A43,Bouches!$C$2:$C$271,"Soufflage")</f>
        <v>0</v>
      </c>
      <c r="J43" s="4" t="n">
        <f aca="false">SUMIFS(Bouches!$M$2:$M$271,Bouches!$S$2:$S$271,A43,Bouches!$C$2:$C$271,"Reprise")</f>
        <v>0</v>
      </c>
      <c r="K43" s="4" t="n">
        <f aca="false">SUMIFS(Bouches!$M$2:$M$271,Bouches!$S$2:$S$271,A43,Bouches!$C$2:$C$271,"Extraction")</f>
        <v>90</v>
      </c>
      <c r="L43" s="4" t="n">
        <v>1</v>
      </c>
      <c r="M43" s="4" t="n">
        <v>1</v>
      </c>
      <c r="N43" s="4" t="str">
        <f aca="false">IF(AND(OR(G43&lt;Hypothèses!$B$6,ABS(I43-G43)&lt;=2),ABS(K43-H43)&lt;=2),"oui","NON")</f>
        <v>oui</v>
      </c>
      <c r="O43" s="4"/>
      <c r="P43" s="4" t="s">
        <v>78</v>
      </c>
    </row>
    <row r="44" customFormat="false" ht="15" hidden="false" customHeight="false" outlineLevel="0" collapsed="false">
      <c r="A44" s="4" t="s">
        <v>227</v>
      </c>
      <c r="B44" s="4" t="s">
        <v>42</v>
      </c>
      <c r="C44" s="4" t="s">
        <v>226</v>
      </c>
      <c r="D44" s="4" t="s">
        <v>44</v>
      </c>
      <c r="E44" s="4" t="s">
        <v>732</v>
      </c>
      <c r="F44" s="4" t="s">
        <v>731</v>
      </c>
      <c r="G44" s="9" t="n">
        <v>0</v>
      </c>
      <c r="H44" s="9" t="n">
        <v>90</v>
      </c>
      <c r="I44" s="4" t="n">
        <f aca="false">SUMIFS(Bouches!$M$2:$M$271,Bouches!$S$2:$S$271,A44,Bouches!$C$2:$C$271,"Soufflage")</f>
        <v>0</v>
      </c>
      <c r="J44" s="4" t="n">
        <f aca="false">SUMIFS(Bouches!$M$2:$M$271,Bouches!$S$2:$S$271,A44,Bouches!$C$2:$C$271,"Reprise")</f>
        <v>0</v>
      </c>
      <c r="K44" s="4" t="n">
        <f aca="false">SUMIFS(Bouches!$M$2:$M$271,Bouches!$S$2:$S$271,A44,Bouches!$C$2:$C$271,"Extraction")</f>
        <v>90</v>
      </c>
      <c r="L44" s="4" t="n">
        <v>1</v>
      </c>
      <c r="M44" s="4" t="n">
        <v>1</v>
      </c>
      <c r="N44" s="4" t="str">
        <f aca="false">IF(AND(OR(G44&lt;Hypothèses!$B$6,ABS(I44-G44)&lt;=2),ABS(K44-H44)&lt;=2),"oui","NON")</f>
        <v>oui</v>
      </c>
      <c r="O44" s="4"/>
      <c r="P44" s="4" t="s">
        <v>225</v>
      </c>
    </row>
    <row r="45" customFormat="false" ht="15" hidden="false" customHeight="false" outlineLevel="0" collapsed="false">
      <c r="A45" s="4" t="s">
        <v>86</v>
      </c>
      <c r="B45" s="4" t="s">
        <v>42</v>
      </c>
      <c r="C45" s="4" t="s">
        <v>85</v>
      </c>
      <c r="D45" s="4" t="s">
        <v>44</v>
      </c>
      <c r="E45" s="4" t="s">
        <v>732</v>
      </c>
      <c r="F45" s="4" t="s">
        <v>731</v>
      </c>
      <c r="G45" s="9" t="n">
        <v>0</v>
      </c>
      <c r="H45" s="9" t="n">
        <v>90</v>
      </c>
      <c r="I45" s="4" t="n">
        <f aca="false">SUMIFS(Bouches!$M$2:$M$271,Bouches!$S$2:$S$271,A45,Bouches!$C$2:$C$271,"Soufflage")</f>
        <v>0</v>
      </c>
      <c r="J45" s="4" t="n">
        <f aca="false">SUMIFS(Bouches!$M$2:$M$271,Bouches!$S$2:$S$271,A45,Bouches!$C$2:$C$271,"Reprise")</f>
        <v>0</v>
      </c>
      <c r="K45" s="4" t="n">
        <f aca="false">SUMIFS(Bouches!$M$2:$M$271,Bouches!$S$2:$S$271,A45,Bouches!$C$2:$C$271,"Extraction")</f>
        <v>90</v>
      </c>
      <c r="L45" s="4" t="n">
        <v>1</v>
      </c>
      <c r="M45" s="4" t="n">
        <v>1</v>
      </c>
      <c r="N45" s="4" t="str">
        <f aca="false">IF(AND(OR(G45&lt;Hypothèses!$B$6,ABS(I45-G45)&lt;=2),ABS(K45-H45)&lt;=2),"oui","NON")</f>
        <v>oui</v>
      </c>
      <c r="O45" s="4"/>
      <c r="P45" s="4" t="s">
        <v>84</v>
      </c>
    </row>
    <row r="46" customFormat="false" ht="15" hidden="false" customHeight="false" outlineLevel="0" collapsed="false">
      <c r="A46" s="4" t="s">
        <v>50</v>
      </c>
      <c r="B46" s="4" t="s">
        <v>42</v>
      </c>
      <c r="C46" s="4" t="s">
        <v>43</v>
      </c>
      <c r="D46" s="4" t="s">
        <v>44</v>
      </c>
      <c r="E46" s="4" t="s">
        <v>732</v>
      </c>
      <c r="F46" s="4" t="s">
        <v>731</v>
      </c>
      <c r="G46" s="9" t="n">
        <v>0</v>
      </c>
      <c r="H46" s="9" t="n">
        <v>90</v>
      </c>
      <c r="I46" s="4" t="n">
        <f aca="false">SUMIFS(Bouches!$M$2:$M$271,Bouches!$S$2:$S$271,A46,Bouches!$C$2:$C$271,"Soufflage")</f>
        <v>0</v>
      </c>
      <c r="J46" s="4" t="n">
        <f aca="false">SUMIFS(Bouches!$M$2:$M$271,Bouches!$S$2:$S$271,A46,Bouches!$C$2:$C$271,"Reprise")</f>
        <v>0</v>
      </c>
      <c r="K46" s="4" t="n">
        <f aca="false">SUMIFS(Bouches!$M$2:$M$271,Bouches!$S$2:$S$271,A46,Bouches!$C$2:$C$271,"Extraction")</f>
        <v>90</v>
      </c>
      <c r="L46" s="4" t="n">
        <v>1</v>
      </c>
      <c r="M46" s="4" t="n">
        <v>1</v>
      </c>
      <c r="N46" s="4" t="str">
        <f aca="false">IF(AND(OR(G46&lt;Hypothèses!$B$6,ABS(I46-G46)&lt;=2),ABS(K46-H46)&lt;=2),"oui","NON")</f>
        <v>oui</v>
      </c>
      <c r="O46" s="4"/>
      <c r="P46" s="4" t="s">
        <v>41</v>
      </c>
    </row>
    <row r="47" customFormat="false" ht="15" hidden="false" customHeight="false" outlineLevel="0" collapsed="false">
      <c r="A47" s="4" t="s">
        <v>68</v>
      </c>
      <c r="B47" s="4" t="s">
        <v>42</v>
      </c>
      <c r="C47" s="4" t="s">
        <v>67</v>
      </c>
      <c r="D47" s="4" t="s">
        <v>44</v>
      </c>
      <c r="E47" s="4" t="s">
        <v>732</v>
      </c>
      <c r="F47" s="4" t="s">
        <v>731</v>
      </c>
      <c r="G47" s="9" t="n">
        <v>0</v>
      </c>
      <c r="H47" s="9" t="n">
        <v>90</v>
      </c>
      <c r="I47" s="4" t="n">
        <f aca="false">SUMIFS(Bouches!$M$2:$M$271,Bouches!$S$2:$S$271,A47,Bouches!$C$2:$C$271,"Soufflage")</f>
        <v>0</v>
      </c>
      <c r="J47" s="4" t="n">
        <f aca="false">SUMIFS(Bouches!$M$2:$M$271,Bouches!$S$2:$S$271,A47,Bouches!$C$2:$C$271,"Reprise")</f>
        <v>0</v>
      </c>
      <c r="K47" s="4" t="n">
        <f aca="false">SUMIFS(Bouches!$M$2:$M$271,Bouches!$S$2:$S$271,A47,Bouches!$C$2:$C$271,"Extraction")</f>
        <v>90</v>
      </c>
      <c r="L47" s="4" t="n">
        <v>1</v>
      </c>
      <c r="M47" s="4" t="n">
        <v>1</v>
      </c>
      <c r="N47" s="4" t="str">
        <f aca="false">IF(AND(OR(G47&lt;Hypothèses!$B$6,ABS(I47-G47)&lt;=2),ABS(K47-H47)&lt;=2),"oui","NON")</f>
        <v>oui</v>
      </c>
      <c r="O47" s="4"/>
      <c r="P47" s="4" t="s">
        <v>66</v>
      </c>
    </row>
    <row r="48" customFormat="false" ht="15" hidden="false" customHeight="false" outlineLevel="0" collapsed="false">
      <c r="A48" s="4" t="s">
        <v>215</v>
      </c>
      <c r="B48" s="4" t="s">
        <v>42</v>
      </c>
      <c r="C48" s="4" t="s">
        <v>214</v>
      </c>
      <c r="D48" s="4" t="s">
        <v>44</v>
      </c>
      <c r="E48" s="4" t="s">
        <v>732</v>
      </c>
      <c r="F48" s="4" t="s">
        <v>731</v>
      </c>
      <c r="G48" s="9" t="n">
        <v>0</v>
      </c>
      <c r="H48" s="9" t="n">
        <v>90</v>
      </c>
      <c r="I48" s="4" t="n">
        <f aca="false">SUMIFS(Bouches!$M$2:$M$271,Bouches!$S$2:$S$271,A48,Bouches!$C$2:$C$271,"Soufflage")</f>
        <v>0</v>
      </c>
      <c r="J48" s="4" t="n">
        <f aca="false">SUMIFS(Bouches!$M$2:$M$271,Bouches!$S$2:$S$271,A48,Bouches!$C$2:$C$271,"Reprise")</f>
        <v>0</v>
      </c>
      <c r="K48" s="4" t="n">
        <f aca="false">SUMIFS(Bouches!$M$2:$M$271,Bouches!$S$2:$S$271,A48,Bouches!$C$2:$C$271,"Extraction")</f>
        <v>90</v>
      </c>
      <c r="L48" s="4" t="n">
        <v>1</v>
      </c>
      <c r="M48" s="4" t="n">
        <v>1</v>
      </c>
      <c r="N48" s="4" t="str">
        <f aca="false">IF(AND(OR(G48&lt;Hypothèses!$B$6,ABS(I48-G48)&lt;=2),ABS(K48-H48)&lt;=2),"oui","NON")</f>
        <v>oui</v>
      </c>
      <c r="O48" s="4"/>
      <c r="P48" s="4" t="s">
        <v>213</v>
      </c>
    </row>
    <row r="49" customFormat="false" ht="15" hidden="false" customHeight="false" outlineLevel="0" collapsed="false">
      <c r="A49" s="4" t="s">
        <v>56</v>
      </c>
      <c r="B49" s="4" t="s">
        <v>42</v>
      </c>
      <c r="C49" s="4" t="s">
        <v>55</v>
      </c>
      <c r="D49" s="4" t="s">
        <v>44</v>
      </c>
      <c r="E49" s="4" t="s">
        <v>732</v>
      </c>
      <c r="F49" s="4" t="s">
        <v>731</v>
      </c>
      <c r="G49" s="9" t="n">
        <v>0</v>
      </c>
      <c r="H49" s="9" t="n">
        <v>90</v>
      </c>
      <c r="I49" s="4" t="n">
        <f aca="false">SUMIFS(Bouches!$M$2:$M$271,Bouches!$S$2:$S$271,A49,Bouches!$C$2:$C$271,"Soufflage")</f>
        <v>0</v>
      </c>
      <c r="J49" s="4" t="n">
        <f aca="false">SUMIFS(Bouches!$M$2:$M$271,Bouches!$S$2:$S$271,A49,Bouches!$C$2:$C$271,"Reprise")</f>
        <v>0</v>
      </c>
      <c r="K49" s="4" t="n">
        <f aca="false">SUMIFS(Bouches!$M$2:$M$271,Bouches!$S$2:$S$271,A49,Bouches!$C$2:$C$271,"Extraction")</f>
        <v>90</v>
      </c>
      <c r="L49" s="4" t="n">
        <v>1</v>
      </c>
      <c r="M49" s="4" t="n">
        <v>1</v>
      </c>
      <c r="N49" s="4" t="str">
        <f aca="false">IF(AND(OR(G49&lt;Hypothèses!$B$6,ABS(I49-G49)&lt;=2),ABS(K49-H49)&lt;=2),"oui","NON")</f>
        <v>oui</v>
      </c>
      <c r="O49" s="4"/>
      <c r="P49" s="4" t="s">
        <v>54</v>
      </c>
    </row>
    <row r="50" customFormat="false" ht="15" hidden="false" customHeight="false" outlineLevel="0" collapsed="false">
      <c r="A50" s="4" t="s">
        <v>206</v>
      </c>
      <c r="B50" s="4" t="s">
        <v>42</v>
      </c>
      <c r="C50" s="4" t="s">
        <v>205</v>
      </c>
      <c r="D50" s="4" t="s">
        <v>44</v>
      </c>
      <c r="E50" s="4" t="s">
        <v>732</v>
      </c>
      <c r="F50" s="4" t="s">
        <v>731</v>
      </c>
      <c r="G50" s="9" t="n">
        <v>0</v>
      </c>
      <c r="H50" s="9" t="n">
        <v>90</v>
      </c>
      <c r="I50" s="4" t="n">
        <f aca="false">SUMIFS(Bouches!$M$2:$M$271,Bouches!$S$2:$S$271,A50,Bouches!$C$2:$C$271,"Soufflage")</f>
        <v>0</v>
      </c>
      <c r="J50" s="4" t="n">
        <f aca="false">SUMIFS(Bouches!$M$2:$M$271,Bouches!$S$2:$S$271,A50,Bouches!$C$2:$C$271,"Reprise")</f>
        <v>0</v>
      </c>
      <c r="K50" s="4" t="n">
        <f aca="false">SUMIFS(Bouches!$M$2:$M$271,Bouches!$S$2:$S$271,A50,Bouches!$C$2:$C$271,"Extraction")</f>
        <v>90</v>
      </c>
      <c r="L50" s="4" t="n">
        <v>1</v>
      </c>
      <c r="M50" s="4" t="n">
        <v>1</v>
      </c>
      <c r="N50" s="4" t="str">
        <f aca="false">IF(AND(OR(G50&lt;Hypothèses!$B$6,ABS(I50-G50)&lt;=2),ABS(K50-H50)&lt;=2),"oui","NON")</f>
        <v>oui</v>
      </c>
      <c r="O50" s="4"/>
      <c r="P50" s="4" t="s">
        <v>204</v>
      </c>
    </row>
    <row r="51" customFormat="false" ht="15" hidden="false" customHeight="false" outlineLevel="0" collapsed="false">
      <c r="A51" s="4" t="s">
        <v>209</v>
      </c>
      <c r="B51" s="4" t="s">
        <v>42</v>
      </c>
      <c r="C51" s="4" t="s">
        <v>208</v>
      </c>
      <c r="D51" s="4" t="s">
        <v>44</v>
      </c>
      <c r="E51" s="4" t="s">
        <v>732</v>
      </c>
      <c r="F51" s="4" t="s">
        <v>731</v>
      </c>
      <c r="G51" s="9" t="n">
        <v>0</v>
      </c>
      <c r="H51" s="9" t="n">
        <v>90</v>
      </c>
      <c r="I51" s="4" t="n">
        <f aca="false">SUMIFS(Bouches!$M$2:$M$271,Bouches!$S$2:$S$271,A51,Bouches!$C$2:$C$271,"Soufflage")</f>
        <v>0</v>
      </c>
      <c r="J51" s="4" t="n">
        <f aca="false">SUMIFS(Bouches!$M$2:$M$271,Bouches!$S$2:$S$271,A51,Bouches!$C$2:$C$271,"Reprise")</f>
        <v>0</v>
      </c>
      <c r="K51" s="4" t="n">
        <f aca="false">SUMIFS(Bouches!$M$2:$M$271,Bouches!$S$2:$S$271,A51,Bouches!$C$2:$C$271,"Extraction")</f>
        <v>90</v>
      </c>
      <c r="L51" s="4" t="n">
        <v>1</v>
      </c>
      <c r="M51" s="4" t="n">
        <v>1</v>
      </c>
      <c r="N51" s="4" t="str">
        <f aca="false">IF(AND(OR(G51&lt;Hypothèses!$B$6,ABS(I51-G51)&lt;=2),ABS(K51-H51)&lt;=2),"oui","NON")</f>
        <v>oui</v>
      </c>
      <c r="O51" s="4"/>
      <c r="P51" s="4" t="s">
        <v>207</v>
      </c>
    </row>
    <row r="52" customFormat="false" ht="15" hidden="false" customHeight="false" outlineLevel="0" collapsed="false">
      <c r="A52" s="4" t="s">
        <v>59</v>
      </c>
      <c r="B52" s="4" t="s">
        <v>42</v>
      </c>
      <c r="C52" s="4" t="s">
        <v>58</v>
      </c>
      <c r="D52" s="4" t="s">
        <v>44</v>
      </c>
      <c r="E52" s="4" t="s">
        <v>732</v>
      </c>
      <c r="F52" s="4" t="s">
        <v>731</v>
      </c>
      <c r="G52" s="9" t="n">
        <v>0</v>
      </c>
      <c r="H52" s="9" t="n">
        <v>90</v>
      </c>
      <c r="I52" s="4" t="n">
        <f aca="false">SUMIFS(Bouches!$M$2:$M$271,Bouches!$S$2:$S$271,A52,Bouches!$C$2:$C$271,"Soufflage")</f>
        <v>0</v>
      </c>
      <c r="J52" s="4" t="n">
        <f aca="false">SUMIFS(Bouches!$M$2:$M$271,Bouches!$S$2:$S$271,A52,Bouches!$C$2:$C$271,"Reprise")</f>
        <v>0</v>
      </c>
      <c r="K52" s="4" t="n">
        <f aca="false">SUMIFS(Bouches!$M$2:$M$271,Bouches!$S$2:$S$271,A52,Bouches!$C$2:$C$271,"Extraction")</f>
        <v>90</v>
      </c>
      <c r="L52" s="4" t="n">
        <v>1</v>
      </c>
      <c r="M52" s="4" t="n">
        <v>1</v>
      </c>
      <c r="N52" s="4" t="str">
        <f aca="false">IF(AND(OR(G52&lt;Hypothèses!$B$6,ABS(I52-G52)&lt;=2),ABS(K52-H52)&lt;=2),"oui","NON")</f>
        <v>oui</v>
      </c>
      <c r="O52" s="4"/>
      <c r="P52" s="4" t="s">
        <v>57</v>
      </c>
    </row>
    <row r="53" customFormat="false" ht="15" hidden="false" customHeight="false" outlineLevel="0" collapsed="false">
      <c r="A53" s="4" t="s">
        <v>230</v>
      </c>
      <c r="B53" s="4" t="s">
        <v>42</v>
      </c>
      <c r="C53" s="4" t="s">
        <v>229</v>
      </c>
      <c r="D53" s="4" t="s">
        <v>44</v>
      </c>
      <c r="E53" s="4" t="s">
        <v>732</v>
      </c>
      <c r="F53" s="4" t="s">
        <v>731</v>
      </c>
      <c r="G53" s="9" t="n">
        <v>0</v>
      </c>
      <c r="H53" s="9" t="n">
        <v>90</v>
      </c>
      <c r="I53" s="4" t="n">
        <f aca="false">SUMIFS(Bouches!$M$2:$M$271,Bouches!$S$2:$S$271,A53,Bouches!$C$2:$C$271,"Soufflage")</f>
        <v>0</v>
      </c>
      <c r="J53" s="4" t="n">
        <f aca="false">SUMIFS(Bouches!$M$2:$M$271,Bouches!$S$2:$S$271,A53,Bouches!$C$2:$C$271,"Reprise")</f>
        <v>0</v>
      </c>
      <c r="K53" s="4" t="n">
        <f aca="false">SUMIFS(Bouches!$M$2:$M$271,Bouches!$S$2:$S$271,A53,Bouches!$C$2:$C$271,"Extraction")</f>
        <v>90</v>
      </c>
      <c r="L53" s="4" t="n">
        <v>1</v>
      </c>
      <c r="M53" s="4" t="n">
        <v>1</v>
      </c>
      <c r="N53" s="4" t="str">
        <f aca="false">IF(AND(OR(G53&lt;Hypothèses!$B$6,ABS(I53-G53)&lt;=2),ABS(K53-H53)&lt;=2),"oui","NON")</f>
        <v>oui</v>
      </c>
      <c r="O53" s="4"/>
      <c r="P53" s="4" t="s">
        <v>228</v>
      </c>
    </row>
    <row r="54" customFormat="false" ht="15" hidden="false" customHeight="false" outlineLevel="0" collapsed="false">
      <c r="A54" s="4" t="s">
        <v>62</v>
      </c>
      <c r="B54" s="4" t="s">
        <v>42</v>
      </c>
      <c r="C54" s="4" t="s">
        <v>61</v>
      </c>
      <c r="D54" s="4" t="s">
        <v>44</v>
      </c>
      <c r="E54" s="4" t="s">
        <v>732</v>
      </c>
      <c r="F54" s="4" t="s">
        <v>731</v>
      </c>
      <c r="G54" s="9" t="n">
        <v>0</v>
      </c>
      <c r="H54" s="9" t="n">
        <v>90</v>
      </c>
      <c r="I54" s="4" t="n">
        <f aca="false">SUMIFS(Bouches!$M$2:$M$271,Bouches!$S$2:$S$271,A54,Bouches!$C$2:$C$271,"Soufflage")</f>
        <v>0</v>
      </c>
      <c r="J54" s="4" t="n">
        <f aca="false">SUMIFS(Bouches!$M$2:$M$271,Bouches!$S$2:$S$271,A54,Bouches!$C$2:$C$271,"Reprise")</f>
        <v>0</v>
      </c>
      <c r="K54" s="4" t="n">
        <f aca="false">SUMIFS(Bouches!$M$2:$M$271,Bouches!$S$2:$S$271,A54,Bouches!$C$2:$C$271,"Extraction")</f>
        <v>90</v>
      </c>
      <c r="L54" s="4" t="n">
        <v>1</v>
      </c>
      <c r="M54" s="4" t="n">
        <v>1</v>
      </c>
      <c r="N54" s="4" t="str">
        <f aca="false">IF(AND(OR(G54&lt;Hypothèses!$B$6,ABS(I54-G54)&lt;=2),ABS(K54-H54)&lt;=2),"oui","NON")</f>
        <v>oui</v>
      </c>
      <c r="O54" s="4"/>
      <c r="P54" s="4" t="s">
        <v>60</v>
      </c>
    </row>
    <row r="55" customFormat="false" ht="15" hidden="false" customHeight="false" outlineLevel="0" collapsed="false">
      <c r="A55" s="4" t="s">
        <v>236</v>
      </c>
      <c r="B55" s="4" t="s">
        <v>42</v>
      </c>
      <c r="C55" s="4" t="s">
        <v>235</v>
      </c>
      <c r="D55" s="4" t="s">
        <v>44</v>
      </c>
      <c r="E55" s="4" t="s">
        <v>732</v>
      </c>
      <c r="F55" s="4" t="s">
        <v>731</v>
      </c>
      <c r="G55" s="9" t="n">
        <v>0</v>
      </c>
      <c r="H55" s="9" t="n">
        <v>90</v>
      </c>
      <c r="I55" s="4" t="n">
        <f aca="false">SUMIFS(Bouches!$M$2:$M$271,Bouches!$S$2:$S$271,A55,Bouches!$C$2:$C$271,"Soufflage")</f>
        <v>0</v>
      </c>
      <c r="J55" s="4" t="n">
        <f aca="false">SUMIFS(Bouches!$M$2:$M$271,Bouches!$S$2:$S$271,A55,Bouches!$C$2:$C$271,"Reprise")</f>
        <v>0</v>
      </c>
      <c r="K55" s="4" t="n">
        <f aca="false">SUMIFS(Bouches!$M$2:$M$271,Bouches!$S$2:$S$271,A55,Bouches!$C$2:$C$271,"Extraction")</f>
        <v>90</v>
      </c>
      <c r="L55" s="4" t="n">
        <v>1</v>
      </c>
      <c r="M55" s="4" t="n">
        <v>1</v>
      </c>
      <c r="N55" s="4" t="str">
        <f aca="false">IF(AND(OR(G55&lt;Hypothèses!$B$6,ABS(I55-G55)&lt;=2),ABS(K55-H55)&lt;=2),"oui","NON")</f>
        <v>oui</v>
      </c>
      <c r="O55" s="4"/>
      <c r="P55" s="4" t="s">
        <v>234</v>
      </c>
    </row>
    <row r="56" customFormat="false" ht="15" hidden="false" customHeight="false" outlineLevel="0" collapsed="false">
      <c r="A56" s="4" t="s">
        <v>233</v>
      </c>
      <c r="B56" s="4" t="s">
        <v>42</v>
      </c>
      <c r="C56" s="4" t="s">
        <v>232</v>
      </c>
      <c r="D56" s="4" t="s">
        <v>44</v>
      </c>
      <c r="E56" s="4" t="s">
        <v>732</v>
      </c>
      <c r="F56" s="4" t="s">
        <v>731</v>
      </c>
      <c r="G56" s="9" t="n">
        <v>0</v>
      </c>
      <c r="H56" s="9" t="n">
        <v>90</v>
      </c>
      <c r="I56" s="4" t="n">
        <f aca="false">SUMIFS(Bouches!$M$2:$M$271,Bouches!$S$2:$S$271,A56,Bouches!$C$2:$C$271,"Soufflage")</f>
        <v>0</v>
      </c>
      <c r="J56" s="4" t="n">
        <f aca="false">SUMIFS(Bouches!$M$2:$M$271,Bouches!$S$2:$S$271,A56,Bouches!$C$2:$C$271,"Reprise")</f>
        <v>0</v>
      </c>
      <c r="K56" s="4" t="n">
        <f aca="false">SUMIFS(Bouches!$M$2:$M$271,Bouches!$S$2:$S$271,A56,Bouches!$C$2:$C$271,"Extraction")</f>
        <v>90</v>
      </c>
      <c r="L56" s="4" t="n">
        <v>1</v>
      </c>
      <c r="M56" s="4" t="n">
        <v>1</v>
      </c>
      <c r="N56" s="4" t="str">
        <f aca="false">IF(AND(OR(G56&lt;Hypothèses!$B$6,ABS(I56-G56)&lt;=2),ABS(K56-H56)&lt;=2),"oui","NON")</f>
        <v>oui</v>
      </c>
      <c r="O56" s="4"/>
      <c r="P56" s="4" t="s">
        <v>231</v>
      </c>
    </row>
    <row r="57" customFormat="false" ht="15" hidden="false" customHeight="false" outlineLevel="0" collapsed="false">
      <c r="A57" s="4" t="s">
        <v>212</v>
      </c>
      <c r="B57" s="4" t="s">
        <v>42</v>
      </c>
      <c r="C57" s="4" t="s">
        <v>211</v>
      </c>
      <c r="D57" s="4" t="s">
        <v>44</v>
      </c>
      <c r="E57" s="4" t="s">
        <v>732</v>
      </c>
      <c r="F57" s="4" t="s">
        <v>731</v>
      </c>
      <c r="G57" s="9" t="n">
        <v>0</v>
      </c>
      <c r="H57" s="9" t="n">
        <v>90</v>
      </c>
      <c r="I57" s="4" t="n">
        <f aca="false">SUMIFS(Bouches!$M$2:$M$271,Bouches!$S$2:$S$271,A57,Bouches!$C$2:$C$271,"Soufflage")</f>
        <v>0</v>
      </c>
      <c r="J57" s="4" t="n">
        <f aca="false">SUMIFS(Bouches!$M$2:$M$271,Bouches!$S$2:$S$271,A57,Bouches!$C$2:$C$271,"Reprise")</f>
        <v>0</v>
      </c>
      <c r="K57" s="4" t="n">
        <f aca="false">SUMIFS(Bouches!$M$2:$M$271,Bouches!$S$2:$S$271,A57,Bouches!$C$2:$C$271,"Extraction")</f>
        <v>90</v>
      </c>
      <c r="L57" s="4" t="n">
        <v>1</v>
      </c>
      <c r="M57" s="4" t="n">
        <v>1</v>
      </c>
      <c r="N57" s="4" t="str">
        <f aca="false">IF(AND(OR(G57&lt;Hypothèses!$B$6,ABS(I57-G57)&lt;=2),ABS(K57-H57)&lt;=2),"oui","NON")</f>
        <v>oui</v>
      </c>
      <c r="O57" s="4"/>
      <c r="P57" s="4" t="s">
        <v>210</v>
      </c>
    </row>
    <row r="58" customFormat="false" ht="15" hidden="false" customHeight="false" outlineLevel="0" collapsed="false">
      <c r="A58" s="4" t="s">
        <v>310</v>
      </c>
      <c r="B58" s="4" t="s">
        <v>91</v>
      </c>
      <c r="C58" s="4" t="s">
        <v>134</v>
      </c>
      <c r="D58" s="4" t="s">
        <v>279</v>
      </c>
      <c r="E58" s="4" t="s">
        <v>730</v>
      </c>
      <c r="F58" s="4" t="s">
        <v>731</v>
      </c>
      <c r="G58" s="9" t="n">
        <v>90</v>
      </c>
      <c r="H58" s="9" t="n">
        <v>0</v>
      </c>
      <c r="I58" s="4" t="n">
        <f aca="false">SUMIFS(Bouches!$M$2:$M$271,Bouches!$S$2:$S$271,A58,Bouches!$C$2:$C$271,"Soufflage")</f>
        <v>90</v>
      </c>
      <c r="J58" s="4" t="n">
        <f aca="false">SUMIFS(Bouches!$M$2:$M$271,Bouches!$S$2:$S$271,A58,Bouches!$C$2:$C$271,"Reprise")</f>
        <v>0</v>
      </c>
      <c r="K58" s="4" t="n">
        <f aca="false">SUMIFS(Bouches!$M$2:$M$271,Bouches!$S$2:$S$271,A58,Bouches!$C$2:$C$271,"Extraction")</f>
        <v>0</v>
      </c>
      <c r="L58" s="4" t="n">
        <v>1</v>
      </c>
      <c r="M58" s="4" t="n">
        <v>1</v>
      </c>
      <c r="N58" s="4" t="str">
        <f aca="false">IF(AND(OR(G58&lt;Hypothèses!$B$6,ABS(I58-G58)&lt;=2),ABS(K58-H58)&lt;=2),"oui","NON")</f>
        <v>oui</v>
      </c>
      <c r="O58" s="4"/>
      <c r="P58" s="4" t="s">
        <v>309</v>
      </c>
    </row>
    <row r="59" customFormat="false" ht="15" hidden="false" customHeight="false" outlineLevel="0" collapsed="false">
      <c r="A59" s="4" t="s">
        <v>312</v>
      </c>
      <c r="B59" s="4" t="s">
        <v>91</v>
      </c>
      <c r="C59" s="4" t="s">
        <v>134</v>
      </c>
      <c r="D59" s="4" t="s">
        <v>279</v>
      </c>
      <c r="E59" s="4" t="s">
        <v>730</v>
      </c>
      <c r="F59" s="4" t="s">
        <v>731</v>
      </c>
      <c r="G59" s="9" t="n">
        <v>90</v>
      </c>
      <c r="H59" s="9" t="n">
        <v>0</v>
      </c>
      <c r="I59" s="4" t="n">
        <f aca="false">SUMIFS(Bouches!$M$2:$M$271,Bouches!$S$2:$S$271,A59,Bouches!$C$2:$C$271,"Soufflage")</f>
        <v>90</v>
      </c>
      <c r="J59" s="4" t="n">
        <f aca="false">SUMIFS(Bouches!$M$2:$M$271,Bouches!$S$2:$S$271,A59,Bouches!$C$2:$C$271,"Reprise")</f>
        <v>0</v>
      </c>
      <c r="K59" s="4" t="n">
        <f aca="false">SUMIFS(Bouches!$M$2:$M$271,Bouches!$S$2:$S$271,A59,Bouches!$C$2:$C$271,"Extraction")</f>
        <v>0</v>
      </c>
      <c r="L59" s="4" t="n">
        <v>1</v>
      </c>
      <c r="M59" s="4" t="n">
        <v>1</v>
      </c>
      <c r="N59" s="4" t="str">
        <f aca="false">IF(AND(OR(G59&lt;Hypothèses!$B$6,ABS(I59-G59)&lt;=2),ABS(K59-H59)&lt;=2),"oui","NON")</f>
        <v>oui</v>
      </c>
      <c r="O59" s="4"/>
      <c r="P59" s="4" t="s">
        <v>311</v>
      </c>
    </row>
    <row r="60" customFormat="false" ht="15" hidden="false" customHeight="false" outlineLevel="0" collapsed="false">
      <c r="A60" s="4" t="s">
        <v>314</v>
      </c>
      <c r="B60" s="4" t="s">
        <v>91</v>
      </c>
      <c r="C60" s="4" t="s">
        <v>134</v>
      </c>
      <c r="D60" s="4" t="s">
        <v>279</v>
      </c>
      <c r="E60" s="4" t="s">
        <v>730</v>
      </c>
      <c r="F60" s="4" t="s">
        <v>731</v>
      </c>
      <c r="G60" s="9" t="n">
        <v>90</v>
      </c>
      <c r="H60" s="9" t="n">
        <v>0</v>
      </c>
      <c r="I60" s="4" t="n">
        <f aca="false">SUMIFS(Bouches!$M$2:$M$271,Bouches!$S$2:$S$271,A60,Bouches!$C$2:$C$271,"Soufflage")</f>
        <v>90</v>
      </c>
      <c r="J60" s="4" t="n">
        <f aca="false">SUMIFS(Bouches!$M$2:$M$271,Bouches!$S$2:$S$271,A60,Bouches!$C$2:$C$271,"Reprise")</f>
        <v>0</v>
      </c>
      <c r="K60" s="4" t="n">
        <f aca="false">SUMIFS(Bouches!$M$2:$M$271,Bouches!$S$2:$S$271,A60,Bouches!$C$2:$C$271,"Extraction")</f>
        <v>0</v>
      </c>
      <c r="L60" s="4" t="n">
        <v>1</v>
      </c>
      <c r="M60" s="4" t="n">
        <v>1</v>
      </c>
      <c r="N60" s="4" t="str">
        <f aca="false">IF(AND(OR(G60&lt;Hypothèses!$B$6,ABS(I60-G60)&lt;=2),ABS(K60-H60)&lt;=2),"oui","NON")</f>
        <v>oui</v>
      </c>
      <c r="O60" s="4"/>
      <c r="P60" s="4" t="s">
        <v>313</v>
      </c>
    </row>
    <row r="61" customFormat="false" ht="15" hidden="false" customHeight="false" outlineLevel="0" collapsed="false">
      <c r="A61" s="4" t="s">
        <v>308</v>
      </c>
      <c r="B61" s="4" t="s">
        <v>91</v>
      </c>
      <c r="C61" s="4" t="s">
        <v>134</v>
      </c>
      <c r="D61" s="4" t="s">
        <v>279</v>
      </c>
      <c r="E61" s="4" t="s">
        <v>730</v>
      </c>
      <c r="F61" s="4" t="s">
        <v>731</v>
      </c>
      <c r="G61" s="9" t="n">
        <v>90</v>
      </c>
      <c r="H61" s="9" t="n">
        <v>0</v>
      </c>
      <c r="I61" s="4" t="n">
        <f aca="false">SUMIFS(Bouches!$M$2:$M$271,Bouches!$S$2:$S$271,A61,Bouches!$C$2:$C$271,"Soufflage")</f>
        <v>90</v>
      </c>
      <c r="J61" s="4" t="n">
        <f aca="false">SUMIFS(Bouches!$M$2:$M$271,Bouches!$S$2:$S$271,A61,Bouches!$C$2:$C$271,"Reprise")</f>
        <v>0</v>
      </c>
      <c r="K61" s="4" t="n">
        <f aca="false">SUMIFS(Bouches!$M$2:$M$271,Bouches!$S$2:$S$271,A61,Bouches!$C$2:$C$271,"Extraction")</f>
        <v>0</v>
      </c>
      <c r="L61" s="4" t="n">
        <v>1</v>
      </c>
      <c r="M61" s="4" t="n">
        <v>1</v>
      </c>
      <c r="N61" s="4" t="str">
        <f aca="false">IF(AND(OR(G61&lt;Hypothèses!$B$6,ABS(I61-G61)&lt;=2),ABS(K61-H61)&lt;=2),"oui","NON")</f>
        <v>oui</v>
      </c>
      <c r="O61" s="4"/>
      <c r="P61" s="4" t="s">
        <v>307</v>
      </c>
    </row>
    <row r="62" customFormat="false" ht="15" hidden="false" customHeight="false" outlineLevel="0" collapsed="false">
      <c r="A62" s="4" t="s">
        <v>168</v>
      </c>
      <c r="B62" s="4" t="s">
        <v>91</v>
      </c>
      <c r="C62" s="4" t="s">
        <v>134</v>
      </c>
      <c r="D62" s="4" t="s">
        <v>135</v>
      </c>
      <c r="E62" s="4" t="s">
        <v>730</v>
      </c>
      <c r="F62" s="4" t="s">
        <v>731</v>
      </c>
      <c r="G62" s="9" t="n">
        <v>90</v>
      </c>
      <c r="H62" s="9" t="n">
        <v>0</v>
      </c>
      <c r="I62" s="4" t="n">
        <f aca="false">SUMIFS(Bouches!$M$2:$M$271,Bouches!$S$2:$S$271,A62,Bouches!$C$2:$C$271,"Soufflage")</f>
        <v>90</v>
      </c>
      <c r="J62" s="4" t="n">
        <f aca="false">SUMIFS(Bouches!$M$2:$M$271,Bouches!$S$2:$S$271,A62,Bouches!$C$2:$C$271,"Reprise")</f>
        <v>0</v>
      </c>
      <c r="K62" s="4" t="n">
        <f aca="false">SUMIFS(Bouches!$M$2:$M$271,Bouches!$S$2:$S$271,A62,Bouches!$C$2:$C$271,"Extraction")</f>
        <v>0</v>
      </c>
      <c r="L62" s="4" t="n">
        <v>1</v>
      </c>
      <c r="M62" s="4" t="n">
        <v>1</v>
      </c>
      <c r="N62" s="4" t="str">
        <f aca="false">IF(AND(OR(G62&lt;Hypothèses!$B$6,ABS(I62-G62)&lt;=2),ABS(K62-H62)&lt;=2),"oui","NON")</f>
        <v>oui</v>
      </c>
      <c r="O62" s="4"/>
      <c r="P62" s="4" t="s">
        <v>167</v>
      </c>
    </row>
    <row r="63" customFormat="false" ht="15" hidden="false" customHeight="false" outlineLevel="0" collapsed="false">
      <c r="A63" s="4" t="s">
        <v>170</v>
      </c>
      <c r="B63" s="4" t="s">
        <v>91</v>
      </c>
      <c r="C63" s="4" t="s">
        <v>134</v>
      </c>
      <c r="D63" s="4" t="s">
        <v>135</v>
      </c>
      <c r="E63" s="4" t="s">
        <v>730</v>
      </c>
      <c r="F63" s="4" t="s">
        <v>731</v>
      </c>
      <c r="G63" s="9" t="n">
        <v>90</v>
      </c>
      <c r="H63" s="9" t="n">
        <v>0</v>
      </c>
      <c r="I63" s="4" t="n">
        <f aca="false">SUMIFS(Bouches!$M$2:$M$271,Bouches!$S$2:$S$271,A63,Bouches!$C$2:$C$271,"Soufflage")</f>
        <v>90</v>
      </c>
      <c r="J63" s="4" t="n">
        <f aca="false">SUMIFS(Bouches!$M$2:$M$271,Bouches!$S$2:$S$271,A63,Bouches!$C$2:$C$271,"Reprise")</f>
        <v>0</v>
      </c>
      <c r="K63" s="4" t="n">
        <f aca="false">SUMIFS(Bouches!$M$2:$M$271,Bouches!$S$2:$S$271,A63,Bouches!$C$2:$C$271,"Extraction")</f>
        <v>0</v>
      </c>
      <c r="L63" s="4" t="n">
        <v>1</v>
      </c>
      <c r="M63" s="4" t="n">
        <v>1</v>
      </c>
      <c r="N63" s="4" t="str">
        <f aca="false">IF(AND(OR(G63&lt;Hypothèses!$B$6,ABS(I63-G63)&lt;=2),ABS(K63-H63)&lt;=2),"oui","NON")</f>
        <v>oui</v>
      </c>
      <c r="O63" s="4"/>
      <c r="P63" s="4" t="s">
        <v>169</v>
      </c>
    </row>
    <row r="64" customFormat="false" ht="15" hidden="false" customHeight="false" outlineLevel="0" collapsed="false">
      <c r="A64" s="4" t="s">
        <v>316</v>
      </c>
      <c r="B64" s="4" t="s">
        <v>91</v>
      </c>
      <c r="C64" s="4" t="s">
        <v>134</v>
      </c>
      <c r="D64" s="4" t="s">
        <v>135</v>
      </c>
      <c r="E64" s="4" t="s">
        <v>730</v>
      </c>
      <c r="F64" s="4" t="s">
        <v>731</v>
      </c>
      <c r="G64" s="9" t="n">
        <v>90</v>
      </c>
      <c r="H64" s="9" t="n">
        <v>0</v>
      </c>
      <c r="I64" s="4" t="n">
        <f aca="false">SUMIFS(Bouches!$M$2:$M$271,Bouches!$S$2:$S$271,A64,Bouches!$C$2:$C$271,"Soufflage")</f>
        <v>90</v>
      </c>
      <c r="J64" s="4" t="n">
        <f aca="false">SUMIFS(Bouches!$M$2:$M$271,Bouches!$S$2:$S$271,A64,Bouches!$C$2:$C$271,"Reprise")</f>
        <v>0</v>
      </c>
      <c r="K64" s="4" t="n">
        <f aca="false">SUMIFS(Bouches!$M$2:$M$271,Bouches!$S$2:$S$271,A64,Bouches!$C$2:$C$271,"Extraction")</f>
        <v>0</v>
      </c>
      <c r="L64" s="4" t="n">
        <v>1</v>
      </c>
      <c r="M64" s="4" t="n">
        <v>1</v>
      </c>
      <c r="N64" s="4" t="str">
        <f aca="false">IF(AND(OR(G64&lt;Hypothèses!$B$6,ABS(I64-G64)&lt;=2),ABS(K64-H64)&lt;=2),"oui","NON")</f>
        <v>oui</v>
      </c>
      <c r="O64" s="4"/>
      <c r="P64" s="4" t="s">
        <v>315</v>
      </c>
    </row>
    <row r="65" customFormat="false" ht="15" hidden="false" customHeight="false" outlineLevel="0" collapsed="false">
      <c r="A65" s="4" t="s">
        <v>320</v>
      </c>
      <c r="B65" s="4" t="s">
        <v>91</v>
      </c>
      <c r="C65" s="4" t="s">
        <v>134</v>
      </c>
      <c r="D65" s="4" t="s">
        <v>135</v>
      </c>
      <c r="E65" s="4" t="s">
        <v>730</v>
      </c>
      <c r="F65" s="4" t="s">
        <v>731</v>
      </c>
      <c r="G65" s="9" t="n">
        <v>90</v>
      </c>
      <c r="H65" s="9" t="n">
        <v>0</v>
      </c>
      <c r="I65" s="4" t="n">
        <f aca="false">SUMIFS(Bouches!$M$2:$M$271,Bouches!$S$2:$S$271,A65,Bouches!$C$2:$C$271,"Soufflage")</f>
        <v>90</v>
      </c>
      <c r="J65" s="4" t="n">
        <f aca="false">SUMIFS(Bouches!$M$2:$M$271,Bouches!$S$2:$S$271,A65,Bouches!$C$2:$C$271,"Reprise")</f>
        <v>0</v>
      </c>
      <c r="K65" s="4" t="n">
        <f aca="false">SUMIFS(Bouches!$M$2:$M$271,Bouches!$S$2:$S$271,A65,Bouches!$C$2:$C$271,"Extraction")</f>
        <v>0</v>
      </c>
      <c r="L65" s="4" t="n">
        <v>1</v>
      </c>
      <c r="M65" s="4" t="n">
        <v>1</v>
      </c>
      <c r="N65" s="4" t="str">
        <f aca="false">IF(AND(OR(G65&lt;Hypothèses!$B$6,ABS(I65-G65)&lt;=2),ABS(K65-H65)&lt;=2),"oui","NON")</f>
        <v>oui</v>
      </c>
      <c r="O65" s="4"/>
      <c r="P65" s="4" t="s">
        <v>319</v>
      </c>
    </row>
    <row r="66" customFormat="false" ht="15" hidden="false" customHeight="false" outlineLevel="0" collapsed="false">
      <c r="A66" s="4" t="s">
        <v>318</v>
      </c>
      <c r="B66" s="4" t="s">
        <v>91</v>
      </c>
      <c r="C66" s="4" t="s">
        <v>134</v>
      </c>
      <c r="D66" s="4" t="s">
        <v>135</v>
      </c>
      <c r="E66" s="4" t="s">
        <v>730</v>
      </c>
      <c r="F66" s="4" t="s">
        <v>731</v>
      </c>
      <c r="G66" s="9" t="n">
        <v>90</v>
      </c>
      <c r="H66" s="9" t="n">
        <v>0</v>
      </c>
      <c r="I66" s="4" t="n">
        <f aca="false">SUMIFS(Bouches!$M$2:$M$271,Bouches!$S$2:$S$271,A66,Bouches!$C$2:$C$271,"Soufflage")</f>
        <v>90</v>
      </c>
      <c r="J66" s="4" t="n">
        <f aca="false">SUMIFS(Bouches!$M$2:$M$271,Bouches!$S$2:$S$271,A66,Bouches!$C$2:$C$271,"Reprise")</f>
        <v>0</v>
      </c>
      <c r="K66" s="4" t="n">
        <f aca="false">SUMIFS(Bouches!$M$2:$M$271,Bouches!$S$2:$S$271,A66,Bouches!$C$2:$C$271,"Extraction")</f>
        <v>0</v>
      </c>
      <c r="L66" s="4" t="n">
        <v>1</v>
      </c>
      <c r="M66" s="4" t="n">
        <v>1</v>
      </c>
      <c r="N66" s="4" t="str">
        <f aca="false">IF(AND(OR(G66&lt;Hypothèses!$B$6,ABS(I66-G66)&lt;=2),ABS(K66-H66)&lt;=2),"oui","NON")</f>
        <v>oui</v>
      </c>
      <c r="O66" s="4"/>
      <c r="P66" s="4" t="s">
        <v>317</v>
      </c>
    </row>
    <row r="67" customFormat="false" ht="15" hidden="false" customHeight="false" outlineLevel="0" collapsed="false">
      <c r="A67" s="4" t="s">
        <v>327</v>
      </c>
      <c r="B67" s="4" t="s">
        <v>91</v>
      </c>
      <c r="C67" s="4" t="s">
        <v>134</v>
      </c>
      <c r="D67" s="4" t="s">
        <v>143</v>
      </c>
      <c r="E67" s="4" t="s">
        <v>730</v>
      </c>
      <c r="F67" s="4" t="s">
        <v>731</v>
      </c>
      <c r="G67" s="9" t="n">
        <v>90</v>
      </c>
      <c r="H67" s="9" t="n">
        <v>0</v>
      </c>
      <c r="I67" s="4" t="n">
        <f aca="false">SUMIFS(Bouches!$M$2:$M$271,Bouches!$S$2:$S$271,A67,Bouches!$C$2:$C$271,"Soufflage")</f>
        <v>90</v>
      </c>
      <c r="J67" s="4" t="n">
        <f aca="false">SUMIFS(Bouches!$M$2:$M$271,Bouches!$S$2:$S$271,A67,Bouches!$C$2:$C$271,"Reprise")</f>
        <v>0</v>
      </c>
      <c r="K67" s="4" t="n">
        <f aca="false">SUMIFS(Bouches!$M$2:$M$271,Bouches!$S$2:$S$271,A67,Bouches!$C$2:$C$271,"Extraction")</f>
        <v>0</v>
      </c>
      <c r="L67" s="4" t="n">
        <v>1</v>
      </c>
      <c r="M67" s="4" t="n">
        <v>1</v>
      </c>
      <c r="N67" s="4" t="str">
        <f aca="false">IF(AND(OR(G67&lt;Hypothèses!$B$6,ABS(I67-G67)&lt;=2),ABS(K67-H67)&lt;=2),"oui","NON")</f>
        <v>oui</v>
      </c>
      <c r="O67" s="4"/>
      <c r="P67" s="4" t="s">
        <v>326</v>
      </c>
    </row>
    <row r="68" customFormat="false" ht="15" hidden="false" customHeight="false" outlineLevel="0" collapsed="false">
      <c r="A68" s="4" t="s">
        <v>192</v>
      </c>
      <c r="B68" s="4" t="s">
        <v>91</v>
      </c>
      <c r="C68" s="4" t="s">
        <v>134</v>
      </c>
      <c r="D68" s="4" t="s">
        <v>143</v>
      </c>
      <c r="E68" s="4" t="s">
        <v>730</v>
      </c>
      <c r="F68" s="4" t="s">
        <v>731</v>
      </c>
      <c r="G68" s="9" t="n">
        <v>90</v>
      </c>
      <c r="H68" s="9" t="n">
        <v>0</v>
      </c>
      <c r="I68" s="4" t="n">
        <f aca="false">SUMIFS(Bouches!$M$2:$M$271,Bouches!$S$2:$S$271,A68,Bouches!$C$2:$C$271,"Soufflage")</f>
        <v>90</v>
      </c>
      <c r="J68" s="4" t="n">
        <f aca="false">SUMIFS(Bouches!$M$2:$M$271,Bouches!$S$2:$S$271,A68,Bouches!$C$2:$C$271,"Reprise")</f>
        <v>0</v>
      </c>
      <c r="K68" s="4" t="n">
        <f aca="false">SUMIFS(Bouches!$M$2:$M$271,Bouches!$S$2:$S$271,A68,Bouches!$C$2:$C$271,"Extraction")</f>
        <v>0</v>
      </c>
      <c r="L68" s="4" t="n">
        <v>1</v>
      </c>
      <c r="M68" s="4" t="n">
        <v>1</v>
      </c>
      <c r="N68" s="4" t="str">
        <f aca="false">IF(AND(OR(G68&lt;Hypothèses!$B$6,ABS(I68-G68)&lt;=2),ABS(K68-H68)&lt;=2),"oui","NON")</f>
        <v>oui</v>
      </c>
      <c r="O68" s="4"/>
      <c r="P68" s="4" t="s">
        <v>191</v>
      </c>
    </row>
    <row r="69" customFormat="false" ht="15" hidden="false" customHeight="false" outlineLevel="0" collapsed="false">
      <c r="A69" s="4" t="s">
        <v>180</v>
      </c>
      <c r="B69" s="4" t="s">
        <v>91</v>
      </c>
      <c r="C69" s="4" t="s">
        <v>134</v>
      </c>
      <c r="D69" s="4" t="s">
        <v>143</v>
      </c>
      <c r="E69" s="4" t="s">
        <v>730</v>
      </c>
      <c r="F69" s="4" t="s">
        <v>731</v>
      </c>
      <c r="G69" s="9" t="n">
        <v>90</v>
      </c>
      <c r="H69" s="9" t="n">
        <v>0</v>
      </c>
      <c r="I69" s="4" t="n">
        <f aca="false">SUMIFS(Bouches!$M$2:$M$271,Bouches!$S$2:$S$271,A69,Bouches!$C$2:$C$271,"Soufflage")</f>
        <v>90</v>
      </c>
      <c r="J69" s="4" t="n">
        <f aca="false">SUMIFS(Bouches!$M$2:$M$271,Bouches!$S$2:$S$271,A69,Bouches!$C$2:$C$271,"Reprise")</f>
        <v>0</v>
      </c>
      <c r="K69" s="4" t="n">
        <f aca="false">SUMIFS(Bouches!$M$2:$M$271,Bouches!$S$2:$S$271,A69,Bouches!$C$2:$C$271,"Extraction")</f>
        <v>0</v>
      </c>
      <c r="L69" s="4" t="n">
        <v>1</v>
      </c>
      <c r="M69" s="4" t="n">
        <v>1</v>
      </c>
      <c r="N69" s="4" t="str">
        <f aca="false">IF(AND(OR(G69&lt;Hypothèses!$B$6,ABS(I69-G69)&lt;=2),ABS(K69-H69)&lt;=2),"oui","NON")</f>
        <v>oui</v>
      </c>
      <c r="O69" s="4"/>
      <c r="P69" s="4" t="s">
        <v>179</v>
      </c>
    </row>
    <row r="70" customFormat="false" ht="15" hidden="false" customHeight="false" outlineLevel="0" collapsed="false">
      <c r="A70" s="4" t="s">
        <v>322</v>
      </c>
      <c r="B70" s="4" t="s">
        <v>91</v>
      </c>
      <c r="C70" s="4" t="s">
        <v>134</v>
      </c>
      <c r="D70" s="4" t="s">
        <v>143</v>
      </c>
      <c r="E70" s="4" t="s">
        <v>730</v>
      </c>
      <c r="F70" s="4" t="s">
        <v>731</v>
      </c>
      <c r="G70" s="9" t="n">
        <v>90</v>
      </c>
      <c r="H70" s="9" t="n">
        <v>0</v>
      </c>
      <c r="I70" s="4" t="n">
        <f aca="false">SUMIFS(Bouches!$M$2:$M$271,Bouches!$S$2:$S$271,A70,Bouches!$C$2:$C$271,"Soufflage")</f>
        <v>90</v>
      </c>
      <c r="J70" s="4" t="n">
        <f aca="false">SUMIFS(Bouches!$M$2:$M$271,Bouches!$S$2:$S$271,A70,Bouches!$C$2:$C$271,"Reprise")</f>
        <v>0</v>
      </c>
      <c r="K70" s="4" t="n">
        <f aca="false">SUMIFS(Bouches!$M$2:$M$271,Bouches!$S$2:$S$271,A70,Bouches!$C$2:$C$271,"Extraction")</f>
        <v>0</v>
      </c>
      <c r="L70" s="4" t="n">
        <v>1</v>
      </c>
      <c r="M70" s="4" t="n">
        <v>1</v>
      </c>
      <c r="N70" s="4" t="str">
        <f aca="false">IF(AND(OR(G70&lt;Hypothèses!$B$6,ABS(I70-G70)&lt;=2),ABS(K70-H70)&lt;=2),"oui","NON")</f>
        <v>oui</v>
      </c>
      <c r="O70" s="4"/>
      <c r="P70" s="4" t="s">
        <v>321</v>
      </c>
    </row>
    <row r="71" customFormat="false" ht="15" hidden="false" customHeight="false" outlineLevel="0" collapsed="false">
      <c r="A71" s="4" t="s">
        <v>190</v>
      </c>
      <c r="B71" s="4" t="s">
        <v>91</v>
      </c>
      <c r="C71" s="4" t="s">
        <v>134</v>
      </c>
      <c r="D71" s="4" t="s">
        <v>143</v>
      </c>
      <c r="E71" s="4" t="s">
        <v>730</v>
      </c>
      <c r="F71" s="4" t="s">
        <v>731</v>
      </c>
      <c r="G71" s="9" t="n">
        <v>90</v>
      </c>
      <c r="H71" s="9" t="n">
        <v>0</v>
      </c>
      <c r="I71" s="4" t="n">
        <f aca="false">SUMIFS(Bouches!$M$2:$M$271,Bouches!$S$2:$S$271,A71,Bouches!$C$2:$C$271,"Soufflage")</f>
        <v>90</v>
      </c>
      <c r="J71" s="4" t="n">
        <f aca="false">SUMIFS(Bouches!$M$2:$M$271,Bouches!$S$2:$S$271,A71,Bouches!$C$2:$C$271,"Reprise")</f>
        <v>0</v>
      </c>
      <c r="K71" s="4" t="n">
        <f aca="false">SUMIFS(Bouches!$M$2:$M$271,Bouches!$S$2:$S$271,A71,Bouches!$C$2:$C$271,"Extraction")</f>
        <v>0</v>
      </c>
      <c r="L71" s="4" t="n">
        <v>1</v>
      </c>
      <c r="M71" s="4" t="n">
        <v>1</v>
      </c>
      <c r="N71" s="4" t="str">
        <f aca="false">IF(AND(OR(G71&lt;Hypothèses!$B$6,ABS(I71-G71)&lt;=2),ABS(K71-H71)&lt;=2),"oui","NON")</f>
        <v>oui</v>
      </c>
      <c r="O71" s="4"/>
      <c r="P71" s="4" t="s">
        <v>189</v>
      </c>
    </row>
    <row r="72" customFormat="false" ht="15" hidden="false" customHeight="false" outlineLevel="0" collapsed="false">
      <c r="A72" s="4" t="s">
        <v>329</v>
      </c>
      <c r="B72" s="4" t="s">
        <v>91</v>
      </c>
      <c r="C72" s="4" t="s">
        <v>134</v>
      </c>
      <c r="D72" s="4" t="s">
        <v>143</v>
      </c>
      <c r="E72" s="4" t="s">
        <v>730</v>
      </c>
      <c r="F72" s="4" t="s">
        <v>731</v>
      </c>
      <c r="G72" s="9" t="n">
        <v>90</v>
      </c>
      <c r="H72" s="9" t="n">
        <v>0</v>
      </c>
      <c r="I72" s="4" t="n">
        <f aca="false">SUMIFS(Bouches!$M$2:$M$271,Bouches!$S$2:$S$271,A72,Bouches!$C$2:$C$271,"Soufflage")</f>
        <v>90</v>
      </c>
      <c r="J72" s="4" t="n">
        <f aca="false">SUMIFS(Bouches!$M$2:$M$271,Bouches!$S$2:$S$271,A72,Bouches!$C$2:$C$271,"Reprise")</f>
        <v>0</v>
      </c>
      <c r="K72" s="4" t="n">
        <f aca="false">SUMIFS(Bouches!$M$2:$M$271,Bouches!$S$2:$S$271,A72,Bouches!$C$2:$C$271,"Extraction")</f>
        <v>0</v>
      </c>
      <c r="L72" s="4" t="n">
        <v>1</v>
      </c>
      <c r="M72" s="4" t="n">
        <v>1</v>
      </c>
      <c r="N72" s="4" t="str">
        <f aca="false">IF(AND(OR(G72&lt;Hypothèses!$B$6,ABS(I72-G72)&lt;=2),ABS(K72-H72)&lt;=2),"oui","NON")</f>
        <v>oui</v>
      </c>
      <c r="O72" s="4"/>
      <c r="P72" s="4" t="s">
        <v>328</v>
      </c>
    </row>
    <row r="73" customFormat="false" ht="15" hidden="false" customHeight="false" outlineLevel="0" collapsed="false">
      <c r="A73" s="4" t="s">
        <v>184</v>
      </c>
      <c r="B73" s="4" t="s">
        <v>91</v>
      </c>
      <c r="C73" s="4" t="s">
        <v>134</v>
      </c>
      <c r="D73" s="4" t="s">
        <v>143</v>
      </c>
      <c r="E73" s="4" t="s">
        <v>730</v>
      </c>
      <c r="F73" s="4" t="s">
        <v>731</v>
      </c>
      <c r="G73" s="9" t="n">
        <v>90</v>
      </c>
      <c r="H73" s="9" t="n">
        <v>0</v>
      </c>
      <c r="I73" s="4" t="n">
        <f aca="false">SUMIFS(Bouches!$M$2:$M$271,Bouches!$S$2:$S$271,A73,Bouches!$C$2:$C$271,"Soufflage")</f>
        <v>90</v>
      </c>
      <c r="J73" s="4" t="n">
        <f aca="false">SUMIFS(Bouches!$M$2:$M$271,Bouches!$S$2:$S$271,A73,Bouches!$C$2:$C$271,"Reprise")</f>
        <v>0</v>
      </c>
      <c r="K73" s="4" t="n">
        <f aca="false">SUMIFS(Bouches!$M$2:$M$271,Bouches!$S$2:$S$271,A73,Bouches!$C$2:$C$271,"Extraction")</f>
        <v>0</v>
      </c>
      <c r="L73" s="4" t="n">
        <v>1</v>
      </c>
      <c r="M73" s="4" t="n">
        <v>1</v>
      </c>
      <c r="N73" s="4" t="str">
        <f aca="false">IF(AND(OR(G73&lt;Hypothèses!$B$6,ABS(I73-G73)&lt;=2),ABS(K73-H73)&lt;=2),"oui","NON")</f>
        <v>oui</v>
      </c>
      <c r="O73" s="4"/>
      <c r="P73" s="4" t="s">
        <v>183</v>
      </c>
    </row>
    <row r="74" customFormat="false" ht="15" hidden="false" customHeight="false" outlineLevel="0" collapsed="false">
      <c r="A74" s="4" t="s">
        <v>464</v>
      </c>
      <c r="B74" s="4" t="s">
        <v>91</v>
      </c>
      <c r="C74" s="4" t="s">
        <v>134</v>
      </c>
      <c r="D74" s="4" t="s">
        <v>143</v>
      </c>
      <c r="E74" s="4" t="s">
        <v>730</v>
      </c>
      <c r="F74" s="4" t="s">
        <v>731</v>
      </c>
      <c r="G74" s="9" t="n">
        <v>90</v>
      </c>
      <c r="H74" s="9" t="n">
        <v>0</v>
      </c>
      <c r="I74" s="4" t="n">
        <f aca="false">SUMIFS(Bouches!$M$2:$M$271,Bouches!$S$2:$S$271,A74,Bouches!$C$2:$C$271,"Soufflage")</f>
        <v>90</v>
      </c>
      <c r="J74" s="4" t="n">
        <f aca="false">SUMIFS(Bouches!$M$2:$M$271,Bouches!$S$2:$S$271,A74,Bouches!$C$2:$C$271,"Reprise")</f>
        <v>0</v>
      </c>
      <c r="K74" s="4" t="n">
        <f aca="false">SUMIFS(Bouches!$M$2:$M$271,Bouches!$S$2:$S$271,A74,Bouches!$C$2:$C$271,"Extraction")</f>
        <v>0</v>
      </c>
      <c r="L74" s="4" t="n">
        <v>1</v>
      </c>
      <c r="M74" s="4" t="n">
        <v>1</v>
      </c>
      <c r="N74" s="4" t="str">
        <f aca="false">IF(AND(OR(G74&lt;Hypothèses!$B$6,ABS(I74-G74)&lt;=2),ABS(K74-H74)&lt;=2),"oui","NON")</f>
        <v>oui</v>
      </c>
      <c r="O74" s="4"/>
      <c r="P74" s="4" t="s">
        <v>463</v>
      </c>
    </row>
    <row r="75" customFormat="false" ht="15" hidden="false" customHeight="false" outlineLevel="0" collapsed="false">
      <c r="A75" s="4" t="s">
        <v>331</v>
      </c>
      <c r="B75" s="4" t="s">
        <v>91</v>
      </c>
      <c r="C75" s="4" t="s">
        <v>134</v>
      </c>
      <c r="D75" s="4" t="s">
        <v>143</v>
      </c>
      <c r="E75" s="4" t="s">
        <v>730</v>
      </c>
      <c r="F75" s="4" t="s">
        <v>731</v>
      </c>
      <c r="G75" s="9" t="n">
        <v>90</v>
      </c>
      <c r="H75" s="9" t="n">
        <v>0</v>
      </c>
      <c r="I75" s="4" t="n">
        <f aca="false">SUMIFS(Bouches!$M$2:$M$271,Bouches!$S$2:$S$271,A75,Bouches!$C$2:$C$271,"Soufflage")</f>
        <v>90</v>
      </c>
      <c r="J75" s="4" t="n">
        <f aca="false">SUMIFS(Bouches!$M$2:$M$271,Bouches!$S$2:$S$271,A75,Bouches!$C$2:$C$271,"Reprise")</f>
        <v>0</v>
      </c>
      <c r="K75" s="4" t="n">
        <f aca="false">SUMIFS(Bouches!$M$2:$M$271,Bouches!$S$2:$S$271,A75,Bouches!$C$2:$C$271,"Extraction")</f>
        <v>0</v>
      </c>
      <c r="L75" s="4" t="n">
        <v>1</v>
      </c>
      <c r="M75" s="4" t="n">
        <v>1</v>
      </c>
      <c r="N75" s="4" t="str">
        <f aca="false">IF(AND(OR(G75&lt;Hypothèses!$B$6,ABS(I75-G75)&lt;=2),ABS(K75-H75)&lt;=2),"oui","NON")</f>
        <v>oui</v>
      </c>
      <c r="O75" s="4"/>
      <c r="P75" s="4" t="s">
        <v>330</v>
      </c>
    </row>
    <row r="76" customFormat="false" ht="15" hidden="false" customHeight="false" outlineLevel="0" collapsed="false">
      <c r="A76" s="4" t="s">
        <v>172</v>
      </c>
      <c r="B76" s="4" t="s">
        <v>91</v>
      </c>
      <c r="C76" s="4" t="s">
        <v>134</v>
      </c>
      <c r="D76" s="4" t="s">
        <v>143</v>
      </c>
      <c r="E76" s="4" t="s">
        <v>730</v>
      </c>
      <c r="F76" s="4" t="s">
        <v>731</v>
      </c>
      <c r="G76" s="9" t="n">
        <v>90</v>
      </c>
      <c r="H76" s="9" t="n">
        <v>0</v>
      </c>
      <c r="I76" s="4" t="n">
        <f aca="false">SUMIFS(Bouches!$M$2:$M$271,Bouches!$S$2:$S$271,A76,Bouches!$C$2:$C$271,"Soufflage")</f>
        <v>90</v>
      </c>
      <c r="J76" s="4" t="n">
        <f aca="false">SUMIFS(Bouches!$M$2:$M$271,Bouches!$S$2:$S$271,A76,Bouches!$C$2:$C$271,"Reprise")</f>
        <v>0</v>
      </c>
      <c r="K76" s="4" t="n">
        <f aca="false">SUMIFS(Bouches!$M$2:$M$271,Bouches!$S$2:$S$271,A76,Bouches!$C$2:$C$271,"Extraction")</f>
        <v>0</v>
      </c>
      <c r="L76" s="4" t="n">
        <v>1</v>
      </c>
      <c r="M76" s="4" t="n">
        <v>1</v>
      </c>
      <c r="N76" s="4" t="str">
        <f aca="false">IF(AND(OR(G76&lt;Hypothèses!$B$6,ABS(I76-G76)&lt;=2),ABS(K76-H76)&lt;=2),"oui","NON")</f>
        <v>oui</v>
      </c>
      <c r="O76" s="4"/>
      <c r="P76" s="4" t="s">
        <v>171</v>
      </c>
    </row>
    <row r="77" customFormat="false" ht="15" hidden="false" customHeight="false" outlineLevel="0" collapsed="false">
      <c r="A77" s="4" t="s">
        <v>174</v>
      </c>
      <c r="B77" s="4" t="s">
        <v>91</v>
      </c>
      <c r="C77" s="4" t="s">
        <v>134</v>
      </c>
      <c r="D77" s="4" t="s">
        <v>143</v>
      </c>
      <c r="E77" s="4" t="s">
        <v>730</v>
      </c>
      <c r="F77" s="4" t="s">
        <v>731</v>
      </c>
      <c r="G77" s="9" t="n">
        <v>90</v>
      </c>
      <c r="H77" s="9" t="n">
        <v>0</v>
      </c>
      <c r="I77" s="4" t="n">
        <f aca="false">SUMIFS(Bouches!$M$2:$M$271,Bouches!$S$2:$S$271,A77,Bouches!$C$2:$C$271,"Soufflage")</f>
        <v>90</v>
      </c>
      <c r="J77" s="4" t="n">
        <f aca="false">SUMIFS(Bouches!$M$2:$M$271,Bouches!$S$2:$S$271,A77,Bouches!$C$2:$C$271,"Reprise")</f>
        <v>0</v>
      </c>
      <c r="K77" s="4" t="n">
        <f aca="false">SUMIFS(Bouches!$M$2:$M$271,Bouches!$S$2:$S$271,A77,Bouches!$C$2:$C$271,"Extraction")</f>
        <v>0</v>
      </c>
      <c r="L77" s="4" t="n">
        <v>1</v>
      </c>
      <c r="M77" s="4" t="n">
        <v>1</v>
      </c>
      <c r="N77" s="4" t="str">
        <f aca="false">IF(AND(OR(G77&lt;Hypothèses!$B$6,ABS(I77-G77)&lt;=2),ABS(K77-H77)&lt;=2),"oui","NON")</f>
        <v>oui</v>
      </c>
      <c r="O77" s="4"/>
      <c r="P77" s="4" t="s">
        <v>173</v>
      </c>
    </row>
    <row r="78" customFormat="false" ht="15" hidden="false" customHeight="false" outlineLevel="0" collapsed="false">
      <c r="A78" s="4" t="s">
        <v>182</v>
      </c>
      <c r="B78" s="4" t="s">
        <v>91</v>
      </c>
      <c r="C78" s="4" t="s">
        <v>134</v>
      </c>
      <c r="D78" s="4" t="s">
        <v>143</v>
      </c>
      <c r="E78" s="4" t="s">
        <v>730</v>
      </c>
      <c r="F78" s="4" t="s">
        <v>731</v>
      </c>
      <c r="G78" s="9" t="n">
        <v>90</v>
      </c>
      <c r="H78" s="9" t="n">
        <v>0</v>
      </c>
      <c r="I78" s="4" t="n">
        <f aca="false">SUMIFS(Bouches!$M$2:$M$271,Bouches!$S$2:$S$271,A78,Bouches!$C$2:$C$271,"Soufflage")</f>
        <v>90</v>
      </c>
      <c r="J78" s="4" t="n">
        <f aca="false">SUMIFS(Bouches!$M$2:$M$271,Bouches!$S$2:$S$271,A78,Bouches!$C$2:$C$271,"Reprise")</f>
        <v>0</v>
      </c>
      <c r="K78" s="4" t="n">
        <f aca="false">SUMIFS(Bouches!$M$2:$M$271,Bouches!$S$2:$S$271,A78,Bouches!$C$2:$C$271,"Extraction")</f>
        <v>0</v>
      </c>
      <c r="L78" s="4" t="n">
        <v>1</v>
      </c>
      <c r="M78" s="4" t="n">
        <v>1</v>
      </c>
      <c r="N78" s="4" t="str">
        <f aca="false">IF(AND(OR(G78&lt;Hypothèses!$B$6,ABS(I78-G78)&lt;=2),ABS(K78-H78)&lt;=2),"oui","NON")</f>
        <v>oui</v>
      </c>
      <c r="O78" s="4"/>
      <c r="P78" s="4" t="s">
        <v>181</v>
      </c>
    </row>
    <row r="79" customFormat="false" ht="15" hidden="false" customHeight="false" outlineLevel="0" collapsed="false">
      <c r="A79" s="4" t="s">
        <v>194</v>
      </c>
      <c r="B79" s="4" t="s">
        <v>91</v>
      </c>
      <c r="C79" s="4" t="s">
        <v>134</v>
      </c>
      <c r="D79" s="4" t="s">
        <v>143</v>
      </c>
      <c r="E79" s="4" t="s">
        <v>730</v>
      </c>
      <c r="F79" s="4" t="s">
        <v>731</v>
      </c>
      <c r="G79" s="9" t="n">
        <v>90</v>
      </c>
      <c r="H79" s="9" t="n">
        <v>0</v>
      </c>
      <c r="I79" s="4" t="n">
        <f aca="false">SUMIFS(Bouches!$M$2:$M$271,Bouches!$S$2:$S$271,A79,Bouches!$C$2:$C$271,"Soufflage")</f>
        <v>90</v>
      </c>
      <c r="J79" s="4" t="n">
        <f aca="false">SUMIFS(Bouches!$M$2:$M$271,Bouches!$S$2:$S$271,A79,Bouches!$C$2:$C$271,"Reprise")</f>
        <v>0</v>
      </c>
      <c r="K79" s="4" t="n">
        <f aca="false">SUMIFS(Bouches!$M$2:$M$271,Bouches!$S$2:$S$271,A79,Bouches!$C$2:$C$271,"Extraction")</f>
        <v>0</v>
      </c>
      <c r="L79" s="4" t="n">
        <v>1</v>
      </c>
      <c r="M79" s="4" t="n">
        <v>1</v>
      </c>
      <c r="N79" s="4" t="str">
        <f aca="false">IF(AND(OR(G79&lt;Hypothèses!$B$6,ABS(I79-G79)&lt;=2),ABS(K79-H79)&lt;=2),"oui","NON")</f>
        <v>oui</v>
      </c>
      <c r="O79" s="4"/>
      <c r="P79" s="4" t="s">
        <v>193</v>
      </c>
    </row>
    <row r="80" customFormat="false" ht="15" hidden="false" customHeight="false" outlineLevel="0" collapsed="false">
      <c r="A80" s="4" t="s">
        <v>176</v>
      </c>
      <c r="B80" s="4" t="s">
        <v>91</v>
      </c>
      <c r="C80" s="4" t="s">
        <v>134</v>
      </c>
      <c r="D80" s="4" t="s">
        <v>143</v>
      </c>
      <c r="E80" s="4" t="s">
        <v>730</v>
      </c>
      <c r="F80" s="4" t="s">
        <v>731</v>
      </c>
      <c r="G80" s="9" t="n">
        <v>90</v>
      </c>
      <c r="H80" s="9" t="n">
        <v>0</v>
      </c>
      <c r="I80" s="4" t="n">
        <f aca="false">SUMIFS(Bouches!$M$2:$M$271,Bouches!$S$2:$S$271,A80,Bouches!$C$2:$C$271,"Soufflage")</f>
        <v>90</v>
      </c>
      <c r="J80" s="4" t="n">
        <f aca="false">SUMIFS(Bouches!$M$2:$M$271,Bouches!$S$2:$S$271,A80,Bouches!$C$2:$C$271,"Reprise")</f>
        <v>0</v>
      </c>
      <c r="K80" s="4" t="n">
        <f aca="false">SUMIFS(Bouches!$M$2:$M$271,Bouches!$S$2:$S$271,A80,Bouches!$C$2:$C$271,"Extraction")</f>
        <v>0</v>
      </c>
      <c r="L80" s="4" t="n">
        <v>1</v>
      </c>
      <c r="M80" s="4" t="n">
        <v>1</v>
      </c>
      <c r="N80" s="4" t="str">
        <f aca="false">IF(AND(OR(G80&lt;Hypothèses!$B$6,ABS(I80-G80)&lt;=2),ABS(K80-H80)&lt;=2),"oui","NON")</f>
        <v>oui</v>
      </c>
      <c r="O80" s="4"/>
      <c r="P80" s="4" t="s">
        <v>175</v>
      </c>
    </row>
    <row r="81" customFormat="false" ht="15" hidden="false" customHeight="false" outlineLevel="0" collapsed="false">
      <c r="A81" s="4" t="s">
        <v>188</v>
      </c>
      <c r="B81" s="4" t="s">
        <v>91</v>
      </c>
      <c r="C81" s="4" t="s">
        <v>134</v>
      </c>
      <c r="D81" s="4" t="s">
        <v>143</v>
      </c>
      <c r="E81" s="4" t="s">
        <v>730</v>
      </c>
      <c r="F81" s="4" t="s">
        <v>731</v>
      </c>
      <c r="G81" s="9" t="n">
        <v>90</v>
      </c>
      <c r="H81" s="9" t="n">
        <v>0</v>
      </c>
      <c r="I81" s="4" t="n">
        <f aca="false">SUMIFS(Bouches!$M$2:$M$271,Bouches!$S$2:$S$271,A81,Bouches!$C$2:$C$271,"Soufflage")</f>
        <v>90</v>
      </c>
      <c r="J81" s="4" t="n">
        <f aca="false">SUMIFS(Bouches!$M$2:$M$271,Bouches!$S$2:$S$271,A81,Bouches!$C$2:$C$271,"Reprise")</f>
        <v>0</v>
      </c>
      <c r="K81" s="4" t="n">
        <f aca="false">SUMIFS(Bouches!$M$2:$M$271,Bouches!$S$2:$S$271,A81,Bouches!$C$2:$C$271,"Extraction")</f>
        <v>0</v>
      </c>
      <c r="L81" s="4" t="n">
        <v>1</v>
      </c>
      <c r="M81" s="4" t="n">
        <v>1</v>
      </c>
      <c r="N81" s="4" t="str">
        <f aca="false">IF(AND(OR(G81&lt;Hypothèses!$B$6,ABS(I81-G81)&lt;=2),ABS(K81-H81)&lt;=2),"oui","NON")</f>
        <v>oui</v>
      </c>
      <c r="O81" s="4"/>
      <c r="P81" s="4" t="s">
        <v>187</v>
      </c>
    </row>
    <row r="82" customFormat="false" ht="15" hidden="false" customHeight="false" outlineLevel="0" collapsed="false">
      <c r="A82" s="4" t="s">
        <v>333</v>
      </c>
      <c r="B82" s="4" t="s">
        <v>91</v>
      </c>
      <c r="C82" s="4" t="s">
        <v>134</v>
      </c>
      <c r="D82" s="4" t="s">
        <v>143</v>
      </c>
      <c r="E82" s="4" t="s">
        <v>730</v>
      </c>
      <c r="F82" s="4" t="s">
        <v>731</v>
      </c>
      <c r="G82" s="9" t="n">
        <v>90</v>
      </c>
      <c r="H82" s="9" t="n">
        <v>0</v>
      </c>
      <c r="I82" s="4" t="n">
        <f aca="false">SUMIFS(Bouches!$M$2:$M$271,Bouches!$S$2:$S$271,A82,Bouches!$C$2:$C$271,"Soufflage")</f>
        <v>90</v>
      </c>
      <c r="J82" s="4" t="n">
        <f aca="false">SUMIFS(Bouches!$M$2:$M$271,Bouches!$S$2:$S$271,A82,Bouches!$C$2:$C$271,"Reprise")</f>
        <v>0</v>
      </c>
      <c r="K82" s="4" t="n">
        <f aca="false">SUMIFS(Bouches!$M$2:$M$271,Bouches!$S$2:$S$271,A82,Bouches!$C$2:$C$271,"Extraction")</f>
        <v>0</v>
      </c>
      <c r="L82" s="4" t="n">
        <v>1</v>
      </c>
      <c r="M82" s="4" t="n">
        <v>1</v>
      </c>
      <c r="N82" s="4" t="str">
        <f aca="false">IF(AND(OR(G82&lt;Hypothèses!$B$6,ABS(I82-G82)&lt;=2),ABS(K82-H82)&lt;=2),"oui","NON")</f>
        <v>oui</v>
      </c>
      <c r="O82" s="4"/>
      <c r="P82" s="4" t="s">
        <v>332</v>
      </c>
    </row>
    <row r="83" customFormat="false" ht="15" hidden="false" customHeight="false" outlineLevel="0" collapsed="false">
      <c r="A83" s="4" t="s">
        <v>186</v>
      </c>
      <c r="B83" s="4" t="s">
        <v>91</v>
      </c>
      <c r="C83" s="4" t="s">
        <v>134</v>
      </c>
      <c r="D83" s="4" t="s">
        <v>143</v>
      </c>
      <c r="E83" s="4" t="s">
        <v>730</v>
      </c>
      <c r="F83" s="4" t="s">
        <v>731</v>
      </c>
      <c r="G83" s="9" t="n">
        <v>90</v>
      </c>
      <c r="H83" s="9" t="n">
        <v>0</v>
      </c>
      <c r="I83" s="4" t="n">
        <f aca="false">SUMIFS(Bouches!$M$2:$M$271,Bouches!$S$2:$S$271,A83,Bouches!$C$2:$C$271,"Soufflage")</f>
        <v>90</v>
      </c>
      <c r="J83" s="4" t="n">
        <f aca="false">SUMIFS(Bouches!$M$2:$M$271,Bouches!$S$2:$S$271,A83,Bouches!$C$2:$C$271,"Reprise")</f>
        <v>0</v>
      </c>
      <c r="K83" s="4" t="n">
        <f aca="false">SUMIFS(Bouches!$M$2:$M$271,Bouches!$S$2:$S$271,A83,Bouches!$C$2:$C$271,"Extraction")</f>
        <v>0</v>
      </c>
      <c r="L83" s="4" t="n">
        <v>1</v>
      </c>
      <c r="M83" s="4" t="n">
        <v>1</v>
      </c>
      <c r="N83" s="4" t="str">
        <f aca="false">IF(AND(OR(G83&lt;Hypothèses!$B$6,ABS(I83-G83)&lt;=2),ABS(K83-H83)&lt;=2),"oui","NON")</f>
        <v>oui</v>
      </c>
      <c r="O83" s="4"/>
      <c r="P83" s="4" t="s">
        <v>185</v>
      </c>
    </row>
    <row r="84" customFormat="false" ht="15" hidden="false" customHeight="false" outlineLevel="0" collapsed="false">
      <c r="A84" s="4" t="s">
        <v>325</v>
      </c>
      <c r="B84" s="4" t="s">
        <v>91</v>
      </c>
      <c r="C84" s="4" t="s">
        <v>324</v>
      </c>
      <c r="D84" s="4" t="s">
        <v>143</v>
      </c>
      <c r="E84" s="4" t="s">
        <v>730</v>
      </c>
      <c r="F84" s="4" t="s">
        <v>731</v>
      </c>
      <c r="G84" s="9" t="n">
        <v>90</v>
      </c>
      <c r="H84" s="9" t="n">
        <v>0</v>
      </c>
      <c r="I84" s="4" t="n">
        <f aca="false">SUMIFS(Bouches!$M$2:$M$271,Bouches!$S$2:$S$271,A84,Bouches!$C$2:$C$271,"Soufflage")</f>
        <v>90</v>
      </c>
      <c r="J84" s="4" t="n">
        <f aca="false">SUMIFS(Bouches!$M$2:$M$271,Bouches!$S$2:$S$271,A84,Bouches!$C$2:$C$271,"Reprise")</f>
        <v>0</v>
      </c>
      <c r="K84" s="4" t="n">
        <f aca="false">SUMIFS(Bouches!$M$2:$M$271,Bouches!$S$2:$S$271,A84,Bouches!$C$2:$C$271,"Extraction")</f>
        <v>0</v>
      </c>
      <c r="L84" s="4" t="n">
        <v>1</v>
      </c>
      <c r="M84" s="4" t="n">
        <v>1</v>
      </c>
      <c r="N84" s="4" t="str">
        <f aca="false">IF(AND(OR(G84&lt;Hypothèses!$B$6,ABS(I84-G84)&lt;=2),ABS(K84-H84)&lt;=2),"oui","NON")</f>
        <v>oui</v>
      </c>
      <c r="O84" s="4"/>
      <c r="P84" s="4" t="s">
        <v>323</v>
      </c>
    </row>
    <row r="85" customFormat="false" ht="15" hidden="false" customHeight="false" outlineLevel="0" collapsed="false">
      <c r="A85" s="4" t="s">
        <v>269</v>
      </c>
      <c r="B85" s="4" t="s">
        <v>91</v>
      </c>
      <c r="C85" s="4" t="s">
        <v>268</v>
      </c>
      <c r="D85" s="4" t="s">
        <v>44</v>
      </c>
      <c r="E85" s="4" t="s">
        <v>732</v>
      </c>
      <c r="F85" s="4" t="s">
        <v>731</v>
      </c>
      <c r="G85" s="9" t="n">
        <v>0</v>
      </c>
      <c r="H85" s="9" t="n">
        <v>90</v>
      </c>
      <c r="I85" s="4" t="n">
        <f aca="false">SUMIFS(Bouches!$M$2:$M$271,Bouches!$S$2:$S$271,A85,Bouches!$C$2:$C$271,"Soufflage")</f>
        <v>0</v>
      </c>
      <c r="J85" s="4" t="n">
        <f aca="false">SUMIFS(Bouches!$M$2:$M$271,Bouches!$S$2:$S$271,A85,Bouches!$C$2:$C$271,"Reprise")</f>
        <v>0</v>
      </c>
      <c r="K85" s="4" t="n">
        <f aca="false">SUMIFS(Bouches!$M$2:$M$271,Bouches!$S$2:$S$271,A85,Bouches!$C$2:$C$271,"Extraction")</f>
        <v>90</v>
      </c>
      <c r="L85" s="4" t="n">
        <v>1</v>
      </c>
      <c r="M85" s="4" t="n">
        <v>1</v>
      </c>
      <c r="N85" s="4" t="str">
        <f aca="false">IF(AND(OR(G85&lt;Hypothèses!$B$6,ABS(I85-G85)&lt;=2),ABS(K85-H85)&lt;=2),"oui","NON")</f>
        <v>oui</v>
      </c>
      <c r="O85" s="4"/>
      <c r="P85" s="4" t="s">
        <v>267</v>
      </c>
    </row>
    <row r="86" customFormat="false" ht="15" hidden="false" customHeight="false" outlineLevel="0" collapsed="false">
      <c r="A86" s="4" t="s">
        <v>401</v>
      </c>
      <c r="B86" s="4" t="s">
        <v>91</v>
      </c>
      <c r="C86" s="4" t="s">
        <v>400</v>
      </c>
      <c r="D86" s="4" t="s">
        <v>44</v>
      </c>
      <c r="E86" s="4" t="s">
        <v>732</v>
      </c>
      <c r="F86" s="4" t="s">
        <v>731</v>
      </c>
      <c r="G86" s="9" t="n">
        <v>0</v>
      </c>
      <c r="H86" s="9" t="n">
        <v>90</v>
      </c>
      <c r="I86" s="4" t="n">
        <f aca="false">SUMIFS(Bouches!$M$2:$M$271,Bouches!$S$2:$S$271,A86,Bouches!$C$2:$C$271,"Soufflage")</f>
        <v>0</v>
      </c>
      <c r="J86" s="4" t="n">
        <f aca="false">SUMIFS(Bouches!$M$2:$M$271,Bouches!$S$2:$S$271,A86,Bouches!$C$2:$C$271,"Reprise")</f>
        <v>0</v>
      </c>
      <c r="K86" s="4" t="n">
        <f aca="false">SUMIFS(Bouches!$M$2:$M$271,Bouches!$S$2:$S$271,A86,Bouches!$C$2:$C$271,"Extraction")</f>
        <v>90</v>
      </c>
      <c r="L86" s="4" t="n">
        <v>1</v>
      </c>
      <c r="M86" s="4" t="n">
        <v>1</v>
      </c>
      <c r="N86" s="4" t="str">
        <f aca="false">IF(AND(OR(G86&lt;Hypothèses!$B$6,ABS(I86-G86)&lt;=2),ABS(K86-H86)&lt;=2),"oui","NON")</f>
        <v>oui</v>
      </c>
      <c r="O86" s="4"/>
      <c r="P86" s="4" t="s">
        <v>399</v>
      </c>
    </row>
    <row r="87" customFormat="false" ht="15" hidden="false" customHeight="false" outlineLevel="0" collapsed="false">
      <c r="A87" s="4" t="s">
        <v>254</v>
      </c>
      <c r="B87" s="4" t="s">
        <v>91</v>
      </c>
      <c r="C87" s="4" t="s">
        <v>253</v>
      </c>
      <c r="D87" s="4" t="s">
        <v>44</v>
      </c>
      <c r="E87" s="4" t="s">
        <v>732</v>
      </c>
      <c r="F87" s="4" t="s">
        <v>731</v>
      </c>
      <c r="G87" s="9" t="n">
        <v>0</v>
      </c>
      <c r="H87" s="9" t="n">
        <v>90</v>
      </c>
      <c r="I87" s="4" t="n">
        <f aca="false">SUMIFS(Bouches!$M$2:$M$271,Bouches!$S$2:$S$271,A87,Bouches!$C$2:$C$271,"Soufflage")</f>
        <v>0</v>
      </c>
      <c r="J87" s="4" t="n">
        <f aca="false">SUMIFS(Bouches!$M$2:$M$271,Bouches!$S$2:$S$271,A87,Bouches!$C$2:$C$271,"Reprise")</f>
        <v>0</v>
      </c>
      <c r="K87" s="4" t="n">
        <f aca="false">SUMIFS(Bouches!$M$2:$M$271,Bouches!$S$2:$S$271,A87,Bouches!$C$2:$C$271,"Extraction")</f>
        <v>90</v>
      </c>
      <c r="L87" s="4" t="n">
        <v>1</v>
      </c>
      <c r="M87" s="4" t="n">
        <v>1</v>
      </c>
      <c r="N87" s="4" t="str">
        <f aca="false">IF(AND(OR(G87&lt;Hypothèses!$B$6,ABS(I87-G87)&lt;=2),ABS(K87-H87)&lt;=2),"oui","NON")</f>
        <v>oui</v>
      </c>
      <c r="O87" s="4"/>
      <c r="P87" s="4" t="s">
        <v>252</v>
      </c>
    </row>
    <row r="88" customFormat="false" ht="15" hidden="false" customHeight="false" outlineLevel="0" collapsed="false">
      <c r="A88" s="4" t="s">
        <v>242</v>
      </c>
      <c r="B88" s="4" t="s">
        <v>91</v>
      </c>
      <c r="C88" s="4" t="s">
        <v>241</v>
      </c>
      <c r="D88" s="4" t="s">
        <v>44</v>
      </c>
      <c r="E88" s="4" t="s">
        <v>732</v>
      </c>
      <c r="F88" s="4" t="s">
        <v>731</v>
      </c>
      <c r="G88" s="9" t="n">
        <v>0</v>
      </c>
      <c r="H88" s="9" t="n">
        <v>90</v>
      </c>
      <c r="I88" s="4" t="n">
        <f aca="false">SUMIFS(Bouches!$M$2:$M$271,Bouches!$S$2:$S$271,A88,Bouches!$C$2:$C$271,"Soufflage")</f>
        <v>0</v>
      </c>
      <c r="J88" s="4" t="n">
        <f aca="false">SUMIFS(Bouches!$M$2:$M$271,Bouches!$S$2:$S$271,A88,Bouches!$C$2:$C$271,"Reprise")</f>
        <v>0</v>
      </c>
      <c r="K88" s="4" t="n">
        <f aca="false">SUMIFS(Bouches!$M$2:$M$271,Bouches!$S$2:$S$271,A88,Bouches!$C$2:$C$271,"Extraction")</f>
        <v>90</v>
      </c>
      <c r="L88" s="4" t="n">
        <v>1</v>
      </c>
      <c r="M88" s="4" t="n">
        <v>1</v>
      </c>
      <c r="N88" s="4" t="str">
        <f aca="false">IF(AND(OR(G88&lt;Hypothèses!$B$6,ABS(I88-G88)&lt;=2),ABS(K88-H88)&lt;=2),"oui","NON")</f>
        <v>oui</v>
      </c>
      <c r="O88" s="4"/>
      <c r="P88" s="4" t="s">
        <v>240</v>
      </c>
    </row>
    <row r="89" customFormat="false" ht="15" hidden="false" customHeight="false" outlineLevel="0" collapsed="false">
      <c r="A89" s="4" t="s">
        <v>117</v>
      </c>
      <c r="B89" s="4" t="s">
        <v>91</v>
      </c>
      <c r="C89" s="4" t="s">
        <v>116</v>
      </c>
      <c r="D89" s="4" t="s">
        <v>44</v>
      </c>
      <c r="E89" s="4" t="s">
        <v>732</v>
      </c>
      <c r="F89" s="4" t="s">
        <v>731</v>
      </c>
      <c r="G89" s="9" t="n">
        <v>0</v>
      </c>
      <c r="H89" s="9" t="n">
        <v>90</v>
      </c>
      <c r="I89" s="4" t="n">
        <f aca="false">SUMIFS(Bouches!$M$2:$M$271,Bouches!$S$2:$S$271,A89,Bouches!$C$2:$C$271,"Soufflage")</f>
        <v>0</v>
      </c>
      <c r="J89" s="4" t="n">
        <f aca="false">SUMIFS(Bouches!$M$2:$M$271,Bouches!$S$2:$S$271,A89,Bouches!$C$2:$C$271,"Reprise")</f>
        <v>0</v>
      </c>
      <c r="K89" s="4" t="n">
        <f aca="false">SUMIFS(Bouches!$M$2:$M$271,Bouches!$S$2:$S$271,A89,Bouches!$C$2:$C$271,"Extraction")</f>
        <v>90</v>
      </c>
      <c r="L89" s="4" t="n">
        <v>1</v>
      </c>
      <c r="M89" s="4" t="n">
        <v>1</v>
      </c>
      <c r="N89" s="4" t="str">
        <f aca="false">IF(AND(OR(G89&lt;Hypothèses!$B$6,ABS(I89-G89)&lt;=2),ABS(K89-H89)&lt;=2),"oui","NON")</f>
        <v>oui</v>
      </c>
      <c r="O89" s="4"/>
      <c r="P89" s="4" t="s">
        <v>115</v>
      </c>
    </row>
    <row r="90" customFormat="false" ht="15" hidden="false" customHeight="false" outlineLevel="0" collapsed="false">
      <c r="A90" s="4" t="s">
        <v>245</v>
      </c>
      <c r="B90" s="4" t="s">
        <v>91</v>
      </c>
      <c r="C90" s="4" t="s">
        <v>244</v>
      </c>
      <c r="D90" s="4" t="s">
        <v>44</v>
      </c>
      <c r="E90" s="4" t="s">
        <v>732</v>
      </c>
      <c r="F90" s="4" t="s">
        <v>731</v>
      </c>
      <c r="G90" s="9" t="n">
        <v>0</v>
      </c>
      <c r="H90" s="9" t="n">
        <v>90</v>
      </c>
      <c r="I90" s="4" t="n">
        <f aca="false">SUMIFS(Bouches!$M$2:$M$271,Bouches!$S$2:$S$271,A90,Bouches!$C$2:$C$271,"Soufflage")</f>
        <v>0</v>
      </c>
      <c r="J90" s="4" t="n">
        <f aca="false">SUMIFS(Bouches!$M$2:$M$271,Bouches!$S$2:$S$271,A90,Bouches!$C$2:$C$271,"Reprise")</f>
        <v>0</v>
      </c>
      <c r="K90" s="4" t="n">
        <f aca="false">SUMIFS(Bouches!$M$2:$M$271,Bouches!$S$2:$S$271,A90,Bouches!$C$2:$C$271,"Extraction")</f>
        <v>90</v>
      </c>
      <c r="L90" s="4" t="n">
        <v>1</v>
      </c>
      <c r="M90" s="4" t="n">
        <v>1</v>
      </c>
      <c r="N90" s="4" t="str">
        <f aca="false">IF(AND(OR(G90&lt;Hypothèses!$B$6,ABS(I90-G90)&lt;=2),ABS(K90-H90)&lt;=2),"oui","NON")</f>
        <v>oui</v>
      </c>
      <c r="O90" s="4"/>
      <c r="P90" s="4" t="s">
        <v>243</v>
      </c>
    </row>
    <row r="91" customFormat="false" ht="15" hidden="false" customHeight="false" outlineLevel="0" collapsed="false">
      <c r="A91" s="4" t="s">
        <v>123</v>
      </c>
      <c r="B91" s="4" t="s">
        <v>91</v>
      </c>
      <c r="C91" s="4" t="s">
        <v>122</v>
      </c>
      <c r="D91" s="4" t="s">
        <v>44</v>
      </c>
      <c r="E91" s="4" t="s">
        <v>732</v>
      </c>
      <c r="F91" s="4" t="s">
        <v>731</v>
      </c>
      <c r="G91" s="9" t="n">
        <v>0</v>
      </c>
      <c r="H91" s="9" t="n">
        <v>90</v>
      </c>
      <c r="I91" s="4" t="n">
        <f aca="false">SUMIFS(Bouches!$M$2:$M$271,Bouches!$S$2:$S$271,A91,Bouches!$C$2:$C$271,"Soufflage")</f>
        <v>0</v>
      </c>
      <c r="J91" s="4" t="n">
        <f aca="false">SUMIFS(Bouches!$M$2:$M$271,Bouches!$S$2:$S$271,A91,Bouches!$C$2:$C$271,"Reprise")</f>
        <v>0</v>
      </c>
      <c r="K91" s="4" t="n">
        <f aca="false">SUMIFS(Bouches!$M$2:$M$271,Bouches!$S$2:$S$271,A91,Bouches!$C$2:$C$271,"Extraction")</f>
        <v>90</v>
      </c>
      <c r="L91" s="4" t="n">
        <v>1</v>
      </c>
      <c r="M91" s="4" t="n">
        <v>1</v>
      </c>
      <c r="N91" s="4" t="str">
        <f aca="false">IF(AND(OR(G91&lt;Hypothèses!$B$6,ABS(I91-G91)&lt;=2),ABS(K91-H91)&lt;=2),"oui","NON")</f>
        <v>oui</v>
      </c>
      <c r="O91" s="4"/>
      <c r="P91" s="4" t="s">
        <v>121</v>
      </c>
    </row>
    <row r="92" customFormat="false" ht="15" hidden="false" customHeight="false" outlineLevel="0" collapsed="false">
      <c r="A92" s="4" t="s">
        <v>360</v>
      </c>
      <c r="B92" s="4" t="s">
        <v>91</v>
      </c>
      <c r="C92" s="4" t="s">
        <v>359</v>
      </c>
      <c r="D92" s="4" t="s">
        <v>44</v>
      </c>
      <c r="E92" s="4" t="s">
        <v>732</v>
      </c>
      <c r="F92" s="4" t="s">
        <v>731</v>
      </c>
      <c r="G92" s="9" t="n">
        <v>0</v>
      </c>
      <c r="H92" s="9" t="n">
        <v>90</v>
      </c>
      <c r="I92" s="4" t="n">
        <f aca="false">SUMIFS(Bouches!$M$2:$M$271,Bouches!$S$2:$S$271,A92,Bouches!$C$2:$C$271,"Soufflage")</f>
        <v>0</v>
      </c>
      <c r="J92" s="4" t="n">
        <f aca="false">SUMIFS(Bouches!$M$2:$M$271,Bouches!$S$2:$S$271,A92,Bouches!$C$2:$C$271,"Reprise")</f>
        <v>0</v>
      </c>
      <c r="K92" s="4" t="n">
        <f aca="false">SUMIFS(Bouches!$M$2:$M$271,Bouches!$S$2:$S$271,A92,Bouches!$C$2:$C$271,"Extraction")</f>
        <v>90</v>
      </c>
      <c r="L92" s="4" t="n">
        <v>1</v>
      </c>
      <c r="M92" s="4" t="n">
        <v>1</v>
      </c>
      <c r="N92" s="4" t="str">
        <f aca="false">IF(AND(OR(G92&lt;Hypothèses!$B$6,ABS(I92-G92)&lt;=2),ABS(K92-H92)&lt;=2),"oui","NON")</f>
        <v>oui</v>
      </c>
      <c r="O92" s="4"/>
      <c r="P92" s="4" t="s">
        <v>358</v>
      </c>
    </row>
    <row r="93" customFormat="false" ht="15" hidden="false" customHeight="false" outlineLevel="0" collapsed="false">
      <c r="A93" s="4" t="s">
        <v>369</v>
      </c>
      <c r="B93" s="4" t="s">
        <v>91</v>
      </c>
      <c r="C93" s="4" t="s">
        <v>368</v>
      </c>
      <c r="D93" s="4" t="s">
        <v>44</v>
      </c>
      <c r="E93" s="4" t="s">
        <v>732</v>
      </c>
      <c r="F93" s="4" t="s">
        <v>731</v>
      </c>
      <c r="G93" s="9" t="n">
        <v>0</v>
      </c>
      <c r="H93" s="9" t="n">
        <v>90</v>
      </c>
      <c r="I93" s="4" t="n">
        <f aca="false">SUMIFS(Bouches!$M$2:$M$271,Bouches!$S$2:$S$271,A93,Bouches!$C$2:$C$271,"Soufflage")</f>
        <v>0</v>
      </c>
      <c r="J93" s="4" t="n">
        <f aca="false">SUMIFS(Bouches!$M$2:$M$271,Bouches!$S$2:$S$271,A93,Bouches!$C$2:$C$271,"Reprise")</f>
        <v>0</v>
      </c>
      <c r="K93" s="4" t="n">
        <f aca="false">SUMIFS(Bouches!$M$2:$M$271,Bouches!$S$2:$S$271,A93,Bouches!$C$2:$C$271,"Extraction")</f>
        <v>90</v>
      </c>
      <c r="L93" s="4" t="n">
        <v>1</v>
      </c>
      <c r="M93" s="4" t="n">
        <v>1</v>
      </c>
      <c r="N93" s="4" t="str">
        <f aca="false">IF(AND(OR(G93&lt;Hypothèses!$B$6,ABS(I93-G93)&lt;=2),ABS(K93-H93)&lt;=2),"oui","NON")</f>
        <v>oui</v>
      </c>
      <c r="O93" s="4"/>
      <c r="P93" s="4" t="s">
        <v>367</v>
      </c>
    </row>
    <row r="94" customFormat="false" ht="15" hidden="false" customHeight="false" outlineLevel="0" collapsed="false">
      <c r="A94" s="4" t="s">
        <v>351</v>
      </c>
      <c r="B94" s="4" t="s">
        <v>91</v>
      </c>
      <c r="C94" s="4" t="s">
        <v>350</v>
      </c>
      <c r="D94" s="4" t="s">
        <v>44</v>
      </c>
      <c r="E94" s="4" t="s">
        <v>732</v>
      </c>
      <c r="F94" s="4" t="s">
        <v>731</v>
      </c>
      <c r="G94" s="9" t="n">
        <v>0</v>
      </c>
      <c r="H94" s="9" t="n">
        <v>90</v>
      </c>
      <c r="I94" s="4" t="n">
        <f aca="false">SUMIFS(Bouches!$M$2:$M$271,Bouches!$S$2:$S$271,A94,Bouches!$C$2:$C$271,"Soufflage")</f>
        <v>0</v>
      </c>
      <c r="J94" s="4" t="n">
        <f aca="false">SUMIFS(Bouches!$M$2:$M$271,Bouches!$S$2:$S$271,A94,Bouches!$C$2:$C$271,"Reprise")</f>
        <v>0</v>
      </c>
      <c r="K94" s="4" t="n">
        <f aca="false">SUMIFS(Bouches!$M$2:$M$271,Bouches!$S$2:$S$271,A94,Bouches!$C$2:$C$271,"Extraction")</f>
        <v>90</v>
      </c>
      <c r="L94" s="4" t="n">
        <v>1</v>
      </c>
      <c r="M94" s="4" t="n">
        <v>1</v>
      </c>
      <c r="N94" s="4" t="str">
        <f aca="false">IF(AND(OR(G94&lt;Hypothèses!$B$6,ABS(I94-G94)&lt;=2),ABS(K94-H94)&lt;=2),"oui","NON")</f>
        <v>oui</v>
      </c>
      <c r="O94" s="4"/>
      <c r="P94" s="4" t="s">
        <v>349</v>
      </c>
    </row>
    <row r="95" customFormat="false" ht="15" hidden="false" customHeight="false" outlineLevel="0" collapsed="false">
      <c r="A95" s="4" t="s">
        <v>357</v>
      </c>
      <c r="B95" s="4" t="s">
        <v>91</v>
      </c>
      <c r="C95" s="4" t="s">
        <v>356</v>
      </c>
      <c r="D95" s="4" t="s">
        <v>44</v>
      </c>
      <c r="E95" s="4" t="s">
        <v>732</v>
      </c>
      <c r="F95" s="4" t="s">
        <v>731</v>
      </c>
      <c r="G95" s="9" t="n">
        <v>0</v>
      </c>
      <c r="H95" s="9" t="n">
        <v>90</v>
      </c>
      <c r="I95" s="4" t="n">
        <f aca="false">SUMIFS(Bouches!$M$2:$M$271,Bouches!$S$2:$S$271,A95,Bouches!$C$2:$C$271,"Soufflage")</f>
        <v>0</v>
      </c>
      <c r="J95" s="4" t="n">
        <f aca="false">SUMIFS(Bouches!$M$2:$M$271,Bouches!$S$2:$S$271,A95,Bouches!$C$2:$C$271,"Reprise")</f>
        <v>0</v>
      </c>
      <c r="K95" s="4" t="n">
        <f aca="false">SUMIFS(Bouches!$M$2:$M$271,Bouches!$S$2:$S$271,A95,Bouches!$C$2:$C$271,"Extraction")</f>
        <v>90</v>
      </c>
      <c r="L95" s="4" t="n">
        <v>1</v>
      </c>
      <c r="M95" s="4" t="n">
        <v>1</v>
      </c>
      <c r="N95" s="4" t="str">
        <f aca="false">IF(AND(OR(G95&lt;Hypothèses!$B$6,ABS(I95-G95)&lt;=2),ABS(K95-H95)&lt;=2),"oui","NON")</f>
        <v>oui</v>
      </c>
      <c r="O95" s="4"/>
      <c r="P95" s="4" t="s">
        <v>355</v>
      </c>
    </row>
    <row r="96" customFormat="false" ht="15" hidden="false" customHeight="false" outlineLevel="0" collapsed="false">
      <c r="A96" s="4" t="s">
        <v>260</v>
      </c>
      <c r="B96" s="4" t="s">
        <v>91</v>
      </c>
      <c r="C96" s="4" t="s">
        <v>259</v>
      </c>
      <c r="D96" s="4" t="s">
        <v>44</v>
      </c>
      <c r="E96" s="4" t="s">
        <v>732</v>
      </c>
      <c r="F96" s="4" t="s">
        <v>731</v>
      </c>
      <c r="G96" s="9" t="n">
        <v>0</v>
      </c>
      <c r="H96" s="9" t="n">
        <v>90</v>
      </c>
      <c r="I96" s="4" t="n">
        <f aca="false">SUMIFS(Bouches!$M$2:$M$271,Bouches!$S$2:$S$271,A96,Bouches!$C$2:$C$271,"Soufflage")</f>
        <v>0</v>
      </c>
      <c r="J96" s="4" t="n">
        <f aca="false">SUMIFS(Bouches!$M$2:$M$271,Bouches!$S$2:$S$271,A96,Bouches!$C$2:$C$271,"Reprise")</f>
        <v>0</v>
      </c>
      <c r="K96" s="4" t="n">
        <f aca="false">SUMIFS(Bouches!$M$2:$M$271,Bouches!$S$2:$S$271,A96,Bouches!$C$2:$C$271,"Extraction")</f>
        <v>90</v>
      </c>
      <c r="L96" s="4" t="n">
        <v>1</v>
      </c>
      <c r="M96" s="4" t="n">
        <v>1</v>
      </c>
      <c r="N96" s="4" t="str">
        <f aca="false">IF(AND(OR(G96&lt;Hypothèses!$B$6,ABS(I96-G96)&lt;=2),ABS(K96-H96)&lt;=2),"oui","NON")</f>
        <v>oui</v>
      </c>
      <c r="O96" s="4"/>
      <c r="P96" s="4" t="s">
        <v>258</v>
      </c>
    </row>
    <row r="97" customFormat="false" ht="15" hidden="false" customHeight="false" outlineLevel="0" collapsed="false">
      <c r="A97" s="4" t="s">
        <v>363</v>
      </c>
      <c r="B97" s="4" t="s">
        <v>91</v>
      </c>
      <c r="C97" s="4" t="s">
        <v>362</v>
      </c>
      <c r="D97" s="4" t="s">
        <v>44</v>
      </c>
      <c r="E97" s="4" t="s">
        <v>732</v>
      </c>
      <c r="F97" s="4" t="s">
        <v>731</v>
      </c>
      <c r="G97" s="9" t="n">
        <v>0</v>
      </c>
      <c r="H97" s="9" t="n">
        <v>90</v>
      </c>
      <c r="I97" s="4" t="n">
        <f aca="false">SUMIFS(Bouches!$M$2:$M$271,Bouches!$S$2:$S$271,A97,Bouches!$C$2:$C$271,"Soufflage")</f>
        <v>0</v>
      </c>
      <c r="J97" s="4" t="n">
        <f aca="false">SUMIFS(Bouches!$M$2:$M$271,Bouches!$S$2:$S$271,A97,Bouches!$C$2:$C$271,"Reprise")</f>
        <v>0</v>
      </c>
      <c r="K97" s="4" t="n">
        <f aca="false">SUMIFS(Bouches!$M$2:$M$271,Bouches!$S$2:$S$271,A97,Bouches!$C$2:$C$271,"Extraction")</f>
        <v>90</v>
      </c>
      <c r="L97" s="4" t="n">
        <v>1</v>
      </c>
      <c r="M97" s="4" t="n">
        <v>1</v>
      </c>
      <c r="N97" s="4" t="str">
        <f aca="false">IF(AND(OR(G97&lt;Hypothèses!$B$6,ABS(I97-G97)&lt;=2),ABS(K97-H97)&lt;=2),"oui","NON")</f>
        <v>oui</v>
      </c>
      <c r="O97" s="4"/>
      <c r="P97" s="4" t="s">
        <v>361</v>
      </c>
    </row>
    <row r="98" customFormat="false" ht="15" hidden="false" customHeight="false" outlineLevel="0" collapsed="false">
      <c r="A98" s="4" t="s">
        <v>132</v>
      </c>
      <c r="B98" s="4" t="s">
        <v>91</v>
      </c>
      <c r="C98" s="4" t="s">
        <v>131</v>
      </c>
      <c r="D98" s="4" t="s">
        <v>44</v>
      </c>
      <c r="E98" s="4" t="s">
        <v>732</v>
      </c>
      <c r="F98" s="4" t="s">
        <v>731</v>
      </c>
      <c r="G98" s="9" t="n">
        <v>0</v>
      </c>
      <c r="H98" s="9" t="n">
        <v>90</v>
      </c>
      <c r="I98" s="4" t="n">
        <f aca="false">SUMIFS(Bouches!$M$2:$M$271,Bouches!$S$2:$S$271,A98,Bouches!$C$2:$C$271,"Soufflage")</f>
        <v>0</v>
      </c>
      <c r="J98" s="4" t="n">
        <f aca="false">SUMIFS(Bouches!$M$2:$M$271,Bouches!$S$2:$S$271,A98,Bouches!$C$2:$C$271,"Reprise")</f>
        <v>0</v>
      </c>
      <c r="K98" s="4" t="n">
        <f aca="false">SUMIFS(Bouches!$M$2:$M$271,Bouches!$S$2:$S$271,A98,Bouches!$C$2:$C$271,"Extraction")</f>
        <v>90</v>
      </c>
      <c r="L98" s="4" t="n">
        <v>1</v>
      </c>
      <c r="M98" s="4" t="n">
        <v>1</v>
      </c>
      <c r="N98" s="4" t="str">
        <f aca="false">IF(AND(OR(G98&lt;Hypothèses!$B$6,ABS(I98-G98)&lt;=2),ABS(K98-H98)&lt;=2),"oui","NON")</f>
        <v>oui</v>
      </c>
      <c r="O98" s="4"/>
      <c r="P98" s="4" t="s">
        <v>130</v>
      </c>
    </row>
    <row r="99" customFormat="false" ht="15" hidden="false" customHeight="false" outlineLevel="0" collapsed="false">
      <c r="A99" s="4" t="s">
        <v>93</v>
      </c>
      <c r="B99" s="4" t="s">
        <v>91</v>
      </c>
      <c r="C99" s="4" t="s">
        <v>92</v>
      </c>
      <c r="D99" s="4" t="s">
        <v>44</v>
      </c>
      <c r="E99" s="4" t="s">
        <v>732</v>
      </c>
      <c r="F99" s="4" t="s">
        <v>731</v>
      </c>
      <c r="G99" s="9" t="n">
        <v>0</v>
      </c>
      <c r="H99" s="9" t="n">
        <v>90</v>
      </c>
      <c r="I99" s="4" t="n">
        <f aca="false">SUMIFS(Bouches!$M$2:$M$271,Bouches!$S$2:$S$271,A99,Bouches!$C$2:$C$271,"Soufflage")</f>
        <v>0</v>
      </c>
      <c r="J99" s="4" t="n">
        <f aca="false">SUMIFS(Bouches!$M$2:$M$271,Bouches!$S$2:$S$271,A99,Bouches!$C$2:$C$271,"Reprise")</f>
        <v>0</v>
      </c>
      <c r="K99" s="4" t="n">
        <f aca="false">SUMIFS(Bouches!$M$2:$M$271,Bouches!$S$2:$S$271,A99,Bouches!$C$2:$C$271,"Extraction")</f>
        <v>90</v>
      </c>
      <c r="L99" s="4" t="n">
        <v>1</v>
      </c>
      <c r="M99" s="4" t="n">
        <v>1</v>
      </c>
      <c r="N99" s="4" t="str">
        <f aca="false">IF(AND(OR(G99&lt;Hypothèses!$B$6,ABS(I99-G99)&lt;=2),ABS(K99-H99)&lt;=2),"oui","NON")</f>
        <v>oui</v>
      </c>
      <c r="O99" s="4"/>
      <c r="P99" s="4" t="s">
        <v>90</v>
      </c>
    </row>
    <row r="100" customFormat="false" ht="15" hidden="false" customHeight="false" outlineLevel="0" collapsed="false">
      <c r="A100" s="4" t="s">
        <v>372</v>
      </c>
      <c r="B100" s="4" t="s">
        <v>91</v>
      </c>
      <c r="C100" s="4" t="s">
        <v>371</v>
      </c>
      <c r="D100" s="4" t="s">
        <v>44</v>
      </c>
      <c r="E100" s="4" t="s">
        <v>732</v>
      </c>
      <c r="F100" s="4" t="s">
        <v>731</v>
      </c>
      <c r="G100" s="9" t="n">
        <v>0</v>
      </c>
      <c r="H100" s="9" t="n">
        <v>90</v>
      </c>
      <c r="I100" s="4" t="n">
        <f aca="false">SUMIFS(Bouches!$M$2:$M$271,Bouches!$S$2:$S$271,A100,Bouches!$C$2:$C$271,"Soufflage")</f>
        <v>0</v>
      </c>
      <c r="J100" s="4" t="n">
        <f aca="false">SUMIFS(Bouches!$M$2:$M$271,Bouches!$S$2:$S$271,A100,Bouches!$C$2:$C$271,"Reprise")</f>
        <v>0</v>
      </c>
      <c r="K100" s="4" t="n">
        <f aca="false">SUMIFS(Bouches!$M$2:$M$271,Bouches!$S$2:$S$271,A100,Bouches!$C$2:$C$271,"Extraction")</f>
        <v>90</v>
      </c>
      <c r="L100" s="4" t="n">
        <v>1</v>
      </c>
      <c r="M100" s="4" t="n">
        <v>1</v>
      </c>
      <c r="N100" s="4" t="str">
        <f aca="false">IF(AND(OR(G100&lt;Hypothèses!$B$6,ABS(I100-G100)&lt;=2),ABS(K100-H100)&lt;=2),"oui","NON")</f>
        <v>oui</v>
      </c>
      <c r="O100" s="4"/>
      <c r="P100" s="4" t="s">
        <v>370</v>
      </c>
    </row>
    <row r="101" customFormat="false" ht="15" hidden="false" customHeight="false" outlineLevel="0" collapsed="false">
      <c r="A101" s="4" t="s">
        <v>111</v>
      </c>
      <c r="B101" s="4" t="s">
        <v>91</v>
      </c>
      <c r="C101" s="4" t="s">
        <v>110</v>
      </c>
      <c r="D101" s="4" t="s">
        <v>44</v>
      </c>
      <c r="E101" s="4" t="s">
        <v>732</v>
      </c>
      <c r="F101" s="4" t="s">
        <v>731</v>
      </c>
      <c r="G101" s="9" t="n">
        <v>0</v>
      </c>
      <c r="H101" s="9" t="n">
        <v>90</v>
      </c>
      <c r="I101" s="4" t="n">
        <f aca="false">SUMIFS(Bouches!$M$2:$M$271,Bouches!$S$2:$S$271,A101,Bouches!$C$2:$C$271,"Soufflage")</f>
        <v>0</v>
      </c>
      <c r="J101" s="4" t="n">
        <f aca="false">SUMIFS(Bouches!$M$2:$M$271,Bouches!$S$2:$S$271,A101,Bouches!$C$2:$C$271,"Reprise")</f>
        <v>0</v>
      </c>
      <c r="K101" s="4" t="n">
        <f aca="false">SUMIFS(Bouches!$M$2:$M$271,Bouches!$S$2:$S$271,A101,Bouches!$C$2:$C$271,"Extraction")</f>
        <v>90</v>
      </c>
      <c r="L101" s="4" t="n">
        <v>1</v>
      </c>
      <c r="M101" s="4" t="n">
        <v>1</v>
      </c>
      <c r="N101" s="4" t="str">
        <f aca="false">IF(AND(OR(G101&lt;Hypothèses!$B$6,ABS(I101-G101)&lt;=2),ABS(K101-H101)&lt;=2),"oui","NON")</f>
        <v>oui</v>
      </c>
      <c r="O101" s="4"/>
      <c r="P101" s="4" t="s">
        <v>109</v>
      </c>
    </row>
    <row r="102" customFormat="false" ht="15" hidden="false" customHeight="false" outlineLevel="0" collapsed="false">
      <c r="A102" s="4" t="s">
        <v>102</v>
      </c>
      <c r="B102" s="4" t="s">
        <v>91</v>
      </c>
      <c r="C102" s="4" t="s">
        <v>101</v>
      </c>
      <c r="D102" s="4" t="s">
        <v>44</v>
      </c>
      <c r="E102" s="4" t="s">
        <v>732</v>
      </c>
      <c r="F102" s="4" t="s">
        <v>731</v>
      </c>
      <c r="G102" s="9" t="n">
        <v>0</v>
      </c>
      <c r="H102" s="9" t="n">
        <v>90</v>
      </c>
      <c r="I102" s="4" t="n">
        <f aca="false">SUMIFS(Bouches!$M$2:$M$271,Bouches!$S$2:$S$271,A102,Bouches!$C$2:$C$271,"Soufflage")</f>
        <v>0</v>
      </c>
      <c r="J102" s="4" t="n">
        <f aca="false">SUMIFS(Bouches!$M$2:$M$271,Bouches!$S$2:$S$271,A102,Bouches!$C$2:$C$271,"Reprise")</f>
        <v>0</v>
      </c>
      <c r="K102" s="4" t="n">
        <f aca="false">SUMIFS(Bouches!$M$2:$M$271,Bouches!$S$2:$S$271,A102,Bouches!$C$2:$C$271,"Extraction")</f>
        <v>90</v>
      </c>
      <c r="L102" s="4" t="n">
        <v>1</v>
      </c>
      <c r="M102" s="4" t="n">
        <v>1</v>
      </c>
      <c r="N102" s="4" t="str">
        <f aca="false">IF(AND(OR(G102&lt;Hypothèses!$B$6,ABS(I102-G102)&lt;=2),ABS(K102-H102)&lt;=2),"oui","NON")</f>
        <v>oui</v>
      </c>
      <c r="O102" s="4"/>
      <c r="P102" s="4" t="s">
        <v>100</v>
      </c>
    </row>
    <row r="103" customFormat="false" ht="15" hidden="false" customHeight="false" outlineLevel="0" collapsed="false">
      <c r="A103" s="4" t="s">
        <v>105</v>
      </c>
      <c r="B103" s="4" t="s">
        <v>91</v>
      </c>
      <c r="C103" s="4" t="s">
        <v>104</v>
      </c>
      <c r="D103" s="4" t="s">
        <v>44</v>
      </c>
      <c r="E103" s="4" t="s">
        <v>732</v>
      </c>
      <c r="F103" s="4" t="s">
        <v>731</v>
      </c>
      <c r="G103" s="9" t="n">
        <v>0</v>
      </c>
      <c r="H103" s="9" t="n">
        <v>90</v>
      </c>
      <c r="I103" s="4" t="n">
        <f aca="false">SUMIFS(Bouches!$M$2:$M$271,Bouches!$S$2:$S$271,A103,Bouches!$C$2:$C$271,"Soufflage")</f>
        <v>0</v>
      </c>
      <c r="J103" s="4" t="n">
        <f aca="false">SUMIFS(Bouches!$M$2:$M$271,Bouches!$S$2:$S$271,A103,Bouches!$C$2:$C$271,"Reprise")</f>
        <v>0</v>
      </c>
      <c r="K103" s="4" t="n">
        <f aca="false">SUMIFS(Bouches!$M$2:$M$271,Bouches!$S$2:$S$271,A103,Bouches!$C$2:$C$271,"Extraction")</f>
        <v>90</v>
      </c>
      <c r="L103" s="4" t="n">
        <v>1</v>
      </c>
      <c r="M103" s="4" t="n">
        <v>1</v>
      </c>
      <c r="N103" s="4" t="str">
        <f aca="false">IF(AND(OR(G103&lt;Hypothèses!$B$6,ABS(I103-G103)&lt;=2),ABS(K103-H103)&lt;=2),"oui","NON")</f>
        <v>oui</v>
      </c>
      <c r="O103" s="4"/>
      <c r="P103" s="4" t="s">
        <v>103</v>
      </c>
    </row>
    <row r="104" customFormat="false" ht="15" hidden="false" customHeight="false" outlineLevel="0" collapsed="false">
      <c r="A104" s="4" t="s">
        <v>266</v>
      </c>
      <c r="B104" s="4" t="s">
        <v>91</v>
      </c>
      <c r="C104" s="4" t="s">
        <v>265</v>
      </c>
      <c r="D104" s="4" t="s">
        <v>44</v>
      </c>
      <c r="E104" s="4" t="s">
        <v>732</v>
      </c>
      <c r="F104" s="4" t="s">
        <v>731</v>
      </c>
      <c r="G104" s="9" t="n">
        <v>0</v>
      </c>
      <c r="H104" s="9" t="n">
        <v>90</v>
      </c>
      <c r="I104" s="4" t="n">
        <f aca="false">SUMIFS(Bouches!$M$2:$M$271,Bouches!$S$2:$S$271,A104,Bouches!$C$2:$C$271,"Soufflage")</f>
        <v>0</v>
      </c>
      <c r="J104" s="4" t="n">
        <f aca="false">SUMIFS(Bouches!$M$2:$M$271,Bouches!$S$2:$S$271,A104,Bouches!$C$2:$C$271,"Reprise")</f>
        <v>0</v>
      </c>
      <c r="K104" s="4" t="n">
        <f aca="false">SUMIFS(Bouches!$M$2:$M$271,Bouches!$S$2:$S$271,A104,Bouches!$C$2:$C$271,"Extraction")</f>
        <v>90</v>
      </c>
      <c r="L104" s="4" t="n">
        <v>1</v>
      </c>
      <c r="M104" s="4" t="n">
        <v>1</v>
      </c>
      <c r="N104" s="4" t="str">
        <f aca="false">IF(AND(OR(G104&lt;Hypothèses!$B$6,ABS(I104-G104)&lt;=2),ABS(K104-H104)&lt;=2),"oui","NON")</f>
        <v>oui</v>
      </c>
      <c r="O104" s="4"/>
      <c r="P104" s="4" t="s">
        <v>264</v>
      </c>
    </row>
    <row r="105" customFormat="false" ht="15" hidden="false" customHeight="false" outlineLevel="0" collapsed="false">
      <c r="A105" s="4" t="s">
        <v>248</v>
      </c>
      <c r="B105" s="4" t="s">
        <v>91</v>
      </c>
      <c r="C105" s="4" t="s">
        <v>247</v>
      </c>
      <c r="D105" s="4" t="s">
        <v>44</v>
      </c>
      <c r="E105" s="4" t="s">
        <v>732</v>
      </c>
      <c r="F105" s="4" t="s">
        <v>731</v>
      </c>
      <c r="G105" s="9" t="n">
        <v>0</v>
      </c>
      <c r="H105" s="9" t="n">
        <v>90</v>
      </c>
      <c r="I105" s="4" t="n">
        <f aca="false">SUMIFS(Bouches!$M$2:$M$271,Bouches!$S$2:$S$271,A105,Bouches!$C$2:$C$271,"Soufflage")</f>
        <v>0</v>
      </c>
      <c r="J105" s="4" t="n">
        <f aca="false">SUMIFS(Bouches!$M$2:$M$271,Bouches!$S$2:$S$271,A105,Bouches!$C$2:$C$271,"Reprise")</f>
        <v>0</v>
      </c>
      <c r="K105" s="4" t="n">
        <f aca="false">SUMIFS(Bouches!$M$2:$M$271,Bouches!$S$2:$S$271,A105,Bouches!$C$2:$C$271,"Extraction")</f>
        <v>90</v>
      </c>
      <c r="L105" s="4" t="n">
        <v>1</v>
      </c>
      <c r="M105" s="4" t="n">
        <v>1</v>
      </c>
      <c r="N105" s="4" t="str">
        <f aca="false">IF(AND(OR(G105&lt;Hypothèses!$B$6,ABS(I105-G105)&lt;=2),ABS(K105-H105)&lt;=2),"oui","NON")</f>
        <v>oui</v>
      </c>
      <c r="O105" s="4"/>
      <c r="P105" s="4" t="s">
        <v>246</v>
      </c>
    </row>
    <row r="106" customFormat="false" ht="15" hidden="false" customHeight="false" outlineLevel="0" collapsed="false">
      <c r="A106" s="4" t="s">
        <v>263</v>
      </c>
      <c r="B106" s="4" t="s">
        <v>91</v>
      </c>
      <c r="C106" s="4" t="s">
        <v>262</v>
      </c>
      <c r="D106" s="4" t="s">
        <v>44</v>
      </c>
      <c r="E106" s="4" t="s">
        <v>732</v>
      </c>
      <c r="F106" s="4" t="s">
        <v>731</v>
      </c>
      <c r="G106" s="9" t="n">
        <v>0</v>
      </c>
      <c r="H106" s="9" t="n">
        <v>90</v>
      </c>
      <c r="I106" s="4" t="n">
        <f aca="false">SUMIFS(Bouches!$M$2:$M$271,Bouches!$S$2:$S$271,A106,Bouches!$C$2:$C$271,"Soufflage")</f>
        <v>0</v>
      </c>
      <c r="J106" s="4" t="n">
        <f aca="false">SUMIFS(Bouches!$M$2:$M$271,Bouches!$S$2:$S$271,A106,Bouches!$C$2:$C$271,"Reprise")</f>
        <v>0</v>
      </c>
      <c r="K106" s="4" t="n">
        <f aca="false">SUMIFS(Bouches!$M$2:$M$271,Bouches!$S$2:$S$271,A106,Bouches!$C$2:$C$271,"Extraction")</f>
        <v>90</v>
      </c>
      <c r="L106" s="4" t="n">
        <v>1</v>
      </c>
      <c r="M106" s="4" t="n">
        <v>1</v>
      </c>
      <c r="N106" s="4" t="str">
        <f aca="false">IF(AND(OR(G106&lt;Hypothèses!$B$6,ABS(I106-G106)&lt;=2),ABS(K106-H106)&lt;=2),"oui","NON")</f>
        <v>oui</v>
      </c>
      <c r="O106" s="4"/>
      <c r="P106" s="4" t="s">
        <v>261</v>
      </c>
    </row>
    <row r="107" customFormat="false" ht="15" hidden="false" customHeight="false" outlineLevel="0" collapsed="false">
      <c r="A107" s="4" t="s">
        <v>129</v>
      </c>
      <c r="B107" s="4" t="s">
        <v>91</v>
      </c>
      <c r="C107" s="4" t="s">
        <v>128</v>
      </c>
      <c r="D107" s="4" t="s">
        <v>44</v>
      </c>
      <c r="E107" s="4" t="s">
        <v>732</v>
      </c>
      <c r="F107" s="4" t="s">
        <v>731</v>
      </c>
      <c r="G107" s="9" t="n">
        <v>0</v>
      </c>
      <c r="H107" s="9" t="n">
        <v>90</v>
      </c>
      <c r="I107" s="4" t="n">
        <f aca="false">SUMIFS(Bouches!$M$2:$M$271,Bouches!$S$2:$S$271,A107,Bouches!$C$2:$C$271,"Soufflage")</f>
        <v>0</v>
      </c>
      <c r="J107" s="4" t="n">
        <f aca="false">SUMIFS(Bouches!$M$2:$M$271,Bouches!$S$2:$S$271,A107,Bouches!$C$2:$C$271,"Reprise")</f>
        <v>0</v>
      </c>
      <c r="K107" s="4" t="n">
        <f aca="false">SUMIFS(Bouches!$M$2:$M$271,Bouches!$S$2:$S$271,A107,Bouches!$C$2:$C$271,"Extraction")</f>
        <v>90</v>
      </c>
      <c r="L107" s="4" t="n">
        <v>1</v>
      </c>
      <c r="M107" s="4" t="n">
        <v>1</v>
      </c>
      <c r="N107" s="4" t="str">
        <f aca="false">IF(AND(OR(G107&lt;Hypothèses!$B$6,ABS(I107-G107)&lt;=2),ABS(K107-H107)&lt;=2),"oui","NON")</f>
        <v>oui</v>
      </c>
      <c r="O107" s="4"/>
      <c r="P107" s="4" t="s">
        <v>127</v>
      </c>
    </row>
    <row r="108" customFormat="false" ht="15" hidden="false" customHeight="false" outlineLevel="0" collapsed="false">
      <c r="A108" s="4" t="s">
        <v>277</v>
      </c>
      <c r="B108" s="4" t="s">
        <v>91</v>
      </c>
      <c r="C108" s="4" t="s">
        <v>274</v>
      </c>
      <c r="D108" s="4" t="s">
        <v>44</v>
      </c>
      <c r="E108" s="4" t="s">
        <v>732</v>
      </c>
      <c r="F108" s="4" t="s">
        <v>731</v>
      </c>
      <c r="G108" s="9" t="n">
        <v>0</v>
      </c>
      <c r="H108" s="9" t="n">
        <v>90</v>
      </c>
      <c r="I108" s="4" t="n">
        <f aca="false">SUMIFS(Bouches!$M$2:$M$271,Bouches!$S$2:$S$271,A108,Bouches!$C$2:$C$271,"Soufflage")</f>
        <v>0</v>
      </c>
      <c r="J108" s="4" t="n">
        <f aca="false">SUMIFS(Bouches!$M$2:$M$271,Bouches!$S$2:$S$271,A108,Bouches!$C$2:$C$271,"Reprise")</f>
        <v>0</v>
      </c>
      <c r="K108" s="4" t="n">
        <f aca="false">SUMIFS(Bouches!$M$2:$M$271,Bouches!$S$2:$S$271,A108,Bouches!$C$2:$C$271,"Extraction")</f>
        <v>90</v>
      </c>
      <c r="L108" s="4" t="n">
        <v>1</v>
      </c>
      <c r="M108" s="4" t="n">
        <v>0</v>
      </c>
      <c r="N108" s="4" t="str">
        <f aca="false">IF(AND(OR(G108&lt;Hypothèses!$B$6,ABS(I108-G108)&lt;=2),ABS(K108-H108)&lt;=2),"oui","NON")</f>
        <v>oui</v>
      </c>
      <c r="O108" s="4" t="s">
        <v>733</v>
      </c>
      <c r="P108" s="4" t="s">
        <v>273</v>
      </c>
    </row>
    <row r="109" customFormat="false" ht="15" hidden="false" customHeight="false" outlineLevel="0" collapsed="false">
      <c r="A109" s="4" t="s">
        <v>251</v>
      </c>
      <c r="B109" s="4" t="s">
        <v>91</v>
      </c>
      <c r="C109" s="4" t="s">
        <v>250</v>
      </c>
      <c r="D109" s="4" t="s">
        <v>44</v>
      </c>
      <c r="E109" s="4" t="s">
        <v>732</v>
      </c>
      <c r="F109" s="4" t="s">
        <v>731</v>
      </c>
      <c r="G109" s="9" t="n">
        <v>0</v>
      </c>
      <c r="H109" s="9" t="n">
        <v>90</v>
      </c>
      <c r="I109" s="4" t="n">
        <f aca="false">SUMIFS(Bouches!$M$2:$M$271,Bouches!$S$2:$S$271,A109,Bouches!$C$2:$C$271,"Soufflage")</f>
        <v>0</v>
      </c>
      <c r="J109" s="4" t="n">
        <f aca="false">SUMIFS(Bouches!$M$2:$M$271,Bouches!$S$2:$S$271,A109,Bouches!$C$2:$C$271,"Reprise")</f>
        <v>0</v>
      </c>
      <c r="K109" s="4" t="n">
        <f aca="false">SUMIFS(Bouches!$M$2:$M$271,Bouches!$S$2:$S$271,A109,Bouches!$C$2:$C$271,"Extraction")</f>
        <v>90</v>
      </c>
      <c r="L109" s="4" t="n">
        <v>1</v>
      </c>
      <c r="M109" s="4" t="n">
        <v>1</v>
      </c>
      <c r="N109" s="4" t="str">
        <f aca="false">IF(AND(OR(G109&lt;Hypothèses!$B$6,ABS(I109-G109)&lt;=2),ABS(K109-H109)&lt;=2),"oui","NON")</f>
        <v>oui</v>
      </c>
      <c r="O109" s="4"/>
      <c r="P109" s="4" t="s">
        <v>249</v>
      </c>
    </row>
    <row r="110" customFormat="false" ht="15" hidden="false" customHeight="false" outlineLevel="0" collapsed="false">
      <c r="A110" s="4" t="s">
        <v>272</v>
      </c>
      <c r="B110" s="4" t="s">
        <v>91</v>
      </c>
      <c r="C110" s="4" t="s">
        <v>271</v>
      </c>
      <c r="D110" s="4" t="s">
        <v>44</v>
      </c>
      <c r="E110" s="4" t="s">
        <v>732</v>
      </c>
      <c r="F110" s="4" t="s">
        <v>731</v>
      </c>
      <c r="G110" s="9" t="n">
        <v>0</v>
      </c>
      <c r="H110" s="9" t="n">
        <v>90</v>
      </c>
      <c r="I110" s="4" t="n">
        <f aca="false">SUMIFS(Bouches!$M$2:$M$271,Bouches!$S$2:$S$271,A110,Bouches!$C$2:$C$271,"Soufflage")</f>
        <v>0</v>
      </c>
      <c r="J110" s="4" t="n">
        <f aca="false">SUMIFS(Bouches!$M$2:$M$271,Bouches!$S$2:$S$271,A110,Bouches!$C$2:$C$271,"Reprise")</f>
        <v>0</v>
      </c>
      <c r="K110" s="4" t="n">
        <f aca="false">SUMIFS(Bouches!$M$2:$M$271,Bouches!$S$2:$S$271,A110,Bouches!$C$2:$C$271,"Extraction")</f>
        <v>90</v>
      </c>
      <c r="L110" s="4" t="n">
        <v>1</v>
      </c>
      <c r="M110" s="4" t="n">
        <v>1</v>
      </c>
      <c r="N110" s="4" t="str">
        <f aca="false">IF(AND(OR(G110&lt;Hypothèses!$B$6,ABS(I110-G110)&lt;=2),ABS(K110-H110)&lt;=2),"oui","NON")</f>
        <v>oui</v>
      </c>
      <c r="O110" s="4"/>
      <c r="P110" s="4" t="s">
        <v>270</v>
      </c>
    </row>
    <row r="111" customFormat="false" ht="15" hidden="false" customHeight="false" outlineLevel="0" collapsed="false">
      <c r="A111" s="4" t="s">
        <v>257</v>
      </c>
      <c r="B111" s="4" t="s">
        <v>91</v>
      </c>
      <c r="C111" s="4" t="s">
        <v>256</v>
      </c>
      <c r="D111" s="4" t="s">
        <v>44</v>
      </c>
      <c r="E111" s="4" t="s">
        <v>732</v>
      </c>
      <c r="F111" s="4" t="s">
        <v>731</v>
      </c>
      <c r="G111" s="9" t="n">
        <v>0</v>
      </c>
      <c r="H111" s="9" t="n">
        <v>90</v>
      </c>
      <c r="I111" s="4" t="n">
        <f aca="false">SUMIFS(Bouches!$M$2:$M$271,Bouches!$S$2:$S$271,A111,Bouches!$C$2:$C$271,"Soufflage")</f>
        <v>0</v>
      </c>
      <c r="J111" s="4" t="n">
        <f aca="false">SUMIFS(Bouches!$M$2:$M$271,Bouches!$S$2:$S$271,A111,Bouches!$C$2:$C$271,"Reprise")</f>
        <v>0</v>
      </c>
      <c r="K111" s="4" t="n">
        <f aca="false">SUMIFS(Bouches!$M$2:$M$271,Bouches!$S$2:$S$271,A111,Bouches!$C$2:$C$271,"Extraction")</f>
        <v>90</v>
      </c>
      <c r="L111" s="4" t="n">
        <v>1</v>
      </c>
      <c r="M111" s="4" t="n">
        <v>1</v>
      </c>
      <c r="N111" s="4" t="str">
        <f aca="false">IF(AND(OR(G111&lt;Hypothèses!$B$6,ABS(I111-G111)&lt;=2),ABS(K111-H111)&lt;=2),"oui","NON")</f>
        <v>oui</v>
      </c>
      <c r="O111" s="4"/>
      <c r="P111" s="4" t="s">
        <v>255</v>
      </c>
    </row>
    <row r="112" customFormat="false" ht="15" hidden="false" customHeight="false" outlineLevel="0" collapsed="false">
      <c r="A112" s="4" t="s">
        <v>374</v>
      </c>
      <c r="B112" s="4" t="s">
        <v>91</v>
      </c>
      <c r="C112" s="4" t="s">
        <v>134</v>
      </c>
      <c r="D112" s="4" t="s">
        <v>143</v>
      </c>
      <c r="E112" s="4" t="s">
        <v>730</v>
      </c>
      <c r="F112" s="4" t="s">
        <v>734</v>
      </c>
      <c r="G112" s="9" t="n">
        <v>90</v>
      </c>
      <c r="H112" s="9" t="n">
        <v>0</v>
      </c>
      <c r="I112" s="4" t="n">
        <f aca="false">SUMIFS(Bouches!$M$2:$M$271,Bouches!$S$2:$S$271,A112,Bouches!$C$2:$C$271,"Soufflage")</f>
        <v>90</v>
      </c>
      <c r="J112" s="4" t="n">
        <f aca="false">SUMIFS(Bouches!$M$2:$M$271,Bouches!$S$2:$S$271,A112,Bouches!$C$2:$C$271,"Reprise")</f>
        <v>0</v>
      </c>
      <c r="K112" s="4" t="n">
        <f aca="false">SUMIFS(Bouches!$M$2:$M$271,Bouches!$S$2:$S$271,A112,Bouches!$C$2:$C$271,"Extraction")</f>
        <v>0</v>
      </c>
      <c r="L112" s="4" t="n">
        <v>1</v>
      </c>
      <c r="M112" s="4" t="n">
        <v>1</v>
      </c>
      <c r="N112" s="4" t="str">
        <f aca="false">IF(AND(OR(G112&lt;Hypothèses!$B$6,ABS(I112-G112)&lt;=2),ABS(K112-H112)&lt;=2),"oui","NON")</f>
        <v>oui</v>
      </c>
      <c r="O112" s="4"/>
      <c r="P112" s="4" t="s">
        <v>373</v>
      </c>
    </row>
    <row r="113" customFormat="false" ht="15" hidden="false" customHeight="false" outlineLevel="0" collapsed="false">
      <c r="A113" s="4" t="s">
        <v>388</v>
      </c>
      <c r="B113" s="4" t="s">
        <v>91</v>
      </c>
      <c r="C113" s="4" t="s">
        <v>134</v>
      </c>
      <c r="D113" s="4" t="s">
        <v>143</v>
      </c>
      <c r="E113" s="4" t="s">
        <v>730</v>
      </c>
      <c r="F113" s="4" t="s">
        <v>734</v>
      </c>
      <c r="G113" s="9" t="n">
        <v>90</v>
      </c>
      <c r="H113" s="9" t="n">
        <v>0</v>
      </c>
      <c r="I113" s="4" t="n">
        <f aca="false">SUMIFS(Bouches!$M$2:$M$271,Bouches!$S$2:$S$271,A113,Bouches!$C$2:$C$271,"Soufflage")</f>
        <v>90</v>
      </c>
      <c r="J113" s="4" t="n">
        <f aca="false">SUMIFS(Bouches!$M$2:$M$271,Bouches!$S$2:$S$271,A113,Bouches!$C$2:$C$271,"Reprise")</f>
        <v>0</v>
      </c>
      <c r="K113" s="4" t="n">
        <f aca="false">SUMIFS(Bouches!$M$2:$M$271,Bouches!$S$2:$S$271,A113,Bouches!$C$2:$C$271,"Extraction")</f>
        <v>0</v>
      </c>
      <c r="L113" s="4" t="n">
        <v>1</v>
      </c>
      <c r="M113" s="4" t="n">
        <v>1</v>
      </c>
      <c r="N113" s="4" t="str">
        <f aca="false">IF(AND(OR(G113&lt;Hypothèses!$B$6,ABS(I113-G113)&lt;=2),ABS(K113-H113)&lt;=2),"oui","NON")</f>
        <v>oui</v>
      </c>
      <c r="O113" s="4"/>
      <c r="P113" s="4" t="s">
        <v>387</v>
      </c>
    </row>
    <row r="114" customFormat="false" ht="15" hidden="false" customHeight="false" outlineLevel="0" collapsed="false">
      <c r="A114" s="4" t="s">
        <v>376</v>
      </c>
      <c r="B114" s="4" t="s">
        <v>91</v>
      </c>
      <c r="C114" s="4" t="s">
        <v>134</v>
      </c>
      <c r="D114" s="4" t="s">
        <v>143</v>
      </c>
      <c r="E114" s="4" t="s">
        <v>730</v>
      </c>
      <c r="F114" s="4" t="s">
        <v>734</v>
      </c>
      <c r="G114" s="9" t="n">
        <v>90</v>
      </c>
      <c r="H114" s="9" t="n">
        <v>0</v>
      </c>
      <c r="I114" s="4" t="n">
        <f aca="false">SUMIFS(Bouches!$M$2:$M$271,Bouches!$S$2:$S$271,A114,Bouches!$C$2:$C$271,"Soufflage")</f>
        <v>90</v>
      </c>
      <c r="J114" s="4" t="n">
        <f aca="false">SUMIFS(Bouches!$M$2:$M$271,Bouches!$S$2:$S$271,A114,Bouches!$C$2:$C$271,"Reprise")</f>
        <v>0</v>
      </c>
      <c r="K114" s="4" t="n">
        <f aca="false">SUMIFS(Bouches!$M$2:$M$271,Bouches!$S$2:$S$271,A114,Bouches!$C$2:$C$271,"Extraction")</f>
        <v>0</v>
      </c>
      <c r="L114" s="4" t="n">
        <v>1</v>
      </c>
      <c r="M114" s="4" t="n">
        <v>1</v>
      </c>
      <c r="N114" s="4" t="str">
        <f aca="false">IF(AND(OR(G114&lt;Hypothèses!$B$6,ABS(I114-G114)&lt;=2),ABS(K114-H114)&lt;=2),"oui","NON")</f>
        <v>oui</v>
      </c>
      <c r="O114" s="4"/>
      <c r="P114" s="4" t="s">
        <v>375</v>
      </c>
    </row>
    <row r="115" customFormat="false" ht="15" hidden="false" customHeight="false" outlineLevel="0" collapsed="false">
      <c r="A115" s="4" t="s">
        <v>178</v>
      </c>
      <c r="B115" s="4" t="s">
        <v>91</v>
      </c>
      <c r="C115" s="4" t="s">
        <v>134</v>
      </c>
      <c r="D115" s="4" t="s">
        <v>143</v>
      </c>
      <c r="E115" s="4" t="s">
        <v>730</v>
      </c>
      <c r="F115" s="4" t="s">
        <v>734</v>
      </c>
      <c r="G115" s="9" t="n">
        <v>90</v>
      </c>
      <c r="H115" s="9" t="n">
        <v>0</v>
      </c>
      <c r="I115" s="4" t="n">
        <f aca="false">SUMIFS(Bouches!$M$2:$M$271,Bouches!$S$2:$S$271,A115,Bouches!$C$2:$C$271,"Soufflage")</f>
        <v>90</v>
      </c>
      <c r="J115" s="4" t="n">
        <f aca="false">SUMIFS(Bouches!$M$2:$M$271,Bouches!$S$2:$S$271,A115,Bouches!$C$2:$C$271,"Reprise")</f>
        <v>0</v>
      </c>
      <c r="K115" s="4" t="n">
        <f aca="false">SUMIFS(Bouches!$M$2:$M$271,Bouches!$S$2:$S$271,A115,Bouches!$C$2:$C$271,"Extraction")</f>
        <v>0</v>
      </c>
      <c r="L115" s="4" t="n">
        <v>1</v>
      </c>
      <c r="M115" s="4" t="n">
        <v>1</v>
      </c>
      <c r="N115" s="4" t="str">
        <f aca="false">IF(AND(OR(G115&lt;Hypothèses!$B$6,ABS(I115-G115)&lt;=2),ABS(K115-H115)&lt;=2),"oui","NON")</f>
        <v>oui</v>
      </c>
      <c r="O115" s="4"/>
      <c r="P115" s="4" t="s">
        <v>177</v>
      </c>
    </row>
    <row r="116" customFormat="false" ht="15" hidden="false" customHeight="false" outlineLevel="0" collapsed="false">
      <c r="A116" s="4" t="s">
        <v>460</v>
      </c>
      <c r="B116" s="4" t="s">
        <v>91</v>
      </c>
      <c r="C116" s="4" t="s">
        <v>134</v>
      </c>
      <c r="D116" s="4" t="s">
        <v>143</v>
      </c>
      <c r="E116" s="4" t="s">
        <v>730</v>
      </c>
      <c r="F116" s="4" t="s">
        <v>734</v>
      </c>
      <c r="G116" s="9" t="n">
        <v>90</v>
      </c>
      <c r="H116" s="9" t="n">
        <v>0</v>
      </c>
      <c r="I116" s="4" t="n">
        <f aca="false">SUMIFS(Bouches!$M$2:$M$271,Bouches!$S$2:$S$271,A116,Bouches!$C$2:$C$271,"Soufflage")</f>
        <v>90</v>
      </c>
      <c r="J116" s="4" t="n">
        <f aca="false">SUMIFS(Bouches!$M$2:$M$271,Bouches!$S$2:$S$271,A116,Bouches!$C$2:$C$271,"Reprise")</f>
        <v>0</v>
      </c>
      <c r="K116" s="4" t="n">
        <f aca="false">SUMIFS(Bouches!$M$2:$M$271,Bouches!$S$2:$S$271,A116,Bouches!$C$2:$C$271,"Extraction")</f>
        <v>0</v>
      </c>
      <c r="L116" s="4" t="n">
        <v>1</v>
      </c>
      <c r="M116" s="4" t="n">
        <v>1</v>
      </c>
      <c r="N116" s="4" t="str">
        <f aca="false">IF(AND(OR(G116&lt;Hypothèses!$B$6,ABS(I116-G116)&lt;=2),ABS(K116-H116)&lt;=2),"oui","NON")</f>
        <v>oui</v>
      </c>
      <c r="O116" s="4"/>
      <c r="P116" s="4" t="s">
        <v>459</v>
      </c>
    </row>
    <row r="117" customFormat="false" ht="15" hidden="false" customHeight="false" outlineLevel="0" collapsed="false">
      <c r="A117" s="4" t="s">
        <v>458</v>
      </c>
      <c r="B117" s="4" t="s">
        <v>91</v>
      </c>
      <c r="C117" s="4" t="s">
        <v>134</v>
      </c>
      <c r="D117" s="4" t="s">
        <v>143</v>
      </c>
      <c r="E117" s="4" t="s">
        <v>730</v>
      </c>
      <c r="F117" s="4" t="s">
        <v>734</v>
      </c>
      <c r="G117" s="9" t="n">
        <v>90</v>
      </c>
      <c r="H117" s="9" t="n">
        <v>0</v>
      </c>
      <c r="I117" s="4" t="n">
        <f aca="false">SUMIFS(Bouches!$M$2:$M$271,Bouches!$S$2:$S$271,A117,Bouches!$C$2:$C$271,"Soufflage")</f>
        <v>90</v>
      </c>
      <c r="J117" s="4" t="n">
        <f aca="false">SUMIFS(Bouches!$M$2:$M$271,Bouches!$S$2:$S$271,A117,Bouches!$C$2:$C$271,"Reprise")</f>
        <v>0</v>
      </c>
      <c r="K117" s="4" t="n">
        <f aca="false">SUMIFS(Bouches!$M$2:$M$271,Bouches!$S$2:$S$271,A117,Bouches!$C$2:$C$271,"Extraction")</f>
        <v>0</v>
      </c>
      <c r="L117" s="4" t="n">
        <v>1</v>
      </c>
      <c r="M117" s="4" t="n">
        <v>1</v>
      </c>
      <c r="N117" s="4" t="str">
        <f aca="false">IF(AND(OR(G117&lt;Hypothèses!$B$6,ABS(I117-G117)&lt;=2),ABS(K117-H117)&lt;=2),"oui","NON")</f>
        <v>oui</v>
      </c>
      <c r="O117" s="4"/>
      <c r="P117" s="4" t="s">
        <v>457</v>
      </c>
    </row>
    <row r="118" customFormat="false" ht="15" hidden="false" customHeight="false" outlineLevel="0" collapsed="false">
      <c r="A118" s="4" t="s">
        <v>442</v>
      </c>
      <c r="B118" s="4" t="s">
        <v>91</v>
      </c>
      <c r="C118" s="4" t="s">
        <v>134</v>
      </c>
      <c r="D118" s="4" t="s">
        <v>143</v>
      </c>
      <c r="E118" s="4" t="s">
        <v>730</v>
      </c>
      <c r="F118" s="4" t="s">
        <v>734</v>
      </c>
      <c r="G118" s="9" t="n">
        <v>90</v>
      </c>
      <c r="H118" s="9" t="n">
        <v>0</v>
      </c>
      <c r="I118" s="4" t="n">
        <f aca="false">SUMIFS(Bouches!$M$2:$M$271,Bouches!$S$2:$S$271,A118,Bouches!$C$2:$C$271,"Soufflage")</f>
        <v>90</v>
      </c>
      <c r="J118" s="4" t="n">
        <f aca="false">SUMIFS(Bouches!$M$2:$M$271,Bouches!$S$2:$S$271,A118,Bouches!$C$2:$C$271,"Reprise")</f>
        <v>0</v>
      </c>
      <c r="K118" s="4" t="n">
        <f aca="false">SUMIFS(Bouches!$M$2:$M$271,Bouches!$S$2:$S$271,A118,Bouches!$C$2:$C$271,"Extraction")</f>
        <v>0</v>
      </c>
      <c r="L118" s="4" t="n">
        <v>1</v>
      </c>
      <c r="M118" s="4" t="n">
        <v>1</v>
      </c>
      <c r="N118" s="4" t="str">
        <f aca="false">IF(AND(OR(G118&lt;Hypothèses!$B$6,ABS(I118-G118)&lt;=2),ABS(K118-H118)&lt;=2),"oui","NON")</f>
        <v>oui</v>
      </c>
      <c r="O118" s="4"/>
      <c r="P118" s="4" t="s">
        <v>441</v>
      </c>
    </row>
    <row r="119" customFormat="false" ht="15" hidden="false" customHeight="false" outlineLevel="0" collapsed="false">
      <c r="A119" s="4" t="s">
        <v>378</v>
      </c>
      <c r="B119" s="4" t="s">
        <v>91</v>
      </c>
      <c r="C119" s="4" t="s">
        <v>134</v>
      </c>
      <c r="D119" s="4" t="s">
        <v>143</v>
      </c>
      <c r="E119" s="4" t="s">
        <v>730</v>
      </c>
      <c r="F119" s="4" t="s">
        <v>734</v>
      </c>
      <c r="G119" s="9" t="n">
        <v>90</v>
      </c>
      <c r="H119" s="9" t="n">
        <v>0</v>
      </c>
      <c r="I119" s="4" t="n">
        <f aca="false">SUMIFS(Bouches!$M$2:$M$271,Bouches!$S$2:$S$271,A119,Bouches!$C$2:$C$271,"Soufflage")</f>
        <v>90</v>
      </c>
      <c r="J119" s="4" t="n">
        <f aca="false">SUMIFS(Bouches!$M$2:$M$271,Bouches!$S$2:$S$271,A119,Bouches!$C$2:$C$271,"Reprise")</f>
        <v>0</v>
      </c>
      <c r="K119" s="4" t="n">
        <f aca="false">SUMIFS(Bouches!$M$2:$M$271,Bouches!$S$2:$S$271,A119,Bouches!$C$2:$C$271,"Extraction")</f>
        <v>0</v>
      </c>
      <c r="L119" s="4" t="n">
        <v>1</v>
      </c>
      <c r="M119" s="4" t="n">
        <v>1</v>
      </c>
      <c r="N119" s="4" t="str">
        <f aca="false">IF(AND(OR(G119&lt;Hypothèses!$B$6,ABS(I119-G119)&lt;=2),ABS(K119-H119)&lt;=2),"oui","NON")</f>
        <v>oui</v>
      </c>
      <c r="O119" s="4"/>
      <c r="P119" s="4" t="s">
        <v>377</v>
      </c>
    </row>
    <row r="120" customFormat="false" ht="15" hidden="false" customHeight="false" outlineLevel="0" collapsed="false">
      <c r="A120" s="4" t="s">
        <v>462</v>
      </c>
      <c r="B120" s="4" t="s">
        <v>91</v>
      </c>
      <c r="C120" s="4" t="s">
        <v>134</v>
      </c>
      <c r="D120" s="4" t="s">
        <v>143</v>
      </c>
      <c r="E120" s="4" t="s">
        <v>730</v>
      </c>
      <c r="F120" s="4" t="s">
        <v>734</v>
      </c>
      <c r="G120" s="9" t="n">
        <v>90</v>
      </c>
      <c r="H120" s="9" t="n">
        <v>0</v>
      </c>
      <c r="I120" s="4" t="n">
        <f aca="false">SUMIFS(Bouches!$M$2:$M$271,Bouches!$S$2:$S$271,A120,Bouches!$C$2:$C$271,"Soufflage")</f>
        <v>90</v>
      </c>
      <c r="J120" s="4" t="n">
        <f aca="false">SUMIFS(Bouches!$M$2:$M$271,Bouches!$S$2:$S$271,A120,Bouches!$C$2:$C$271,"Reprise")</f>
        <v>0</v>
      </c>
      <c r="K120" s="4" t="n">
        <f aca="false">SUMIFS(Bouches!$M$2:$M$271,Bouches!$S$2:$S$271,A120,Bouches!$C$2:$C$271,"Extraction")</f>
        <v>0</v>
      </c>
      <c r="L120" s="4" t="n">
        <v>1</v>
      </c>
      <c r="M120" s="4" t="n">
        <v>1</v>
      </c>
      <c r="N120" s="4" t="str">
        <f aca="false">IF(AND(OR(G120&lt;Hypothèses!$B$6,ABS(I120-G120)&lt;=2),ABS(K120-H120)&lt;=2),"oui","NON")</f>
        <v>oui</v>
      </c>
      <c r="O120" s="4"/>
      <c r="P120" s="4" t="s">
        <v>461</v>
      </c>
    </row>
    <row r="121" customFormat="false" ht="15" hidden="false" customHeight="false" outlineLevel="0" collapsed="false">
      <c r="A121" s="4" t="s">
        <v>440</v>
      </c>
      <c r="B121" s="4" t="s">
        <v>91</v>
      </c>
      <c r="C121" s="4" t="s">
        <v>134</v>
      </c>
      <c r="D121" s="4" t="s">
        <v>143</v>
      </c>
      <c r="E121" s="4" t="s">
        <v>730</v>
      </c>
      <c r="F121" s="4" t="s">
        <v>734</v>
      </c>
      <c r="G121" s="9" t="n">
        <v>90</v>
      </c>
      <c r="H121" s="9" t="n">
        <v>0</v>
      </c>
      <c r="I121" s="4" t="n">
        <f aca="false">SUMIFS(Bouches!$M$2:$M$271,Bouches!$S$2:$S$271,A121,Bouches!$C$2:$C$271,"Soufflage")</f>
        <v>90</v>
      </c>
      <c r="J121" s="4" t="n">
        <f aca="false">SUMIFS(Bouches!$M$2:$M$271,Bouches!$S$2:$S$271,A121,Bouches!$C$2:$C$271,"Reprise")</f>
        <v>0</v>
      </c>
      <c r="K121" s="4" t="n">
        <f aca="false">SUMIFS(Bouches!$M$2:$M$271,Bouches!$S$2:$S$271,A121,Bouches!$C$2:$C$271,"Extraction")</f>
        <v>0</v>
      </c>
      <c r="L121" s="4" t="n">
        <v>1</v>
      </c>
      <c r="M121" s="4" t="n">
        <v>1</v>
      </c>
      <c r="N121" s="4" t="str">
        <f aca="false">IF(AND(OR(G121&lt;Hypothèses!$B$6,ABS(I121-G121)&lt;=2),ABS(K121-H121)&lt;=2),"oui","NON")</f>
        <v>oui</v>
      </c>
      <c r="O121" s="4"/>
      <c r="P121" s="4" t="s">
        <v>439</v>
      </c>
    </row>
    <row r="122" customFormat="false" ht="15" hidden="false" customHeight="false" outlineLevel="0" collapsed="false">
      <c r="A122" s="4" t="s">
        <v>396</v>
      </c>
      <c r="B122" s="4" t="s">
        <v>91</v>
      </c>
      <c r="C122" s="4" t="s">
        <v>134</v>
      </c>
      <c r="D122" s="4" t="s">
        <v>143</v>
      </c>
      <c r="E122" s="4" t="s">
        <v>730</v>
      </c>
      <c r="F122" s="4" t="s">
        <v>734</v>
      </c>
      <c r="G122" s="9" t="n">
        <v>90</v>
      </c>
      <c r="H122" s="9" t="n">
        <v>0</v>
      </c>
      <c r="I122" s="4" t="n">
        <f aca="false">SUMIFS(Bouches!$M$2:$M$271,Bouches!$S$2:$S$271,A122,Bouches!$C$2:$C$271,"Soufflage")</f>
        <v>90</v>
      </c>
      <c r="J122" s="4" t="n">
        <f aca="false">SUMIFS(Bouches!$M$2:$M$271,Bouches!$S$2:$S$271,A122,Bouches!$C$2:$C$271,"Reprise")</f>
        <v>0</v>
      </c>
      <c r="K122" s="4" t="n">
        <f aca="false">SUMIFS(Bouches!$M$2:$M$271,Bouches!$S$2:$S$271,A122,Bouches!$C$2:$C$271,"Extraction")</f>
        <v>0</v>
      </c>
      <c r="L122" s="4" t="n">
        <v>1</v>
      </c>
      <c r="M122" s="4" t="n">
        <v>1</v>
      </c>
      <c r="N122" s="4" t="str">
        <f aca="false">IF(AND(OR(G122&lt;Hypothèses!$B$6,ABS(I122-G122)&lt;=2),ABS(K122-H122)&lt;=2),"oui","NON")</f>
        <v>oui</v>
      </c>
      <c r="O122" s="4"/>
      <c r="P122" s="4" t="s">
        <v>395</v>
      </c>
    </row>
    <row r="123" customFormat="false" ht="15" hidden="false" customHeight="false" outlineLevel="0" collapsed="false">
      <c r="A123" s="4" t="s">
        <v>394</v>
      </c>
      <c r="B123" s="4" t="s">
        <v>91</v>
      </c>
      <c r="C123" s="4" t="s">
        <v>134</v>
      </c>
      <c r="D123" s="4" t="s">
        <v>143</v>
      </c>
      <c r="E123" s="4" t="s">
        <v>730</v>
      </c>
      <c r="F123" s="4" t="s">
        <v>734</v>
      </c>
      <c r="G123" s="9" t="n">
        <v>90</v>
      </c>
      <c r="H123" s="9" t="n">
        <v>0</v>
      </c>
      <c r="I123" s="4" t="n">
        <f aca="false">SUMIFS(Bouches!$M$2:$M$271,Bouches!$S$2:$S$271,A123,Bouches!$C$2:$C$271,"Soufflage")</f>
        <v>90</v>
      </c>
      <c r="J123" s="4" t="n">
        <f aca="false">SUMIFS(Bouches!$M$2:$M$271,Bouches!$S$2:$S$271,A123,Bouches!$C$2:$C$271,"Reprise")</f>
        <v>0</v>
      </c>
      <c r="K123" s="4" t="n">
        <f aca="false">SUMIFS(Bouches!$M$2:$M$271,Bouches!$S$2:$S$271,A123,Bouches!$C$2:$C$271,"Extraction")</f>
        <v>0</v>
      </c>
      <c r="L123" s="4" t="n">
        <v>1</v>
      </c>
      <c r="M123" s="4" t="n">
        <v>1</v>
      </c>
      <c r="N123" s="4" t="str">
        <f aca="false">IF(AND(OR(G123&lt;Hypothèses!$B$6,ABS(I123-G123)&lt;=2),ABS(K123-H123)&lt;=2),"oui","NON")</f>
        <v>oui</v>
      </c>
      <c r="O123" s="4"/>
      <c r="P123" s="4" t="s">
        <v>393</v>
      </c>
    </row>
    <row r="124" customFormat="false" ht="15" hidden="false" customHeight="false" outlineLevel="0" collapsed="false">
      <c r="A124" s="4" t="s">
        <v>386</v>
      </c>
      <c r="B124" s="4" t="s">
        <v>91</v>
      </c>
      <c r="C124" s="4" t="s">
        <v>134</v>
      </c>
      <c r="D124" s="4" t="s">
        <v>143</v>
      </c>
      <c r="E124" s="4" t="s">
        <v>730</v>
      </c>
      <c r="F124" s="4" t="s">
        <v>734</v>
      </c>
      <c r="G124" s="9" t="n">
        <v>90</v>
      </c>
      <c r="H124" s="9" t="n">
        <v>0</v>
      </c>
      <c r="I124" s="4" t="n">
        <f aca="false">SUMIFS(Bouches!$M$2:$M$271,Bouches!$S$2:$S$271,A124,Bouches!$C$2:$C$271,"Soufflage")</f>
        <v>90</v>
      </c>
      <c r="J124" s="4" t="n">
        <f aca="false">SUMIFS(Bouches!$M$2:$M$271,Bouches!$S$2:$S$271,A124,Bouches!$C$2:$C$271,"Reprise")</f>
        <v>0</v>
      </c>
      <c r="K124" s="4" t="n">
        <f aca="false">SUMIFS(Bouches!$M$2:$M$271,Bouches!$S$2:$S$271,A124,Bouches!$C$2:$C$271,"Extraction")</f>
        <v>0</v>
      </c>
      <c r="L124" s="4" t="n">
        <v>1</v>
      </c>
      <c r="M124" s="4" t="n">
        <v>1</v>
      </c>
      <c r="N124" s="4" t="str">
        <f aca="false">IF(AND(OR(G124&lt;Hypothèses!$B$6,ABS(I124-G124)&lt;=2),ABS(K124-H124)&lt;=2),"oui","NON")</f>
        <v>oui</v>
      </c>
      <c r="O124" s="4"/>
      <c r="P124" s="4" t="s">
        <v>385</v>
      </c>
    </row>
    <row r="125" customFormat="false" ht="15" hidden="false" customHeight="false" outlineLevel="0" collapsed="false">
      <c r="A125" s="4" t="s">
        <v>390</v>
      </c>
      <c r="B125" s="4" t="s">
        <v>91</v>
      </c>
      <c r="C125" s="4" t="s">
        <v>134</v>
      </c>
      <c r="D125" s="4" t="s">
        <v>143</v>
      </c>
      <c r="E125" s="4" t="s">
        <v>730</v>
      </c>
      <c r="F125" s="4" t="s">
        <v>734</v>
      </c>
      <c r="G125" s="9" t="n">
        <v>90</v>
      </c>
      <c r="H125" s="9" t="n">
        <v>0</v>
      </c>
      <c r="I125" s="4" t="n">
        <f aca="false">SUMIFS(Bouches!$M$2:$M$271,Bouches!$S$2:$S$271,A125,Bouches!$C$2:$C$271,"Soufflage")</f>
        <v>90</v>
      </c>
      <c r="J125" s="4" t="n">
        <f aca="false">SUMIFS(Bouches!$M$2:$M$271,Bouches!$S$2:$S$271,A125,Bouches!$C$2:$C$271,"Reprise")</f>
        <v>0</v>
      </c>
      <c r="K125" s="4" t="n">
        <f aca="false">SUMIFS(Bouches!$M$2:$M$271,Bouches!$S$2:$S$271,A125,Bouches!$C$2:$C$271,"Extraction")</f>
        <v>0</v>
      </c>
      <c r="L125" s="4" t="n">
        <v>1</v>
      </c>
      <c r="M125" s="4" t="n">
        <v>1</v>
      </c>
      <c r="N125" s="4" t="str">
        <f aca="false">IF(AND(OR(G125&lt;Hypothèses!$B$6,ABS(I125-G125)&lt;=2),ABS(K125-H125)&lt;=2),"oui","NON")</f>
        <v>oui</v>
      </c>
      <c r="O125" s="4"/>
      <c r="P125" s="4" t="s">
        <v>389</v>
      </c>
    </row>
    <row r="126" customFormat="false" ht="15" hidden="false" customHeight="false" outlineLevel="0" collapsed="false">
      <c r="A126" s="4" t="s">
        <v>446</v>
      </c>
      <c r="B126" s="4" t="s">
        <v>91</v>
      </c>
      <c r="C126" s="4" t="s">
        <v>134</v>
      </c>
      <c r="D126" s="4" t="s">
        <v>143</v>
      </c>
      <c r="E126" s="4" t="s">
        <v>730</v>
      </c>
      <c r="F126" s="4" t="s">
        <v>734</v>
      </c>
      <c r="G126" s="9" t="n">
        <v>90</v>
      </c>
      <c r="H126" s="9" t="n">
        <v>0</v>
      </c>
      <c r="I126" s="4" t="n">
        <f aca="false">SUMIFS(Bouches!$M$2:$M$271,Bouches!$S$2:$S$271,A126,Bouches!$C$2:$C$271,"Soufflage")</f>
        <v>90</v>
      </c>
      <c r="J126" s="4" t="n">
        <f aca="false">SUMIFS(Bouches!$M$2:$M$271,Bouches!$S$2:$S$271,A126,Bouches!$C$2:$C$271,"Reprise")</f>
        <v>0</v>
      </c>
      <c r="K126" s="4" t="n">
        <f aca="false">SUMIFS(Bouches!$M$2:$M$271,Bouches!$S$2:$S$271,A126,Bouches!$C$2:$C$271,"Extraction")</f>
        <v>0</v>
      </c>
      <c r="L126" s="4" t="n">
        <v>1</v>
      </c>
      <c r="M126" s="4" t="n">
        <v>1</v>
      </c>
      <c r="N126" s="4" t="str">
        <f aca="false">IF(AND(OR(G126&lt;Hypothèses!$B$6,ABS(I126-G126)&lt;=2),ABS(K126-H126)&lt;=2),"oui","NON")</f>
        <v>oui</v>
      </c>
      <c r="O126" s="4"/>
      <c r="P126" s="4" t="s">
        <v>445</v>
      </c>
    </row>
    <row r="127" customFormat="false" ht="15" hidden="false" customHeight="false" outlineLevel="0" collapsed="false">
      <c r="A127" s="4" t="s">
        <v>448</v>
      </c>
      <c r="B127" s="4" t="s">
        <v>91</v>
      </c>
      <c r="C127" s="4" t="s">
        <v>134</v>
      </c>
      <c r="D127" s="4" t="s">
        <v>143</v>
      </c>
      <c r="E127" s="4" t="s">
        <v>730</v>
      </c>
      <c r="F127" s="4" t="s">
        <v>734</v>
      </c>
      <c r="G127" s="9" t="n">
        <v>90</v>
      </c>
      <c r="H127" s="9" t="n">
        <v>0</v>
      </c>
      <c r="I127" s="4" t="n">
        <f aca="false">SUMIFS(Bouches!$M$2:$M$271,Bouches!$S$2:$S$271,A127,Bouches!$C$2:$C$271,"Soufflage")</f>
        <v>90</v>
      </c>
      <c r="J127" s="4" t="n">
        <f aca="false">SUMIFS(Bouches!$M$2:$M$271,Bouches!$S$2:$S$271,A127,Bouches!$C$2:$C$271,"Reprise")</f>
        <v>0</v>
      </c>
      <c r="K127" s="4" t="n">
        <f aca="false">SUMIFS(Bouches!$M$2:$M$271,Bouches!$S$2:$S$271,A127,Bouches!$C$2:$C$271,"Extraction")</f>
        <v>0</v>
      </c>
      <c r="L127" s="4" t="n">
        <v>1</v>
      </c>
      <c r="M127" s="4" t="n">
        <v>1</v>
      </c>
      <c r="N127" s="4" t="str">
        <f aca="false">IF(AND(OR(G127&lt;Hypothèses!$B$6,ABS(I127-G127)&lt;=2),ABS(K127-H127)&lt;=2),"oui","NON")</f>
        <v>oui</v>
      </c>
      <c r="O127" s="4"/>
      <c r="P127" s="4" t="s">
        <v>447</v>
      </c>
    </row>
    <row r="128" customFormat="false" ht="15" hidden="false" customHeight="false" outlineLevel="0" collapsed="false">
      <c r="A128" s="4" t="s">
        <v>450</v>
      </c>
      <c r="B128" s="4" t="s">
        <v>91</v>
      </c>
      <c r="C128" s="4" t="s">
        <v>134</v>
      </c>
      <c r="D128" s="4" t="s">
        <v>143</v>
      </c>
      <c r="E128" s="4" t="s">
        <v>730</v>
      </c>
      <c r="F128" s="4" t="s">
        <v>734</v>
      </c>
      <c r="G128" s="9" t="n">
        <v>90</v>
      </c>
      <c r="H128" s="9" t="n">
        <v>0</v>
      </c>
      <c r="I128" s="4" t="n">
        <f aca="false">SUMIFS(Bouches!$M$2:$M$271,Bouches!$S$2:$S$271,A128,Bouches!$C$2:$C$271,"Soufflage")</f>
        <v>90</v>
      </c>
      <c r="J128" s="4" t="n">
        <f aca="false">SUMIFS(Bouches!$M$2:$M$271,Bouches!$S$2:$S$271,A128,Bouches!$C$2:$C$271,"Reprise")</f>
        <v>0</v>
      </c>
      <c r="K128" s="4" t="n">
        <f aca="false">SUMIFS(Bouches!$M$2:$M$271,Bouches!$S$2:$S$271,A128,Bouches!$C$2:$C$271,"Extraction")</f>
        <v>0</v>
      </c>
      <c r="L128" s="4" t="n">
        <v>1</v>
      </c>
      <c r="M128" s="4" t="n">
        <v>1</v>
      </c>
      <c r="N128" s="4" t="str">
        <f aca="false">IF(AND(OR(G128&lt;Hypothèses!$B$6,ABS(I128-G128)&lt;=2),ABS(K128-H128)&lt;=2),"oui","NON")</f>
        <v>oui</v>
      </c>
      <c r="O128" s="4"/>
      <c r="P128" s="4" t="s">
        <v>449</v>
      </c>
    </row>
    <row r="129" customFormat="false" ht="15" hidden="false" customHeight="false" outlineLevel="0" collapsed="false">
      <c r="A129" s="4" t="s">
        <v>452</v>
      </c>
      <c r="B129" s="4" t="s">
        <v>91</v>
      </c>
      <c r="C129" s="4" t="s">
        <v>134</v>
      </c>
      <c r="D129" s="4" t="s">
        <v>143</v>
      </c>
      <c r="E129" s="4" t="s">
        <v>730</v>
      </c>
      <c r="F129" s="4" t="s">
        <v>734</v>
      </c>
      <c r="G129" s="9" t="n">
        <v>90</v>
      </c>
      <c r="H129" s="9" t="n">
        <v>0</v>
      </c>
      <c r="I129" s="4" t="n">
        <f aca="false">SUMIFS(Bouches!$M$2:$M$271,Bouches!$S$2:$S$271,A129,Bouches!$C$2:$C$271,"Soufflage")</f>
        <v>90</v>
      </c>
      <c r="J129" s="4" t="n">
        <f aca="false">SUMIFS(Bouches!$M$2:$M$271,Bouches!$S$2:$S$271,A129,Bouches!$C$2:$C$271,"Reprise")</f>
        <v>0</v>
      </c>
      <c r="K129" s="4" t="n">
        <f aca="false">SUMIFS(Bouches!$M$2:$M$271,Bouches!$S$2:$S$271,A129,Bouches!$C$2:$C$271,"Extraction")</f>
        <v>0</v>
      </c>
      <c r="L129" s="4" t="n">
        <v>1</v>
      </c>
      <c r="M129" s="4" t="n">
        <v>1</v>
      </c>
      <c r="N129" s="4" t="str">
        <f aca="false">IF(AND(OR(G129&lt;Hypothèses!$B$6,ABS(I129-G129)&lt;=2),ABS(K129-H129)&lt;=2),"oui","NON")</f>
        <v>oui</v>
      </c>
      <c r="O129" s="4"/>
      <c r="P129" s="4" t="s">
        <v>451</v>
      </c>
    </row>
    <row r="130" customFormat="false" ht="15" hidden="false" customHeight="false" outlineLevel="0" collapsed="false">
      <c r="A130" s="4" t="s">
        <v>392</v>
      </c>
      <c r="B130" s="4" t="s">
        <v>91</v>
      </c>
      <c r="C130" s="4" t="s">
        <v>134</v>
      </c>
      <c r="D130" s="4" t="s">
        <v>143</v>
      </c>
      <c r="E130" s="4" t="s">
        <v>730</v>
      </c>
      <c r="F130" s="4" t="s">
        <v>734</v>
      </c>
      <c r="G130" s="9" t="n">
        <v>90</v>
      </c>
      <c r="H130" s="9" t="n">
        <v>0</v>
      </c>
      <c r="I130" s="4" t="n">
        <f aca="false">SUMIFS(Bouches!$M$2:$M$271,Bouches!$S$2:$S$271,A130,Bouches!$C$2:$C$271,"Soufflage")</f>
        <v>90</v>
      </c>
      <c r="J130" s="4" t="n">
        <f aca="false">SUMIFS(Bouches!$M$2:$M$271,Bouches!$S$2:$S$271,A130,Bouches!$C$2:$C$271,"Reprise")</f>
        <v>0</v>
      </c>
      <c r="K130" s="4" t="n">
        <f aca="false">SUMIFS(Bouches!$M$2:$M$271,Bouches!$S$2:$S$271,A130,Bouches!$C$2:$C$271,"Extraction")</f>
        <v>0</v>
      </c>
      <c r="L130" s="4" t="n">
        <v>1</v>
      </c>
      <c r="M130" s="4" t="n">
        <v>1</v>
      </c>
      <c r="N130" s="4" t="str">
        <f aca="false">IF(AND(OR(G130&lt;Hypothèses!$B$6,ABS(I130-G130)&lt;=2),ABS(K130-H130)&lt;=2),"oui","NON")</f>
        <v>oui</v>
      </c>
      <c r="O130" s="4"/>
      <c r="P130" s="4" t="s">
        <v>391</v>
      </c>
    </row>
    <row r="131" customFormat="false" ht="15" hidden="false" customHeight="false" outlineLevel="0" collapsed="false">
      <c r="A131" s="4" t="s">
        <v>454</v>
      </c>
      <c r="B131" s="4" t="s">
        <v>91</v>
      </c>
      <c r="C131" s="4" t="s">
        <v>134</v>
      </c>
      <c r="D131" s="4" t="s">
        <v>143</v>
      </c>
      <c r="E131" s="4" t="s">
        <v>730</v>
      </c>
      <c r="F131" s="4" t="s">
        <v>734</v>
      </c>
      <c r="G131" s="9" t="n">
        <v>90</v>
      </c>
      <c r="H131" s="9" t="n">
        <v>0</v>
      </c>
      <c r="I131" s="4" t="n">
        <f aca="false">SUMIFS(Bouches!$M$2:$M$271,Bouches!$S$2:$S$271,A131,Bouches!$C$2:$C$271,"Soufflage")</f>
        <v>90</v>
      </c>
      <c r="J131" s="4" t="n">
        <f aca="false">SUMIFS(Bouches!$M$2:$M$271,Bouches!$S$2:$S$271,A131,Bouches!$C$2:$C$271,"Reprise")</f>
        <v>0</v>
      </c>
      <c r="K131" s="4" t="n">
        <f aca="false">SUMIFS(Bouches!$M$2:$M$271,Bouches!$S$2:$S$271,A131,Bouches!$C$2:$C$271,"Extraction")</f>
        <v>0</v>
      </c>
      <c r="L131" s="4" t="n">
        <v>1</v>
      </c>
      <c r="M131" s="4" t="n">
        <v>1</v>
      </c>
      <c r="N131" s="4" t="str">
        <f aca="false">IF(AND(OR(G131&lt;Hypothèses!$B$6,ABS(I131-G131)&lt;=2),ABS(K131-H131)&lt;=2),"oui","NON")</f>
        <v>oui</v>
      </c>
      <c r="O131" s="4"/>
      <c r="P131" s="4" t="s">
        <v>453</v>
      </c>
    </row>
    <row r="132" customFormat="false" ht="15" hidden="false" customHeight="false" outlineLevel="0" collapsed="false">
      <c r="A132" s="4" t="s">
        <v>382</v>
      </c>
      <c r="B132" s="4" t="s">
        <v>91</v>
      </c>
      <c r="C132" s="4" t="s">
        <v>134</v>
      </c>
      <c r="D132" s="4" t="s">
        <v>143</v>
      </c>
      <c r="E132" s="4" t="s">
        <v>730</v>
      </c>
      <c r="F132" s="4" t="s">
        <v>734</v>
      </c>
      <c r="G132" s="9" t="n">
        <v>90</v>
      </c>
      <c r="H132" s="9" t="n">
        <v>0</v>
      </c>
      <c r="I132" s="4" t="n">
        <f aca="false">SUMIFS(Bouches!$M$2:$M$271,Bouches!$S$2:$S$271,A132,Bouches!$C$2:$C$271,"Soufflage")</f>
        <v>90</v>
      </c>
      <c r="J132" s="4" t="n">
        <f aca="false">SUMIFS(Bouches!$M$2:$M$271,Bouches!$S$2:$S$271,A132,Bouches!$C$2:$C$271,"Reprise")</f>
        <v>0</v>
      </c>
      <c r="K132" s="4" t="n">
        <f aca="false">SUMIFS(Bouches!$M$2:$M$271,Bouches!$S$2:$S$271,A132,Bouches!$C$2:$C$271,"Extraction")</f>
        <v>0</v>
      </c>
      <c r="L132" s="4" t="n">
        <v>1</v>
      </c>
      <c r="M132" s="4" t="n">
        <v>1</v>
      </c>
      <c r="N132" s="4" t="str">
        <f aca="false">IF(AND(OR(G132&lt;Hypothèses!$B$6,ABS(I132-G132)&lt;=2),ABS(K132-H132)&lt;=2),"oui","NON")</f>
        <v>oui</v>
      </c>
      <c r="O132" s="4"/>
      <c r="P132" s="4" t="s">
        <v>381</v>
      </c>
    </row>
    <row r="133" customFormat="false" ht="15" hidden="false" customHeight="false" outlineLevel="0" collapsed="false">
      <c r="A133" s="4" t="s">
        <v>456</v>
      </c>
      <c r="B133" s="4" t="s">
        <v>91</v>
      </c>
      <c r="C133" s="4" t="s">
        <v>134</v>
      </c>
      <c r="D133" s="4" t="s">
        <v>143</v>
      </c>
      <c r="E133" s="4" t="s">
        <v>730</v>
      </c>
      <c r="F133" s="4" t="s">
        <v>734</v>
      </c>
      <c r="G133" s="9" t="n">
        <v>90</v>
      </c>
      <c r="H133" s="9" t="n">
        <v>0</v>
      </c>
      <c r="I133" s="4" t="n">
        <f aca="false">SUMIFS(Bouches!$M$2:$M$271,Bouches!$S$2:$S$271,A133,Bouches!$C$2:$C$271,"Soufflage")</f>
        <v>90</v>
      </c>
      <c r="J133" s="4" t="n">
        <f aca="false">SUMIFS(Bouches!$M$2:$M$271,Bouches!$S$2:$S$271,A133,Bouches!$C$2:$C$271,"Reprise")</f>
        <v>0</v>
      </c>
      <c r="K133" s="4" t="n">
        <f aca="false">SUMIFS(Bouches!$M$2:$M$271,Bouches!$S$2:$S$271,A133,Bouches!$C$2:$C$271,"Extraction")</f>
        <v>0</v>
      </c>
      <c r="L133" s="4" t="n">
        <v>1</v>
      </c>
      <c r="M133" s="4" t="n">
        <v>1</v>
      </c>
      <c r="N133" s="4" t="str">
        <f aca="false">IF(AND(OR(G133&lt;Hypothèses!$B$6,ABS(I133-G133)&lt;=2),ABS(K133-H133)&lt;=2),"oui","NON")</f>
        <v>oui</v>
      </c>
      <c r="O133" s="4"/>
      <c r="P133" s="4" t="s">
        <v>455</v>
      </c>
    </row>
    <row r="134" customFormat="false" ht="15" hidden="false" customHeight="false" outlineLevel="0" collapsed="false">
      <c r="A134" s="4" t="s">
        <v>380</v>
      </c>
      <c r="B134" s="4" t="s">
        <v>91</v>
      </c>
      <c r="C134" s="4" t="s">
        <v>134</v>
      </c>
      <c r="D134" s="4" t="s">
        <v>143</v>
      </c>
      <c r="E134" s="4" t="s">
        <v>730</v>
      </c>
      <c r="F134" s="4" t="s">
        <v>734</v>
      </c>
      <c r="G134" s="9" t="n">
        <v>90</v>
      </c>
      <c r="H134" s="9" t="n">
        <v>0</v>
      </c>
      <c r="I134" s="4" t="n">
        <f aca="false">SUMIFS(Bouches!$M$2:$M$271,Bouches!$S$2:$S$271,A134,Bouches!$C$2:$C$271,"Soufflage")</f>
        <v>90</v>
      </c>
      <c r="J134" s="4" t="n">
        <f aca="false">SUMIFS(Bouches!$M$2:$M$271,Bouches!$S$2:$S$271,A134,Bouches!$C$2:$C$271,"Reprise")</f>
        <v>0</v>
      </c>
      <c r="K134" s="4" t="n">
        <f aca="false">SUMIFS(Bouches!$M$2:$M$271,Bouches!$S$2:$S$271,A134,Bouches!$C$2:$C$271,"Extraction")</f>
        <v>0</v>
      </c>
      <c r="L134" s="4" t="n">
        <v>1</v>
      </c>
      <c r="M134" s="4" t="n">
        <v>1</v>
      </c>
      <c r="N134" s="4" t="str">
        <f aca="false">IF(AND(OR(G134&lt;Hypothèses!$B$6,ABS(I134-G134)&lt;=2),ABS(K134-H134)&lt;=2),"oui","NON")</f>
        <v>oui</v>
      </c>
      <c r="O134" s="4"/>
      <c r="P134" s="4" t="s">
        <v>379</v>
      </c>
    </row>
    <row r="135" customFormat="false" ht="15" hidden="false" customHeight="false" outlineLevel="0" collapsed="false">
      <c r="A135" s="4" t="s">
        <v>384</v>
      </c>
      <c r="B135" s="4" t="s">
        <v>91</v>
      </c>
      <c r="C135" s="4" t="s">
        <v>134</v>
      </c>
      <c r="D135" s="4" t="s">
        <v>143</v>
      </c>
      <c r="E135" s="4" t="s">
        <v>730</v>
      </c>
      <c r="F135" s="4" t="s">
        <v>734</v>
      </c>
      <c r="G135" s="9" t="n">
        <v>90</v>
      </c>
      <c r="H135" s="9" t="n">
        <v>0</v>
      </c>
      <c r="I135" s="4" t="n">
        <f aca="false">SUMIFS(Bouches!$M$2:$M$271,Bouches!$S$2:$S$271,A135,Bouches!$C$2:$C$271,"Soufflage")</f>
        <v>90</v>
      </c>
      <c r="J135" s="4" t="n">
        <f aca="false">SUMIFS(Bouches!$M$2:$M$271,Bouches!$S$2:$S$271,A135,Bouches!$C$2:$C$271,"Reprise")</f>
        <v>0</v>
      </c>
      <c r="K135" s="4" t="n">
        <f aca="false">SUMIFS(Bouches!$M$2:$M$271,Bouches!$S$2:$S$271,A135,Bouches!$C$2:$C$271,"Extraction")</f>
        <v>0</v>
      </c>
      <c r="L135" s="4" t="n">
        <v>1</v>
      </c>
      <c r="M135" s="4" t="n">
        <v>1</v>
      </c>
      <c r="N135" s="4" t="str">
        <f aca="false">IF(AND(OR(G135&lt;Hypothèses!$B$6,ABS(I135-G135)&lt;=2),ABS(K135-H135)&lt;=2),"oui","NON")</f>
        <v>oui</v>
      </c>
      <c r="O135" s="4"/>
      <c r="P135" s="4" t="s">
        <v>383</v>
      </c>
    </row>
    <row r="136" customFormat="false" ht="15" hidden="false" customHeight="false" outlineLevel="0" collapsed="false">
      <c r="A136" s="4" t="s">
        <v>398</v>
      </c>
      <c r="B136" s="4" t="s">
        <v>91</v>
      </c>
      <c r="C136" s="4" t="s">
        <v>134</v>
      </c>
      <c r="D136" s="4" t="s">
        <v>143</v>
      </c>
      <c r="E136" s="4" t="s">
        <v>730</v>
      </c>
      <c r="F136" s="4" t="s">
        <v>734</v>
      </c>
      <c r="G136" s="9" t="n">
        <v>90</v>
      </c>
      <c r="H136" s="9" t="n">
        <v>0</v>
      </c>
      <c r="I136" s="4" t="n">
        <f aca="false">SUMIFS(Bouches!$M$2:$M$271,Bouches!$S$2:$S$271,A136,Bouches!$C$2:$C$271,"Soufflage")</f>
        <v>90</v>
      </c>
      <c r="J136" s="4" t="n">
        <f aca="false">SUMIFS(Bouches!$M$2:$M$271,Bouches!$S$2:$S$271,A136,Bouches!$C$2:$C$271,"Reprise")</f>
        <v>0</v>
      </c>
      <c r="K136" s="4" t="n">
        <f aca="false">SUMIFS(Bouches!$M$2:$M$271,Bouches!$S$2:$S$271,A136,Bouches!$C$2:$C$271,"Extraction")</f>
        <v>0</v>
      </c>
      <c r="L136" s="4" t="n">
        <v>1</v>
      </c>
      <c r="M136" s="4" t="n">
        <v>0</v>
      </c>
      <c r="N136" s="4" t="str">
        <f aca="false">IF(AND(OR(G136&lt;Hypothèses!$B$6,ABS(I136-G136)&lt;=2),ABS(K136-H136)&lt;=2),"oui","NON")</f>
        <v>oui</v>
      </c>
      <c r="O136" s="4" t="s">
        <v>733</v>
      </c>
      <c r="P136" s="4" t="s">
        <v>397</v>
      </c>
    </row>
    <row r="137" customFormat="false" ht="15" hidden="false" customHeight="false" outlineLevel="0" collapsed="false">
      <c r="A137" s="4" t="s">
        <v>444</v>
      </c>
      <c r="B137" s="4" t="s">
        <v>91</v>
      </c>
      <c r="C137" s="4" t="s">
        <v>134</v>
      </c>
      <c r="D137" s="4" t="s">
        <v>143</v>
      </c>
      <c r="E137" s="4" t="s">
        <v>730</v>
      </c>
      <c r="F137" s="4" t="s">
        <v>734</v>
      </c>
      <c r="G137" s="9" t="n">
        <v>90</v>
      </c>
      <c r="H137" s="9" t="n">
        <v>0</v>
      </c>
      <c r="I137" s="4" t="n">
        <f aca="false">SUMIFS(Bouches!$M$2:$M$271,Bouches!$S$2:$S$271,A137,Bouches!$C$2:$C$271,"Soufflage")</f>
        <v>90</v>
      </c>
      <c r="J137" s="4" t="n">
        <f aca="false">SUMIFS(Bouches!$M$2:$M$271,Bouches!$S$2:$S$271,A137,Bouches!$C$2:$C$271,"Reprise")</f>
        <v>0</v>
      </c>
      <c r="K137" s="4" t="n">
        <f aca="false">SUMIFS(Bouches!$M$2:$M$271,Bouches!$S$2:$S$271,A137,Bouches!$C$2:$C$271,"Extraction")</f>
        <v>0</v>
      </c>
      <c r="L137" s="4" t="n">
        <v>1</v>
      </c>
      <c r="M137" s="4" t="n">
        <v>1</v>
      </c>
      <c r="N137" s="4" t="str">
        <f aca="false">IF(AND(OR(G137&lt;Hypothèses!$B$6,ABS(I137-G137)&lt;=2),ABS(K137-H137)&lt;=2),"oui","NON")</f>
        <v>oui</v>
      </c>
      <c r="O137" s="4"/>
      <c r="P137" s="4" t="s">
        <v>443</v>
      </c>
    </row>
    <row r="138" customFormat="false" ht="15" hidden="false" customHeight="false" outlineLevel="0" collapsed="false">
      <c r="A138" s="4" t="s">
        <v>114</v>
      </c>
      <c r="B138" s="4" t="s">
        <v>91</v>
      </c>
      <c r="C138" s="4" t="s">
        <v>113</v>
      </c>
      <c r="D138" s="4" t="s">
        <v>44</v>
      </c>
      <c r="E138" s="4" t="s">
        <v>732</v>
      </c>
      <c r="F138" s="4" t="s">
        <v>734</v>
      </c>
      <c r="G138" s="9" t="n">
        <v>0</v>
      </c>
      <c r="H138" s="9" t="n">
        <v>90</v>
      </c>
      <c r="I138" s="4" t="n">
        <f aca="false">SUMIFS(Bouches!$M$2:$M$271,Bouches!$S$2:$S$271,A138,Bouches!$C$2:$C$271,"Soufflage")</f>
        <v>0</v>
      </c>
      <c r="J138" s="4" t="n">
        <f aca="false">SUMIFS(Bouches!$M$2:$M$271,Bouches!$S$2:$S$271,A138,Bouches!$C$2:$C$271,"Reprise")</f>
        <v>0</v>
      </c>
      <c r="K138" s="4" t="n">
        <f aca="false">SUMIFS(Bouches!$M$2:$M$271,Bouches!$S$2:$S$271,A138,Bouches!$C$2:$C$271,"Extraction")</f>
        <v>90</v>
      </c>
      <c r="L138" s="4" t="n">
        <v>1</v>
      </c>
      <c r="M138" s="4" t="n">
        <v>1</v>
      </c>
      <c r="N138" s="4" t="str">
        <f aca="false">IF(AND(OR(G138&lt;Hypothèses!$B$6,ABS(I138-G138)&lt;=2),ABS(K138-H138)&lt;=2),"oui","NON")</f>
        <v>oui</v>
      </c>
      <c r="O138" s="4"/>
      <c r="P138" s="4" t="s">
        <v>112</v>
      </c>
    </row>
    <row r="139" customFormat="false" ht="15" hidden="false" customHeight="false" outlineLevel="0" collapsed="false">
      <c r="A139" s="4" t="s">
        <v>431</v>
      </c>
      <c r="B139" s="4" t="s">
        <v>91</v>
      </c>
      <c r="C139" s="4" t="s">
        <v>430</v>
      </c>
      <c r="D139" s="4" t="s">
        <v>44</v>
      </c>
      <c r="E139" s="4" t="s">
        <v>732</v>
      </c>
      <c r="F139" s="4" t="s">
        <v>734</v>
      </c>
      <c r="G139" s="9" t="n">
        <v>0</v>
      </c>
      <c r="H139" s="9" t="n">
        <v>90</v>
      </c>
      <c r="I139" s="4" t="n">
        <f aca="false">SUMIFS(Bouches!$M$2:$M$271,Bouches!$S$2:$S$271,A139,Bouches!$C$2:$C$271,"Soufflage")</f>
        <v>0</v>
      </c>
      <c r="J139" s="4" t="n">
        <f aca="false">SUMIFS(Bouches!$M$2:$M$271,Bouches!$S$2:$S$271,A139,Bouches!$C$2:$C$271,"Reprise")</f>
        <v>0</v>
      </c>
      <c r="K139" s="4" t="n">
        <f aca="false">SUMIFS(Bouches!$M$2:$M$271,Bouches!$S$2:$S$271,A139,Bouches!$C$2:$C$271,"Extraction")</f>
        <v>90</v>
      </c>
      <c r="L139" s="4" t="n">
        <v>1</v>
      </c>
      <c r="M139" s="4" t="n">
        <v>1</v>
      </c>
      <c r="N139" s="4" t="str">
        <f aca="false">IF(AND(OR(G139&lt;Hypothèses!$B$6,ABS(I139-G139)&lt;=2),ABS(K139-H139)&lt;=2),"oui","NON")</f>
        <v>oui</v>
      </c>
      <c r="O139" s="4"/>
      <c r="P139" s="4" t="s">
        <v>429</v>
      </c>
    </row>
    <row r="140" customFormat="false" ht="15" hidden="false" customHeight="false" outlineLevel="0" collapsed="false">
      <c r="A140" s="4" t="s">
        <v>354</v>
      </c>
      <c r="B140" s="4" t="s">
        <v>91</v>
      </c>
      <c r="C140" s="4" t="s">
        <v>353</v>
      </c>
      <c r="D140" s="4" t="s">
        <v>44</v>
      </c>
      <c r="E140" s="4" t="s">
        <v>732</v>
      </c>
      <c r="F140" s="4" t="s">
        <v>734</v>
      </c>
      <c r="G140" s="9" t="n">
        <v>0</v>
      </c>
      <c r="H140" s="9" t="n">
        <v>90</v>
      </c>
      <c r="I140" s="4" t="n">
        <f aca="false">SUMIFS(Bouches!$M$2:$M$271,Bouches!$S$2:$S$271,A140,Bouches!$C$2:$C$271,"Soufflage")</f>
        <v>0</v>
      </c>
      <c r="J140" s="4" t="n">
        <f aca="false">SUMIFS(Bouches!$M$2:$M$271,Bouches!$S$2:$S$271,A140,Bouches!$C$2:$C$271,"Reprise")</f>
        <v>0</v>
      </c>
      <c r="K140" s="4" t="n">
        <f aca="false">SUMIFS(Bouches!$M$2:$M$271,Bouches!$S$2:$S$271,A140,Bouches!$C$2:$C$271,"Extraction")</f>
        <v>90</v>
      </c>
      <c r="L140" s="4" t="n">
        <v>1</v>
      </c>
      <c r="M140" s="4" t="n">
        <v>1</v>
      </c>
      <c r="N140" s="4" t="str">
        <f aca="false">IF(AND(OR(G140&lt;Hypothèses!$B$6,ABS(I140-G140)&lt;=2),ABS(K140-H140)&lt;=2),"oui","NON")</f>
        <v>oui</v>
      </c>
      <c r="O140" s="4"/>
      <c r="P140" s="4" t="s">
        <v>352</v>
      </c>
    </row>
    <row r="141" customFormat="false" ht="15" hidden="false" customHeight="false" outlineLevel="0" collapsed="false">
      <c r="A141" s="4" t="s">
        <v>336</v>
      </c>
      <c r="B141" s="4" t="s">
        <v>91</v>
      </c>
      <c r="C141" s="4" t="s">
        <v>335</v>
      </c>
      <c r="D141" s="4" t="s">
        <v>44</v>
      </c>
      <c r="E141" s="4" t="s">
        <v>732</v>
      </c>
      <c r="F141" s="4" t="s">
        <v>734</v>
      </c>
      <c r="G141" s="9" t="n">
        <v>0</v>
      </c>
      <c r="H141" s="9" t="n">
        <v>90</v>
      </c>
      <c r="I141" s="4" t="n">
        <f aca="false">SUMIFS(Bouches!$M$2:$M$271,Bouches!$S$2:$S$271,A141,Bouches!$C$2:$C$271,"Soufflage")</f>
        <v>0</v>
      </c>
      <c r="J141" s="4" t="n">
        <f aca="false">SUMIFS(Bouches!$M$2:$M$271,Bouches!$S$2:$S$271,A141,Bouches!$C$2:$C$271,"Reprise")</f>
        <v>0</v>
      </c>
      <c r="K141" s="4" t="n">
        <f aca="false">SUMIFS(Bouches!$M$2:$M$271,Bouches!$S$2:$S$271,A141,Bouches!$C$2:$C$271,"Extraction")</f>
        <v>90</v>
      </c>
      <c r="L141" s="4" t="n">
        <v>1</v>
      </c>
      <c r="M141" s="4" t="n">
        <v>1</v>
      </c>
      <c r="N141" s="4" t="str">
        <f aca="false">IF(AND(OR(G141&lt;Hypothèses!$B$6,ABS(I141-G141)&lt;=2),ABS(K141-H141)&lt;=2),"oui","NON")</f>
        <v>oui</v>
      </c>
      <c r="O141" s="4"/>
      <c r="P141" s="4" t="s">
        <v>334</v>
      </c>
    </row>
    <row r="142" customFormat="false" ht="15" hidden="false" customHeight="false" outlineLevel="0" collapsed="false">
      <c r="A142" s="4" t="s">
        <v>348</v>
      </c>
      <c r="B142" s="4" t="s">
        <v>91</v>
      </c>
      <c r="C142" s="4" t="s">
        <v>347</v>
      </c>
      <c r="D142" s="4" t="s">
        <v>44</v>
      </c>
      <c r="E142" s="4" t="s">
        <v>732</v>
      </c>
      <c r="F142" s="4" t="s">
        <v>734</v>
      </c>
      <c r="G142" s="9" t="n">
        <v>0</v>
      </c>
      <c r="H142" s="9" t="n">
        <v>90</v>
      </c>
      <c r="I142" s="4" t="n">
        <f aca="false">SUMIFS(Bouches!$M$2:$M$271,Bouches!$S$2:$S$271,A142,Bouches!$C$2:$C$271,"Soufflage")</f>
        <v>0</v>
      </c>
      <c r="J142" s="4" t="n">
        <f aca="false">SUMIFS(Bouches!$M$2:$M$271,Bouches!$S$2:$S$271,A142,Bouches!$C$2:$C$271,"Reprise")</f>
        <v>0</v>
      </c>
      <c r="K142" s="4" t="n">
        <f aca="false">SUMIFS(Bouches!$M$2:$M$271,Bouches!$S$2:$S$271,A142,Bouches!$C$2:$C$271,"Extraction")</f>
        <v>90</v>
      </c>
      <c r="L142" s="4" t="n">
        <v>1</v>
      </c>
      <c r="M142" s="4" t="n">
        <v>1</v>
      </c>
      <c r="N142" s="4" t="str">
        <f aca="false">IF(AND(OR(G142&lt;Hypothèses!$B$6,ABS(I142-G142)&lt;=2),ABS(K142-H142)&lt;=2),"oui","NON")</f>
        <v>oui</v>
      </c>
      <c r="O142" s="4"/>
      <c r="P142" s="4" t="s">
        <v>346</v>
      </c>
    </row>
    <row r="143" customFormat="false" ht="15" hidden="false" customHeight="false" outlineLevel="0" collapsed="false">
      <c r="A143" s="4" t="s">
        <v>339</v>
      </c>
      <c r="B143" s="4" t="s">
        <v>91</v>
      </c>
      <c r="C143" s="4" t="s">
        <v>338</v>
      </c>
      <c r="D143" s="4" t="s">
        <v>44</v>
      </c>
      <c r="E143" s="4" t="s">
        <v>732</v>
      </c>
      <c r="F143" s="4" t="s">
        <v>734</v>
      </c>
      <c r="G143" s="9" t="n">
        <v>0</v>
      </c>
      <c r="H143" s="9" t="n">
        <v>90</v>
      </c>
      <c r="I143" s="4" t="n">
        <f aca="false">SUMIFS(Bouches!$M$2:$M$271,Bouches!$S$2:$S$271,A143,Bouches!$C$2:$C$271,"Soufflage")</f>
        <v>0</v>
      </c>
      <c r="J143" s="4" t="n">
        <f aca="false">SUMIFS(Bouches!$M$2:$M$271,Bouches!$S$2:$S$271,A143,Bouches!$C$2:$C$271,"Reprise")</f>
        <v>0</v>
      </c>
      <c r="K143" s="4" t="n">
        <f aca="false">SUMIFS(Bouches!$M$2:$M$271,Bouches!$S$2:$S$271,A143,Bouches!$C$2:$C$271,"Extraction")</f>
        <v>90</v>
      </c>
      <c r="L143" s="4" t="n">
        <v>1</v>
      </c>
      <c r="M143" s="4" t="n">
        <v>1</v>
      </c>
      <c r="N143" s="4" t="str">
        <f aca="false">IF(AND(OR(G143&lt;Hypothèses!$B$6,ABS(I143-G143)&lt;=2),ABS(K143-H143)&lt;=2),"oui","NON")</f>
        <v>oui</v>
      </c>
      <c r="O143" s="4"/>
      <c r="P143" s="4" t="s">
        <v>337</v>
      </c>
    </row>
    <row r="144" customFormat="false" ht="15" hidden="false" customHeight="false" outlineLevel="0" collapsed="false">
      <c r="A144" s="4" t="s">
        <v>96</v>
      </c>
      <c r="B144" s="4" t="s">
        <v>91</v>
      </c>
      <c r="C144" s="4" t="s">
        <v>95</v>
      </c>
      <c r="D144" s="4" t="s">
        <v>44</v>
      </c>
      <c r="E144" s="4" t="s">
        <v>732</v>
      </c>
      <c r="F144" s="4" t="s">
        <v>734</v>
      </c>
      <c r="G144" s="9" t="n">
        <v>0</v>
      </c>
      <c r="H144" s="9" t="n">
        <v>90</v>
      </c>
      <c r="I144" s="4" t="n">
        <f aca="false">SUMIFS(Bouches!$M$2:$M$271,Bouches!$S$2:$S$271,A144,Bouches!$C$2:$C$271,"Soufflage")</f>
        <v>0</v>
      </c>
      <c r="J144" s="4" t="n">
        <f aca="false">SUMIFS(Bouches!$M$2:$M$271,Bouches!$S$2:$S$271,A144,Bouches!$C$2:$C$271,"Reprise")</f>
        <v>0</v>
      </c>
      <c r="K144" s="4" t="n">
        <f aca="false">SUMIFS(Bouches!$M$2:$M$271,Bouches!$S$2:$S$271,A144,Bouches!$C$2:$C$271,"Extraction")</f>
        <v>90</v>
      </c>
      <c r="L144" s="4" t="n">
        <v>1</v>
      </c>
      <c r="M144" s="4" t="n">
        <v>1</v>
      </c>
      <c r="N144" s="4" t="str">
        <f aca="false">IF(AND(OR(G144&lt;Hypothèses!$B$6,ABS(I144-G144)&lt;=2),ABS(K144-H144)&lt;=2),"oui","NON")</f>
        <v>oui</v>
      </c>
      <c r="O144" s="4"/>
      <c r="P144" s="4" t="s">
        <v>94</v>
      </c>
    </row>
    <row r="145" customFormat="false" ht="15" hidden="false" customHeight="false" outlineLevel="0" collapsed="false">
      <c r="A145" s="4" t="s">
        <v>422</v>
      </c>
      <c r="B145" s="4" t="s">
        <v>91</v>
      </c>
      <c r="C145" s="4" t="s">
        <v>421</v>
      </c>
      <c r="D145" s="4" t="s">
        <v>44</v>
      </c>
      <c r="E145" s="4" t="s">
        <v>732</v>
      </c>
      <c r="F145" s="4" t="s">
        <v>734</v>
      </c>
      <c r="G145" s="9" t="n">
        <v>0</v>
      </c>
      <c r="H145" s="9" t="n">
        <v>90</v>
      </c>
      <c r="I145" s="4" t="n">
        <f aca="false">SUMIFS(Bouches!$M$2:$M$271,Bouches!$S$2:$S$271,A145,Bouches!$C$2:$C$271,"Soufflage")</f>
        <v>0</v>
      </c>
      <c r="J145" s="4" t="n">
        <f aca="false">SUMIFS(Bouches!$M$2:$M$271,Bouches!$S$2:$S$271,A145,Bouches!$C$2:$C$271,"Reprise")</f>
        <v>0</v>
      </c>
      <c r="K145" s="4" t="n">
        <f aca="false">SUMIFS(Bouches!$M$2:$M$271,Bouches!$S$2:$S$271,A145,Bouches!$C$2:$C$271,"Extraction")</f>
        <v>90</v>
      </c>
      <c r="L145" s="4" t="n">
        <v>1</v>
      </c>
      <c r="M145" s="4" t="n">
        <v>1</v>
      </c>
      <c r="N145" s="4" t="str">
        <f aca="false">IF(AND(OR(G145&lt;Hypothèses!$B$6,ABS(I145-G145)&lt;=2),ABS(K145-H145)&lt;=2),"oui","NON")</f>
        <v>oui</v>
      </c>
      <c r="O145" s="4"/>
      <c r="P145" s="4" t="s">
        <v>420</v>
      </c>
    </row>
    <row r="146" customFormat="false" ht="15" hidden="false" customHeight="false" outlineLevel="0" collapsed="false">
      <c r="A146" s="4" t="s">
        <v>419</v>
      </c>
      <c r="B146" s="4" t="s">
        <v>91</v>
      </c>
      <c r="C146" s="4" t="s">
        <v>418</v>
      </c>
      <c r="D146" s="4" t="s">
        <v>44</v>
      </c>
      <c r="E146" s="4" t="s">
        <v>732</v>
      </c>
      <c r="F146" s="4" t="s">
        <v>734</v>
      </c>
      <c r="G146" s="9" t="n">
        <v>0</v>
      </c>
      <c r="H146" s="9" t="n">
        <v>90</v>
      </c>
      <c r="I146" s="4" t="n">
        <f aca="false">SUMIFS(Bouches!$M$2:$M$271,Bouches!$S$2:$S$271,A146,Bouches!$C$2:$C$271,"Soufflage")</f>
        <v>0</v>
      </c>
      <c r="J146" s="4" t="n">
        <f aca="false">SUMIFS(Bouches!$M$2:$M$271,Bouches!$S$2:$S$271,A146,Bouches!$C$2:$C$271,"Reprise")</f>
        <v>0</v>
      </c>
      <c r="K146" s="4" t="n">
        <f aca="false">SUMIFS(Bouches!$M$2:$M$271,Bouches!$S$2:$S$271,A146,Bouches!$C$2:$C$271,"Extraction")</f>
        <v>90</v>
      </c>
      <c r="L146" s="4" t="n">
        <v>1</v>
      </c>
      <c r="M146" s="4" t="n">
        <v>1</v>
      </c>
      <c r="N146" s="4" t="str">
        <f aca="false">IF(AND(OR(G146&lt;Hypothèses!$B$6,ABS(I146-G146)&lt;=2),ABS(K146-H146)&lt;=2),"oui","NON")</f>
        <v>oui</v>
      </c>
      <c r="O146" s="4"/>
      <c r="P146" s="4" t="s">
        <v>417</v>
      </c>
    </row>
    <row r="147" customFormat="false" ht="15" hidden="false" customHeight="false" outlineLevel="0" collapsed="false">
      <c r="A147" s="4" t="s">
        <v>428</v>
      </c>
      <c r="B147" s="4" t="s">
        <v>91</v>
      </c>
      <c r="C147" s="4" t="s">
        <v>427</v>
      </c>
      <c r="D147" s="4" t="s">
        <v>44</v>
      </c>
      <c r="E147" s="4" t="s">
        <v>732</v>
      </c>
      <c r="F147" s="4" t="s">
        <v>734</v>
      </c>
      <c r="G147" s="9" t="n">
        <v>0</v>
      </c>
      <c r="H147" s="9" t="n">
        <v>90</v>
      </c>
      <c r="I147" s="4" t="n">
        <f aca="false">SUMIFS(Bouches!$M$2:$M$271,Bouches!$S$2:$S$271,A147,Bouches!$C$2:$C$271,"Soufflage")</f>
        <v>0</v>
      </c>
      <c r="J147" s="4" t="n">
        <f aca="false">SUMIFS(Bouches!$M$2:$M$271,Bouches!$S$2:$S$271,A147,Bouches!$C$2:$C$271,"Reprise")</f>
        <v>0</v>
      </c>
      <c r="K147" s="4" t="n">
        <f aca="false">SUMIFS(Bouches!$M$2:$M$271,Bouches!$S$2:$S$271,A147,Bouches!$C$2:$C$271,"Extraction")</f>
        <v>90</v>
      </c>
      <c r="L147" s="4" t="n">
        <v>1</v>
      </c>
      <c r="M147" s="4" t="n">
        <v>1</v>
      </c>
      <c r="N147" s="4" t="str">
        <f aca="false">IF(AND(OR(G147&lt;Hypothèses!$B$6,ABS(I147-G147)&lt;=2),ABS(K147-H147)&lt;=2),"oui","NON")</f>
        <v>oui</v>
      </c>
      <c r="O147" s="4"/>
      <c r="P147" s="4" t="s">
        <v>426</v>
      </c>
    </row>
    <row r="148" customFormat="false" ht="15" hidden="false" customHeight="false" outlineLevel="0" collapsed="false">
      <c r="A148" s="4" t="s">
        <v>404</v>
      </c>
      <c r="B148" s="4" t="s">
        <v>91</v>
      </c>
      <c r="C148" s="4" t="s">
        <v>403</v>
      </c>
      <c r="D148" s="4" t="s">
        <v>44</v>
      </c>
      <c r="E148" s="4" t="s">
        <v>732</v>
      </c>
      <c r="F148" s="4" t="s">
        <v>734</v>
      </c>
      <c r="G148" s="9" t="n">
        <v>0</v>
      </c>
      <c r="H148" s="9" t="n">
        <v>90</v>
      </c>
      <c r="I148" s="4" t="n">
        <f aca="false">SUMIFS(Bouches!$M$2:$M$271,Bouches!$S$2:$S$271,A148,Bouches!$C$2:$C$271,"Soufflage")</f>
        <v>0</v>
      </c>
      <c r="J148" s="4" t="n">
        <f aca="false">SUMIFS(Bouches!$M$2:$M$271,Bouches!$S$2:$S$271,A148,Bouches!$C$2:$C$271,"Reprise")</f>
        <v>0</v>
      </c>
      <c r="K148" s="4" t="n">
        <f aca="false">SUMIFS(Bouches!$M$2:$M$271,Bouches!$S$2:$S$271,A148,Bouches!$C$2:$C$271,"Extraction")</f>
        <v>90</v>
      </c>
      <c r="L148" s="4" t="n">
        <v>1</v>
      </c>
      <c r="M148" s="4" t="n">
        <v>1</v>
      </c>
      <c r="N148" s="4" t="str">
        <f aca="false">IF(AND(OR(G148&lt;Hypothèses!$B$6,ABS(I148-G148)&lt;=2),ABS(K148-H148)&lt;=2),"oui","NON")</f>
        <v>oui</v>
      </c>
      <c r="O148" s="4"/>
      <c r="P148" s="4" t="s">
        <v>402</v>
      </c>
    </row>
    <row r="149" customFormat="false" ht="15" hidden="false" customHeight="false" outlineLevel="0" collapsed="false">
      <c r="A149" s="4" t="s">
        <v>407</v>
      </c>
      <c r="B149" s="4" t="s">
        <v>91</v>
      </c>
      <c r="C149" s="4" t="s">
        <v>406</v>
      </c>
      <c r="D149" s="4" t="s">
        <v>44</v>
      </c>
      <c r="E149" s="4" t="s">
        <v>732</v>
      </c>
      <c r="F149" s="4" t="s">
        <v>734</v>
      </c>
      <c r="G149" s="9" t="n">
        <v>0</v>
      </c>
      <c r="H149" s="9" t="n">
        <v>90</v>
      </c>
      <c r="I149" s="4" t="n">
        <f aca="false">SUMIFS(Bouches!$M$2:$M$271,Bouches!$S$2:$S$271,A149,Bouches!$C$2:$C$271,"Soufflage")</f>
        <v>0</v>
      </c>
      <c r="J149" s="4" t="n">
        <f aca="false">SUMIFS(Bouches!$M$2:$M$271,Bouches!$S$2:$S$271,A149,Bouches!$C$2:$C$271,"Reprise")</f>
        <v>0</v>
      </c>
      <c r="K149" s="4" t="n">
        <f aca="false">SUMIFS(Bouches!$M$2:$M$271,Bouches!$S$2:$S$271,A149,Bouches!$C$2:$C$271,"Extraction")</f>
        <v>90</v>
      </c>
      <c r="L149" s="4" t="n">
        <v>1</v>
      </c>
      <c r="M149" s="4" t="n">
        <v>1</v>
      </c>
      <c r="N149" s="4" t="str">
        <f aca="false">IF(AND(OR(G149&lt;Hypothèses!$B$6,ABS(I149-G149)&lt;=2),ABS(K149-H149)&lt;=2),"oui","NON")</f>
        <v>oui</v>
      </c>
      <c r="O149" s="4"/>
      <c r="P149" s="4" t="s">
        <v>405</v>
      </c>
    </row>
    <row r="150" customFormat="false" ht="15" hidden="false" customHeight="false" outlineLevel="0" collapsed="false">
      <c r="A150" s="4" t="s">
        <v>342</v>
      </c>
      <c r="B150" s="4" t="s">
        <v>91</v>
      </c>
      <c r="C150" s="4" t="s">
        <v>341</v>
      </c>
      <c r="D150" s="4" t="s">
        <v>44</v>
      </c>
      <c r="E150" s="4" t="s">
        <v>732</v>
      </c>
      <c r="F150" s="4" t="s">
        <v>734</v>
      </c>
      <c r="G150" s="9" t="n">
        <v>0</v>
      </c>
      <c r="H150" s="9" t="n">
        <v>90</v>
      </c>
      <c r="I150" s="4" t="n">
        <f aca="false">SUMIFS(Bouches!$M$2:$M$271,Bouches!$S$2:$S$271,A150,Bouches!$C$2:$C$271,"Soufflage")</f>
        <v>0</v>
      </c>
      <c r="J150" s="4" t="n">
        <f aca="false">SUMIFS(Bouches!$M$2:$M$271,Bouches!$S$2:$S$271,A150,Bouches!$C$2:$C$271,"Reprise")</f>
        <v>0</v>
      </c>
      <c r="K150" s="4" t="n">
        <f aca="false">SUMIFS(Bouches!$M$2:$M$271,Bouches!$S$2:$S$271,A150,Bouches!$C$2:$C$271,"Extraction")</f>
        <v>90</v>
      </c>
      <c r="L150" s="4" t="n">
        <v>1</v>
      </c>
      <c r="M150" s="4" t="n">
        <v>1</v>
      </c>
      <c r="N150" s="4" t="str">
        <f aca="false">IF(AND(OR(G150&lt;Hypothèses!$B$6,ABS(I150-G150)&lt;=2),ABS(K150-H150)&lt;=2),"oui","NON")</f>
        <v>oui</v>
      </c>
      <c r="O150" s="4"/>
      <c r="P150" s="4" t="s">
        <v>340</v>
      </c>
    </row>
    <row r="151" customFormat="false" ht="15" hidden="false" customHeight="false" outlineLevel="0" collapsed="false">
      <c r="A151" s="4" t="s">
        <v>410</v>
      </c>
      <c r="B151" s="4" t="s">
        <v>91</v>
      </c>
      <c r="C151" s="4" t="s">
        <v>409</v>
      </c>
      <c r="D151" s="4" t="s">
        <v>44</v>
      </c>
      <c r="E151" s="4" t="s">
        <v>732</v>
      </c>
      <c r="F151" s="4" t="s">
        <v>734</v>
      </c>
      <c r="G151" s="9" t="n">
        <v>0</v>
      </c>
      <c r="H151" s="9" t="n">
        <v>90</v>
      </c>
      <c r="I151" s="4" t="n">
        <f aca="false">SUMIFS(Bouches!$M$2:$M$271,Bouches!$S$2:$S$271,A151,Bouches!$C$2:$C$271,"Soufflage")</f>
        <v>0</v>
      </c>
      <c r="J151" s="4" t="n">
        <f aca="false">SUMIFS(Bouches!$M$2:$M$271,Bouches!$S$2:$S$271,A151,Bouches!$C$2:$C$271,"Reprise")</f>
        <v>0</v>
      </c>
      <c r="K151" s="4" t="n">
        <f aca="false">SUMIFS(Bouches!$M$2:$M$271,Bouches!$S$2:$S$271,A151,Bouches!$C$2:$C$271,"Extraction")</f>
        <v>90</v>
      </c>
      <c r="L151" s="4" t="n">
        <v>1</v>
      </c>
      <c r="M151" s="4" t="n">
        <v>1</v>
      </c>
      <c r="N151" s="4" t="str">
        <f aca="false">IF(AND(OR(G151&lt;Hypothèses!$B$6,ABS(I151-G151)&lt;=2),ABS(K151-H151)&lt;=2),"oui","NON")</f>
        <v>oui</v>
      </c>
      <c r="O151" s="4"/>
      <c r="P151" s="4" t="s">
        <v>408</v>
      </c>
    </row>
    <row r="152" customFormat="false" ht="15" hidden="false" customHeight="false" outlineLevel="0" collapsed="false">
      <c r="A152" s="4" t="s">
        <v>413</v>
      </c>
      <c r="B152" s="4" t="s">
        <v>91</v>
      </c>
      <c r="C152" s="4" t="s">
        <v>412</v>
      </c>
      <c r="D152" s="4" t="s">
        <v>44</v>
      </c>
      <c r="E152" s="4" t="s">
        <v>732</v>
      </c>
      <c r="F152" s="4" t="s">
        <v>734</v>
      </c>
      <c r="G152" s="9" t="n">
        <v>0</v>
      </c>
      <c r="H152" s="9" t="n">
        <v>90</v>
      </c>
      <c r="I152" s="4" t="n">
        <f aca="false">SUMIFS(Bouches!$M$2:$M$271,Bouches!$S$2:$S$271,A152,Bouches!$C$2:$C$271,"Soufflage")</f>
        <v>0</v>
      </c>
      <c r="J152" s="4" t="n">
        <f aca="false">SUMIFS(Bouches!$M$2:$M$271,Bouches!$S$2:$S$271,A152,Bouches!$C$2:$C$271,"Reprise")</f>
        <v>0</v>
      </c>
      <c r="K152" s="4" t="n">
        <f aca="false">SUMIFS(Bouches!$M$2:$M$271,Bouches!$S$2:$S$271,A152,Bouches!$C$2:$C$271,"Extraction")</f>
        <v>90</v>
      </c>
      <c r="L152" s="4" t="n">
        <v>1</v>
      </c>
      <c r="M152" s="4" t="n">
        <v>1</v>
      </c>
      <c r="N152" s="4" t="str">
        <f aca="false">IF(AND(OR(G152&lt;Hypothèses!$B$6,ABS(I152-G152)&lt;=2),ABS(K152-H152)&lt;=2),"oui","NON")</f>
        <v>oui</v>
      </c>
      <c r="O152" s="4"/>
      <c r="P152" s="4" t="s">
        <v>411</v>
      </c>
    </row>
    <row r="153" customFormat="false" ht="15" hidden="false" customHeight="false" outlineLevel="0" collapsed="false">
      <c r="A153" s="4" t="s">
        <v>416</v>
      </c>
      <c r="B153" s="4" t="s">
        <v>91</v>
      </c>
      <c r="C153" s="4" t="s">
        <v>415</v>
      </c>
      <c r="D153" s="4" t="s">
        <v>44</v>
      </c>
      <c r="E153" s="4" t="s">
        <v>732</v>
      </c>
      <c r="F153" s="4" t="s">
        <v>734</v>
      </c>
      <c r="G153" s="9" t="n">
        <v>0</v>
      </c>
      <c r="H153" s="9" t="n">
        <v>90</v>
      </c>
      <c r="I153" s="4" t="n">
        <f aca="false">SUMIFS(Bouches!$M$2:$M$271,Bouches!$S$2:$S$271,A153,Bouches!$C$2:$C$271,"Soufflage")</f>
        <v>0</v>
      </c>
      <c r="J153" s="4" t="n">
        <f aca="false">SUMIFS(Bouches!$M$2:$M$271,Bouches!$S$2:$S$271,A153,Bouches!$C$2:$C$271,"Reprise")</f>
        <v>0</v>
      </c>
      <c r="K153" s="4" t="n">
        <f aca="false">SUMIFS(Bouches!$M$2:$M$271,Bouches!$S$2:$S$271,A153,Bouches!$C$2:$C$271,"Extraction")</f>
        <v>90</v>
      </c>
      <c r="L153" s="4" t="n">
        <v>1</v>
      </c>
      <c r="M153" s="4" t="n">
        <v>1</v>
      </c>
      <c r="N153" s="4" t="str">
        <f aca="false">IF(AND(OR(G153&lt;Hypothèses!$B$6,ABS(I153-G153)&lt;=2),ABS(K153-H153)&lt;=2),"oui","NON")</f>
        <v>oui</v>
      </c>
      <c r="O153" s="4"/>
      <c r="P153" s="4" t="s">
        <v>414</v>
      </c>
    </row>
    <row r="154" customFormat="false" ht="15" hidden="false" customHeight="false" outlineLevel="0" collapsed="false">
      <c r="A154" s="4" t="s">
        <v>438</v>
      </c>
      <c r="B154" s="4" t="s">
        <v>91</v>
      </c>
      <c r="C154" s="4" t="s">
        <v>436</v>
      </c>
      <c r="D154" s="4" t="s">
        <v>44</v>
      </c>
      <c r="E154" s="4" t="s">
        <v>732</v>
      </c>
      <c r="F154" s="4" t="s">
        <v>734</v>
      </c>
      <c r="G154" s="9" t="n">
        <v>0</v>
      </c>
      <c r="H154" s="9" t="n">
        <v>90</v>
      </c>
      <c r="I154" s="4" t="n">
        <f aca="false">SUMIFS(Bouches!$M$2:$M$271,Bouches!$S$2:$S$271,A154,Bouches!$C$2:$C$271,"Soufflage")</f>
        <v>0</v>
      </c>
      <c r="J154" s="4" t="n">
        <f aca="false">SUMIFS(Bouches!$M$2:$M$271,Bouches!$S$2:$S$271,A154,Bouches!$C$2:$C$271,"Reprise")</f>
        <v>0</v>
      </c>
      <c r="K154" s="4" t="n">
        <f aca="false">SUMIFS(Bouches!$M$2:$M$271,Bouches!$S$2:$S$271,A154,Bouches!$C$2:$C$271,"Extraction")</f>
        <v>90</v>
      </c>
      <c r="L154" s="4" t="n">
        <v>1</v>
      </c>
      <c r="M154" s="4" t="n">
        <v>0</v>
      </c>
      <c r="N154" s="4" t="str">
        <f aca="false">IF(AND(OR(G154&lt;Hypothèses!$B$6,ABS(I154-G154)&lt;=2),ABS(K154-H154)&lt;=2),"oui","NON")</f>
        <v>oui</v>
      </c>
      <c r="O154" s="4" t="s">
        <v>733</v>
      </c>
      <c r="P154" s="4" t="s">
        <v>435</v>
      </c>
    </row>
    <row r="155" customFormat="false" ht="15" hidden="false" customHeight="false" outlineLevel="0" collapsed="false">
      <c r="A155" s="4" t="s">
        <v>239</v>
      </c>
      <c r="B155" s="4" t="s">
        <v>91</v>
      </c>
      <c r="C155" s="4" t="s">
        <v>238</v>
      </c>
      <c r="D155" s="4" t="s">
        <v>44</v>
      </c>
      <c r="E155" s="4" t="s">
        <v>732</v>
      </c>
      <c r="F155" s="4" t="s">
        <v>734</v>
      </c>
      <c r="G155" s="9" t="n">
        <v>0</v>
      </c>
      <c r="H155" s="9" t="n">
        <v>90</v>
      </c>
      <c r="I155" s="4" t="n">
        <f aca="false">SUMIFS(Bouches!$M$2:$M$271,Bouches!$S$2:$S$271,A155,Bouches!$C$2:$C$271,"Soufflage")</f>
        <v>0</v>
      </c>
      <c r="J155" s="4" t="n">
        <f aca="false">SUMIFS(Bouches!$M$2:$M$271,Bouches!$S$2:$S$271,A155,Bouches!$C$2:$C$271,"Reprise")</f>
        <v>0</v>
      </c>
      <c r="K155" s="4" t="n">
        <f aca="false">SUMIFS(Bouches!$M$2:$M$271,Bouches!$S$2:$S$271,A155,Bouches!$C$2:$C$271,"Extraction")</f>
        <v>90</v>
      </c>
      <c r="L155" s="4" t="n">
        <v>1</v>
      </c>
      <c r="M155" s="4" t="n">
        <v>1</v>
      </c>
      <c r="N155" s="4" t="str">
        <f aca="false">IF(AND(OR(G155&lt;Hypothèses!$B$6,ABS(I155-G155)&lt;=2),ABS(K155-H155)&lt;=2),"oui","NON")</f>
        <v>oui</v>
      </c>
      <c r="O155" s="4"/>
      <c r="P155" s="4" t="s">
        <v>237</v>
      </c>
    </row>
    <row r="156" customFormat="false" ht="15" hidden="false" customHeight="false" outlineLevel="0" collapsed="false">
      <c r="A156" s="4" t="s">
        <v>99</v>
      </c>
      <c r="B156" s="4" t="s">
        <v>91</v>
      </c>
      <c r="C156" s="4" t="s">
        <v>98</v>
      </c>
      <c r="D156" s="4" t="s">
        <v>44</v>
      </c>
      <c r="E156" s="4" t="s">
        <v>732</v>
      </c>
      <c r="F156" s="4" t="s">
        <v>734</v>
      </c>
      <c r="G156" s="9" t="n">
        <v>0</v>
      </c>
      <c r="H156" s="9" t="n">
        <v>90</v>
      </c>
      <c r="I156" s="4" t="n">
        <f aca="false">SUMIFS(Bouches!$M$2:$M$271,Bouches!$S$2:$S$271,A156,Bouches!$C$2:$C$271,"Soufflage")</f>
        <v>0</v>
      </c>
      <c r="J156" s="4" t="n">
        <f aca="false">SUMIFS(Bouches!$M$2:$M$271,Bouches!$S$2:$S$271,A156,Bouches!$C$2:$C$271,"Reprise")</f>
        <v>0</v>
      </c>
      <c r="K156" s="4" t="n">
        <f aca="false">SUMIFS(Bouches!$M$2:$M$271,Bouches!$S$2:$S$271,A156,Bouches!$C$2:$C$271,"Extraction")</f>
        <v>90</v>
      </c>
      <c r="L156" s="4" t="n">
        <v>1</v>
      </c>
      <c r="M156" s="4" t="n">
        <v>1</v>
      </c>
      <c r="N156" s="4" t="str">
        <f aca="false">IF(AND(OR(G156&lt;Hypothèses!$B$6,ABS(I156-G156)&lt;=2),ABS(K156-H156)&lt;=2),"oui","NON")</f>
        <v>oui</v>
      </c>
      <c r="O156" s="4"/>
      <c r="P156" s="4" t="s">
        <v>97</v>
      </c>
    </row>
    <row r="157" customFormat="false" ht="15" hidden="false" customHeight="false" outlineLevel="0" collapsed="false">
      <c r="A157" s="4" t="s">
        <v>126</v>
      </c>
      <c r="B157" s="4" t="s">
        <v>91</v>
      </c>
      <c r="C157" s="4" t="s">
        <v>125</v>
      </c>
      <c r="D157" s="4" t="s">
        <v>44</v>
      </c>
      <c r="E157" s="4" t="s">
        <v>732</v>
      </c>
      <c r="F157" s="4" t="s">
        <v>734</v>
      </c>
      <c r="G157" s="9" t="n">
        <v>0</v>
      </c>
      <c r="H157" s="9" t="n">
        <v>90</v>
      </c>
      <c r="I157" s="4" t="n">
        <f aca="false">SUMIFS(Bouches!$M$2:$M$271,Bouches!$S$2:$S$271,A157,Bouches!$C$2:$C$271,"Soufflage")</f>
        <v>0</v>
      </c>
      <c r="J157" s="4" t="n">
        <f aca="false">SUMIFS(Bouches!$M$2:$M$271,Bouches!$S$2:$S$271,A157,Bouches!$C$2:$C$271,"Reprise")</f>
        <v>0</v>
      </c>
      <c r="K157" s="4" t="n">
        <f aca="false">SUMIFS(Bouches!$M$2:$M$271,Bouches!$S$2:$S$271,A157,Bouches!$C$2:$C$271,"Extraction")</f>
        <v>90</v>
      </c>
      <c r="L157" s="4" t="n">
        <v>1</v>
      </c>
      <c r="M157" s="4" t="n">
        <v>1</v>
      </c>
      <c r="N157" s="4" t="str">
        <f aca="false">IF(AND(OR(G157&lt;Hypothèses!$B$6,ABS(I157-G157)&lt;=2),ABS(K157-H157)&lt;=2),"oui","NON")</f>
        <v>oui</v>
      </c>
      <c r="O157" s="4"/>
      <c r="P157" s="4" t="s">
        <v>124</v>
      </c>
    </row>
    <row r="158" customFormat="false" ht="15" hidden="false" customHeight="false" outlineLevel="0" collapsed="false">
      <c r="A158" s="4" t="s">
        <v>425</v>
      </c>
      <c r="B158" s="4" t="s">
        <v>91</v>
      </c>
      <c r="C158" s="4" t="s">
        <v>424</v>
      </c>
      <c r="D158" s="4" t="s">
        <v>44</v>
      </c>
      <c r="E158" s="4" t="s">
        <v>732</v>
      </c>
      <c r="F158" s="4" t="s">
        <v>734</v>
      </c>
      <c r="G158" s="9" t="n">
        <v>0</v>
      </c>
      <c r="H158" s="9" t="n">
        <v>90</v>
      </c>
      <c r="I158" s="4" t="n">
        <f aca="false">SUMIFS(Bouches!$M$2:$M$271,Bouches!$S$2:$S$271,A158,Bouches!$C$2:$C$271,"Soufflage")</f>
        <v>0</v>
      </c>
      <c r="J158" s="4" t="n">
        <f aca="false">SUMIFS(Bouches!$M$2:$M$271,Bouches!$S$2:$S$271,A158,Bouches!$C$2:$C$271,"Reprise")</f>
        <v>0</v>
      </c>
      <c r="K158" s="4" t="n">
        <f aca="false">SUMIFS(Bouches!$M$2:$M$271,Bouches!$S$2:$S$271,A158,Bouches!$C$2:$C$271,"Extraction")</f>
        <v>90</v>
      </c>
      <c r="L158" s="4" t="n">
        <v>1</v>
      </c>
      <c r="M158" s="4" t="n">
        <v>1</v>
      </c>
      <c r="N158" s="4" t="str">
        <f aca="false">IF(AND(OR(G158&lt;Hypothèses!$B$6,ABS(I158-G158)&lt;=2),ABS(K158-H158)&lt;=2),"oui","NON")</f>
        <v>oui</v>
      </c>
      <c r="O158" s="4"/>
      <c r="P158" s="4" t="s">
        <v>423</v>
      </c>
    </row>
    <row r="159" customFormat="false" ht="15" hidden="false" customHeight="false" outlineLevel="0" collapsed="false">
      <c r="A159" s="4" t="s">
        <v>345</v>
      </c>
      <c r="B159" s="4" t="s">
        <v>91</v>
      </c>
      <c r="C159" s="4" t="s">
        <v>344</v>
      </c>
      <c r="D159" s="4" t="s">
        <v>44</v>
      </c>
      <c r="E159" s="4" t="s">
        <v>732</v>
      </c>
      <c r="F159" s="4" t="s">
        <v>734</v>
      </c>
      <c r="G159" s="9" t="n">
        <v>0</v>
      </c>
      <c r="H159" s="9" t="n">
        <v>90</v>
      </c>
      <c r="I159" s="4" t="n">
        <f aca="false">SUMIFS(Bouches!$M$2:$M$271,Bouches!$S$2:$S$271,A159,Bouches!$C$2:$C$271,"Soufflage")</f>
        <v>0</v>
      </c>
      <c r="J159" s="4" t="n">
        <f aca="false">SUMIFS(Bouches!$M$2:$M$271,Bouches!$S$2:$S$271,A159,Bouches!$C$2:$C$271,"Reprise")</f>
        <v>0</v>
      </c>
      <c r="K159" s="4" t="n">
        <f aca="false">SUMIFS(Bouches!$M$2:$M$271,Bouches!$S$2:$S$271,A159,Bouches!$C$2:$C$271,"Extraction")</f>
        <v>90</v>
      </c>
      <c r="L159" s="4" t="n">
        <v>1</v>
      </c>
      <c r="M159" s="4" t="n">
        <v>1</v>
      </c>
      <c r="N159" s="4" t="str">
        <f aca="false">IF(AND(OR(G159&lt;Hypothèses!$B$6,ABS(I159-G159)&lt;=2),ABS(K159-H159)&lt;=2),"oui","NON")</f>
        <v>oui</v>
      </c>
      <c r="O159" s="4"/>
      <c r="P159" s="4" t="s">
        <v>343</v>
      </c>
    </row>
    <row r="160" customFormat="false" ht="15" hidden="false" customHeight="false" outlineLevel="0" collapsed="false">
      <c r="A160" s="4" t="s">
        <v>366</v>
      </c>
      <c r="B160" s="4" t="s">
        <v>91</v>
      </c>
      <c r="C160" s="4" t="s">
        <v>365</v>
      </c>
      <c r="D160" s="4" t="s">
        <v>44</v>
      </c>
      <c r="E160" s="4" t="s">
        <v>732</v>
      </c>
      <c r="F160" s="4" t="s">
        <v>734</v>
      </c>
      <c r="G160" s="9" t="n">
        <v>0</v>
      </c>
      <c r="H160" s="9" t="n">
        <v>90</v>
      </c>
      <c r="I160" s="4" t="n">
        <f aca="false">SUMIFS(Bouches!$M$2:$M$271,Bouches!$S$2:$S$271,A160,Bouches!$C$2:$C$271,"Soufflage")</f>
        <v>0</v>
      </c>
      <c r="J160" s="4" t="n">
        <f aca="false">SUMIFS(Bouches!$M$2:$M$271,Bouches!$S$2:$S$271,A160,Bouches!$C$2:$C$271,"Reprise")</f>
        <v>0</v>
      </c>
      <c r="K160" s="4" t="n">
        <f aca="false">SUMIFS(Bouches!$M$2:$M$271,Bouches!$S$2:$S$271,A160,Bouches!$C$2:$C$271,"Extraction")</f>
        <v>90</v>
      </c>
      <c r="L160" s="4" t="n">
        <v>1</v>
      </c>
      <c r="M160" s="4" t="n">
        <v>1</v>
      </c>
      <c r="N160" s="4" t="str">
        <f aca="false">IF(AND(OR(G160&lt;Hypothèses!$B$6,ABS(I160-G160)&lt;=2),ABS(K160-H160)&lt;=2),"oui","NON")</f>
        <v>oui</v>
      </c>
      <c r="O160" s="4"/>
      <c r="P160" s="4" t="s">
        <v>364</v>
      </c>
    </row>
    <row r="161" customFormat="false" ht="15" hidden="false" customHeight="false" outlineLevel="0" collapsed="false">
      <c r="A161" s="4" t="s">
        <v>120</v>
      </c>
      <c r="B161" s="4" t="s">
        <v>91</v>
      </c>
      <c r="C161" s="4" t="s">
        <v>119</v>
      </c>
      <c r="D161" s="4" t="s">
        <v>44</v>
      </c>
      <c r="E161" s="4" t="s">
        <v>732</v>
      </c>
      <c r="F161" s="4" t="s">
        <v>734</v>
      </c>
      <c r="G161" s="9" t="n">
        <v>0</v>
      </c>
      <c r="H161" s="9" t="n">
        <v>90</v>
      </c>
      <c r="I161" s="4" t="n">
        <f aca="false">SUMIFS(Bouches!$M$2:$M$271,Bouches!$S$2:$S$271,A161,Bouches!$C$2:$C$271,"Soufflage")</f>
        <v>0</v>
      </c>
      <c r="J161" s="4" t="n">
        <f aca="false">SUMIFS(Bouches!$M$2:$M$271,Bouches!$S$2:$S$271,A161,Bouches!$C$2:$C$271,"Reprise")</f>
        <v>0</v>
      </c>
      <c r="K161" s="4" t="n">
        <f aca="false">SUMIFS(Bouches!$M$2:$M$271,Bouches!$S$2:$S$271,A161,Bouches!$C$2:$C$271,"Extraction")</f>
        <v>90</v>
      </c>
      <c r="L161" s="4" t="n">
        <v>1</v>
      </c>
      <c r="M161" s="4" t="n">
        <v>1</v>
      </c>
      <c r="N161" s="4" t="str">
        <f aca="false">IF(AND(OR(G161&lt;Hypothèses!$B$6,ABS(I161-G161)&lt;=2),ABS(K161-H161)&lt;=2),"oui","NON")</f>
        <v>oui</v>
      </c>
      <c r="O161" s="4"/>
      <c r="P161" s="4" t="s">
        <v>118</v>
      </c>
    </row>
    <row r="162" customFormat="false" ht="15" hidden="false" customHeight="false" outlineLevel="0" collapsed="false">
      <c r="A162" s="4" t="s">
        <v>108</v>
      </c>
      <c r="B162" s="4" t="s">
        <v>91</v>
      </c>
      <c r="C162" s="4" t="s">
        <v>107</v>
      </c>
      <c r="D162" s="4" t="s">
        <v>44</v>
      </c>
      <c r="E162" s="4" t="s">
        <v>732</v>
      </c>
      <c r="F162" s="4" t="s">
        <v>734</v>
      </c>
      <c r="G162" s="9" t="n">
        <v>0</v>
      </c>
      <c r="H162" s="9" t="n">
        <v>90</v>
      </c>
      <c r="I162" s="4" t="n">
        <f aca="false">SUMIFS(Bouches!$M$2:$M$271,Bouches!$S$2:$S$271,A162,Bouches!$C$2:$C$271,"Soufflage")</f>
        <v>0</v>
      </c>
      <c r="J162" s="4" t="n">
        <f aca="false">SUMIFS(Bouches!$M$2:$M$271,Bouches!$S$2:$S$271,A162,Bouches!$C$2:$C$271,"Reprise")</f>
        <v>0</v>
      </c>
      <c r="K162" s="4" t="n">
        <f aca="false">SUMIFS(Bouches!$M$2:$M$271,Bouches!$S$2:$S$271,A162,Bouches!$C$2:$C$271,"Extraction")</f>
        <v>90</v>
      </c>
      <c r="L162" s="4" t="n">
        <v>1</v>
      </c>
      <c r="M162" s="4" t="n">
        <v>1</v>
      </c>
      <c r="N162" s="4" t="str">
        <f aca="false">IF(AND(OR(G162&lt;Hypothèses!$B$6,ABS(I162-G162)&lt;=2),ABS(K162-H162)&lt;=2),"oui","NON")</f>
        <v>oui</v>
      </c>
      <c r="O162" s="4"/>
      <c r="P162" s="4" t="s">
        <v>106</v>
      </c>
    </row>
    <row r="163" customFormat="false" ht="15" hidden="false" customHeight="false" outlineLevel="0" collapsed="false">
      <c r="A163" s="4" t="s">
        <v>434</v>
      </c>
      <c r="B163" s="4" t="s">
        <v>91</v>
      </c>
      <c r="C163" s="4" t="s">
        <v>433</v>
      </c>
      <c r="D163" s="4" t="s">
        <v>44</v>
      </c>
      <c r="E163" s="4" t="s">
        <v>732</v>
      </c>
      <c r="F163" s="4" t="s">
        <v>734</v>
      </c>
      <c r="G163" s="9" t="n">
        <v>0</v>
      </c>
      <c r="H163" s="9" t="n">
        <v>90</v>
      </c>
      <c r="I163" s="4" t="n">
        <f aca="false">SUMIFS(Bouches!$M$2:$M$271,Bouches!$S$2:$S$271,A163,Bouches!$C$2:$C$271,"Soufflage")</f>
        <v>0</v>
      </c>
      <c r="J163" s="4" t="n">
        <f aca="false">SUMIFS(Bouches!$M$2:$M$271,Bouches!$S$2:$S$271,A163,Bouches!$C$2:$C$271,"Reprise")</f>
        <v>0</v>
      </c>
      <c r="K163" s="4" t="n">
        <f aca="false">SUMIFS(Bouches!$M$2:$M$271,Bouches!$S$2:$S$271,A163,Bouches!$C$2:$C$271,"Extraction")</f>
        <v>90</v>
      </c>
      <c r="L163" s="4" t="n">
        <v>1</v>
      </c>
      <c r="M163" s="4" t="n">
        <v>1</v>
      </c>
      <c r="N163" s="4" t="str">
        <f aca="false">IF(AND(OR(G163&lt;Hypothèses!$B$6,ABS(I163-G163)&lt;=2),ABS(K163-H163)&lt;=2),"oui","NON")</f>
        <v>oui</v>
      </c>
      <c r="O163" s="4"/>
      <c r="P163" s="4" t="s">
        <v>432</v>
      </c>
    </row>
    <row r="164" customFormat="false" ht="15" hidden="false" customHeight="false" outlineLevel="0" collapsed="false">
      <c r="A164" s="4" t="s">
        <v>471</v>
      </c>
      <c r="B164" s="4" t="s">
        <v>42</v>
      </c>
      <c r="C164" s="4" t="s">
        <v>466</v>
      </c>
      <c r="D164" s="4" t="s">
        <v>467</v>
      </c>
      <c r="E164" s="4" t="s">
        <v>735</v>
      </c>
      <c r="F164" s="4" t="s">
        <v>736</v>
      </c>
      <c r="G164" s="9" t="n">
        <v>50</v>
      </c>
      <c r="H164" s="9" t="n">
        <v>0</v>
      </c>
      <c r="I164" s="4" t="n">
        <f aca="false">SUMIFS(Bouches!$M$2:$M$271,Bouches!$S$2:$S$271,A164,Bouches!$C$2:$C$271,"Soufflage")</f>
        <v>50</v>
      </c>
      <c r="J164" s="4" t="n">
        <f aca="false">SUMIFS(Bouches!$M$2:$M$271,Bouches!$S$2:$S$271,A164,Bouches!$C$2:$C$271,"Reprise")</f>
        <v>50</v>
      </c>
      <c r="K164" s="4" t="n">
        <f aca="false">SUMIFS(Bouches!$M$2:$M$271,Bouches!$S$2:$S$271,A164,Bouches!$C$2:$C$271,"Extraction")</f>
        <v>0</v>
      </c>
      <c r="L164" s="4" t="n">
        <v>2</v>
      </c>
      <c r="M164" s="4" t="n">
        <v>1</v>
      </c>
      <c r="N164" s="4" t="str">
        <f aca="false">IF(AND(OR(G164&lt;Hypothèses!$B$6,ABS(I164-G164)&lt;=2),ABS(K164-H164)&lt;=2),"oui","NON")</f>
        <v>oui</v>
      </c>
      <c r="O164" s="4" t="s">
        <v>733</v>
      </c>
      <c r="P164" s="4" t="s">
        <v>737</v>
      </c>
    </row>
    <row r="165" customFormat="false" ht="15" hidden="false" customHeight="false" outlineLevel="0" collapsed="false">
      <c r="A165" s="4" t="s">
        <v>475</v>
      </c>
      <c r="B165" s="4" t="s">
        <v>42</v>
      </c>
      <c r="C165" s="4" t="s">
        <v>473</v>
      </c>
      <c r="D165" s="4" t="s">
        <v>474</v>
      </c>
      <c r="E165" s="4" t="s">
        <v>738</v>
      </c>
      <c r="F165" s="4" t="s">
        <v>736</v>
      </c>
      <c r="G165" s="9" t="n">
        <v>90</v>
      </c>
      <c r="H165" s="9" t="n">
        <v>0</v>
      </c>
      <c r="I165" s="4" t="n">
        <f aca="false">SUMIFS(Bouches!$M$2:$M$271,Bouches!$S$2:$S$271,A165,Bouches!$C$2:$C$271,"Soufflage")</f>
        <v>90</v>
      </c>
      <c r="J165" s="4" t="n">
        <f aca="false">SUMIFS(Bouches!$M$2:$M$271,Bouches!$S$2:$S$271,A165,Bouches!$C$2:$C$271,"Reprise")</f>
        <v>90</v>
      </c>
      <c r="K165" s="4" t="n">
        <f aca="false">SUMIFS(Bouches!$M$2:$M$271,Bouches!$S$2:$S$271,A165,Bouches!$C$2:$C$271,"Extraction")</f>
        <v>0</v>
      </c>
      <c r="L165" s="4" t="n">
        <v>2</v>
      </c>
      <c r="M165" s="4" t="n">
        <v>1</v>
      </c>
      <c r="N165" s="4" t="str">
        <f aca="false">IF(AND(OR(G165&lt;Hypothèses!$B$6,ABS(I165-G165)&lt;=2),ABS(K165-H165)&lt;=2),"oui","NON")</f>
        <v>oui</v>
      </c>
      <c r="O165" s="4" t="s">
        <v>733</v>
      </c>
      <c r="P165" s="4" t="s">
        <v>739</v>
      </c>
    </row>
    <row r="166" customFormat="false" ht="15" hidden="false" customHeight="false" outlineLevel="0" collapsed="false">
      <c r="A166" s="4" t="s">
        <v>479</v>
      </c>
      <c r="B166" s="4" t="s">
        <v>42</v>
      </c>
      <c r="C166" s="4" t="s">
        <v>477</v>
      </c>
      <c r="D166" s="4" t="s">
        <v>478</v>
      </c>
      <c r="E166" s="4" t="s">
        <v>740</v>
      </c>
      <c r="F166" s="4" t="s">
        <v>736</v>
      </c>
      <c r="G166" s="9" t="n">
        <v>72</v>
      </c>
      <c r="H166" s="9" t="n">
        <v>0</v>
      </c>
      <c r="I166" s="4" t="n">
        <f aca="false">SUMIFS(Bouches!$M$2:$M$271,Bouches!$S$2:$S$271,A166,Bouches!$C$2:$C$271,"Soufflage")</f>
        <v>72</v>
      </c>
      <c r="J166" s="4" t="n">
        <f aca="false">SUMIFS(Bouches!$M$2:$M$271,Bouches!$S$2:$S$271,A166,Bouches!$C$2:$C$271,"Reprise")</f>
        <v>72</v>
      </c>
      <c r="K166" s="4" t="n">
        <f aca="false">SUMIFS(Bouches!$M$2:$M$271,Bouches!$S$2:$S$271,A166,Bouches!$C$2:$C$271,"Extraction")</f>
        <v>0</v>
      </c>
      <c r="L166" s="4" t="n">
        <v>2</v>
      </c>
      <c r="M166" s="4" t="n">
        <v>1</v>
      </c>
      <c r="N166" s="4" t="str">
        <f aca="false">IF(AND(OR(G166&lt;Hypothèses!$B$6,ABS(I166-G166)&lt;=2),ABS(K166-H166)&lt;=2),"oui","NON")</f>
        <v>oui</v>
      </c>
      <c r="O166" s="4" t="s">
        <v>733</v>
      </c>
      <c r="P166" s="4" t="s">
        <v>741</v>
      </c>
    </row>
    <row r="167" customFormat="false" ht="15" hidden="false" customHeight="false" outlineLevel="0" collapsed="false">
      <c r="A167" s="4" t="s">
        <v>742</v>
      </c>
      <c r="B167" s="4" t="s">
        <v>42</v>
      </c>
      <c r="C167" s="4" t="s">
        <v>743</v>
      </c>
      <c r="D167" s="4" t="s">
        <v>744</v>
      </c>
      <c r="E167" s="4" t="s">
        <v>745</v>
      </c>
      <c r="F167" s="4" t="s">
        <v>736</v>
      </c>
      <c r="G167" s="9" t="n">
        <v>2</v>
      </c>
      <c r="H167" s="9" t="n">
        <v>0</v>
      </c>
      <c r="I167" s="4" t="n">
        <f aca="false">SUMIFS(Bouches!$M$2:$M$271,Bouches!$S$2:$S$271,A167,Bouches!$C$2:$C$271,"Soufflage")</f>
        <v>0</v>
      </c>
      <c r="J167" s="4" t="n">
        <f aca="false">SUMIFS(Bouches!$M$2:$M$271,Bouches!$S$2:$S$271,A167,Bouches!$C$2:$C$271,"Reprise")</f>
        <v>0</v>
      </c>
      <c r="K167" s="4" t="n">
        <f aca="false">SUMIFS(Bouches!$M$2:$M$271,Bouches!$S$2:$S$271,A167,Bouches!$C$2:$C$271,"Extraction")</f>
        <v>0</v>
      </c>
      <c r="L167" s="4" t="n">
        <v>0</v>
      </c>
      <c r="M167" s="4" t="n">
        <v>0</v>
      </c>
      <c r="N167" s="4" t="str">
        <f aca="false">IF(AND(OR(G167&lt;Hypothèses!$B$6,ABS(I167-G167)&lt;=2),ABS(K167-H167)&lt;=2),"oui","NON")</f>
        <v>oui</v>
      </c>
      <c r="O167" s="4" t="s">
        <v>746</v>
      </c>
      <c r="P167" s="4"/>
    </row>
    <row r="168" customFormat="false" ht="15" hidden="false" customHeight="false" outlineLevel="0" collapsed="false">
      <c r="A168" s="4" t="s">
        <v>484</v>
      </c>
      <c r="B168" s="4" t="s">
        <v>42</v>
      </c>
      <c r="C168" s="4" t="s">
        <v>481</v>
      </c>
      <c r="D168" s="4" t="s">
        <v>482</v>
      </c>
      <c r="E168" s="4" t="s">
        <v>735</v>
      </c>
      <c r="F168" s="4" t="s">
        <v>736</v>
      </c>
      <c r="G168" s="9" t="n">
        <v>75</v>
      </c>
      <c r="H168" s="9" t="n">
        <v>0</v>
      </c>
      <c r="I168" s="4" t="n">
        <f aca="false">SUMIFS(Bouches!$M$2:$M$271,Bouches!$S$2:$S$271,A168,Bouches!$C$2:$C$271,"Soufflage")</f>
        <v>75</v>
      </c>
      <c r="J168" s="4" t="n">
        <f aca="false">SUMIFS(Bouches!$M$2:$M$271,Bouches!$S$2:$S$271,A168,Bouches!$C$2:$C$271,"Reprise")</f>
        <v>75</v>
      </c>
      <c r="K168" s="4" t="n">
        <f aca="false">SUMIFS(Bouches!$M$2:$M$271,Bouches!$S$2:$S$271,A168,Bouches!$C$2:$C$271,"Extraction")</f>
        <v>0</v>
      </c>
      <c r="L168" s="4" t="n">
        <v>2</v>
      </c>
      <c r="M168" s="4" t="n">
        <v>1</v>
      </c>
      <c r="N168" s="4" t="str">
        <f aca="false">IF(AND(OR(G168&lt;Hypothèses!$B$6,ABS(I168-G168)&lt;=2),ABS(K168-H168)&lt;=2),"oui","NON")</f>
        <v>oui</v>
      </c>
      <c r="O168" s="4" t="s">
        <v>733</v>
      </c>
      <c r="P168" s="4" t="s">
        <v>747</v>
      </c>
    </row>
    <row r="169" customFormat="false" ht="15" hidden="false" customHeight="false" outlineLevel="0" collapsed="false">
      <c r="A169" s="4" t="s">
        <v>487</v>
      </c>
      <c r="B169" s="4" t="s">
        <v>42</v>
      </c>
      <c r="C169" s="4" t="s">
        <v>481</v>
      </c>
      <c r="D169" s="4" t="s">
        <v>486</v>
      </c>
      <c r="E169" s="4" t="s">
        <v>735</v>
      </c>
      <c r="F169" s="4" t="s">
        <v>736</v>
      </c>
      <c r="G169" s="9" t="n">
        <v>50</v>
      </c>
      <c r="H169" s="9" t="n">
        <v>0</v>
      </c>
      <c r="I169" s="4" t="n">
        <f aca="false">SUMIFS(Bouches!$M$2:$M$271,Bouches!$S$2:$S$271,A169,Bouches!$C$2:$C$271,"Soufflage")</f>
        <v>50</v>
      </c>
      <c r="J169" s="4" t="n">
        <f aca="false">SUMIFS(Bouches!$M$2:$M$271,Bouches!$S$2:$S$271,A169,Bouches!$C$2:$C$271,"Reprise")</f>
        <v>50</v>
      </c>
      <c r="K169" s="4" t="n">
        <f aca="false">SUMIFS(Bouches!$M$2:$M$271,Bouches!$S$2:$S$271,A169,Bouches!$C$2:$C$271,"Extraction")</f>
        <v>0</v>
      </c>
      <c r="L169" s="4" t="n">
        <v>2</v>
      </c>
      <c r="M169" s="4" t="n">
        <v>1</v>
      </c>
      <c r="N169" s="4" t="str">
        <f aca="false">IF(AND(OR(G169&lt;Hypothèses!$B$6,ABS(I169-G169)&lt;=2),ABS(K169-H169)&lt;=2),"oui","NON")</f>
        <v>oui</v>
      </c>
      <c r="O169" s="4" t="s">
        <v>733</v>
      </c>
      <c r="P169" s="4" t="s">
        <v>748</v>
      </c>
    </row>
    <row r="170" customFormat="false" ht="15" hidden="false" customHeight="false" outlineLevel="0" collapsed="false">
      <c r="A170" s="4" t="s">
        <v>490</v>
      </c>
      <c r="B170" s="4" t="s">
        <v>42</v>
      </c>
      <c r="C170" s="4" t="s">
        <v>481</v>
      </c>
      <c r="D170" s="4" t="s">
        <v>489</v>
      </c>
      <c r="E170" s="4" t="s">
        <v>735</v>
      </c>
      <c r="F170" s="4" t="s">
        <v>736</v>
      </c>
      <c r="G170" s="9" t="n">
        <v>50</v>
      </c>
      <c r="H170" s="9" t="n">
        <v>0</v>
      </c>
      <c r="I170" s="4" t="n">
        <f aca="false">SUMIFS(Bouches!$M$2:$M$271,Bouches!$S$2:$S$271,A170,Bouches!$C$2:$C$271,"Soufflage")</f>
        <v>50</v>
      </c>
      <c r="J170" s="4" t="n">
        <f aca="false">SUMIFS(Bouches!$M$2:$M$271,Bouches!$S$2:$S$271,A170,Bouches!$C$2:$C$271,"Reprise")</f>
        <v>50</v>
      </c>
      <c r="K170" s="4" t="n">
        <f aca="false">SUMIFS(Bouches!$M$2:$M$271,Bouches!$S$2:$S$271,A170,Bouches!$C$2:$C$271,"Extraction")</f>
        <v>0</v>
      </c>
      <c r="L170" s="4" t="n">
        <v>2</v>
      </c>
      <c r="M170" s="4" t="n">
        <v>1</v>
      </c>
      <c r="N170" s="4" t="str">
        <f aca="false">IF(AND(OR(G170&lt;Hypothèses!$B$6,ABS(I170-G170)&lt;=2),ABS(K170-H170)&lt;=2),"oui","NON")</f>
        <v>oui</v>
      </c>
      <c r="O170" s="4" t="s">
        <v>733</v>
      </c>
      <c r="P170" s="4" t="s">
        <v>749</v>
      </c>
    </row>
    <row r="171" customFormat="false" ht="15" hidden="false" customHeight="false" outlineLevel="0" collapsed="false">
      <c r="A171" s="4" t="s">
        <v>493</v>
      </c>
      <c r="B171" s="4" t="s">
        <v>42</v>
      </c>
      <c r="C171" s="4" t="s">
        <v>481</v>
      </c>
      <c r="D171" s="4" t="s">
        <v>492</v>
      </c>
      <c r="E171" s="4" t="s">
        <v>735</v>
      </c>
      <c r="F171" s="4" t="s">
        <v>736</v>
      </c>
      <c r="G171" s="9" t="n">
        <v>75</v>
      </c>
      <c r="H171" s="9" t="n">
        <v>0</v>
      </c>
      <c r="I171" s="4" t="n">
        <f aca="false">SUMIFS(Bouches!$M$2:$M$271,Bouches!$S$2:$S$271,A171,Bouches!$C$2:$C$271,"Soufflage")</f>
        <v>75</v>
      </c>
      <c r="J171" s="4" t="n">
        <f aca="false">SUMIFS(Bouches!$M$2:$M$271,Bouches!$S$2:$S$271,A171,Bouches!$C$2:$C$271,"Reprise")</f>
        <v>75</v>
      </c>
      <c r="K171" s="4" t="n">
        <f aca="false">SUMIFS(Bouches!$M$2:$M$271,Bouches!$S$2:$S$271,A171,Bouches!$C$2:$C$271,"Extraction")</f>
        <v>0</v>
      </c>
      <c r="L171" s="4" t="n">
        <v>2</v>
      </c>
      <c r="M171" s="4" t="n">
        <v>2</v>
      </c>
      <c r="N171" s="4" t="str">
        <f aca="false">IF(AND(OR(G171&lt;Hypothèses!$B$6,ABS(I171-G171)&lt;=2),ABS(K171-H171)&lt;=2),"oui","NON")</f>
        <v>oui</v>
      </c>
      <c r="O171" s="4"/>
      <c r="P171" s="4" t="s">
        <v>750</v>
      </c>
    </row>
    <row r="172" customFormat="false" ht="15" hidden="false" customHeight="false" outlineLevel="0" collapsed="false">
      <c r="A172" s="4" t="s">
        <v>751</v>
      </c>
      <c r="B172" s="4" t="s">
        <v>42</v>
      </c>
      <c r="C172" s="4" t="s">
        <v>743</v>
      </c>
      <c r="D172" s="4" t="s">
        <v>752</v>
      </c>
      <c r="E172" s="4" t="s">
        <v>745</v>
      </c>
      <c r="F172" s="4" t="s">
        <v>736</v>
      </c>
      <c r="G172" s="9" t="n">
        <v>2</v>
      </c>
      <c r="H172" s="9" t="n">
        <v>0</v>
      </c>
      <c r="I172" s="4" t="n">
        <f aca="false">SUMIFS(Bouches!$M$2:$M$271,Bouches!$S$2:$S$271,A172,Bouches!$C$2:$C$271,"Soufflage")</f>
        <v>0</v>
      </c>
      <c r="J172" s="4" t="n">
        <f aca="false">SUMIFS(Bouches!$M$2:$M$271,Bouches!$S$2:$S$271,A172,Bouches!$C$2:$C$271,"Reprise")</f>
        <v>0</v>
      </c>
      <c r="K172" s="4" t="n">
        <f aca="false">SUMIFS(Bouches!$M$2:$M$271,Bouches!$S$2:$S$271,A172,Bouches!$C$2:$C$271,"Extraction")</f>
        <v>0</v>
      </c>
      <c r="L172" s="4" t="n">
        <v>0</v>
      </c>
      <c r="M172" s="4" t="n">
        <v>0</v>
      </c>
      <c r="N172" s="4" t="str">
        <f aca="false">IF(AND(OR(G172&lt;Hypothèses!$B$6,ABS(I172-G172)&lt;=2),ABS(K172-H172)&lt;=2),"oui","NON")</f>
        <v>oui</v>
      </c>
      <c r="O172" s="4" t="s">
        <v>746</v>
      </c>
      <c r="P172" s="4"/>
    </row>
    <row r="173" customFormat="false" ht="15" hidden="false" customHeight="false" outlineLevel="0" collapsed="false">
      <c r="A173" s="4" t="s">
        <v>753</v>
      </c>
      <c r="B173" s="4" t="s">
        <v>42</v>
      </c>
      <c r="C173" s="4" t="s">
        <v>743</v>
      </c>
      <c r="D173" s="4" t="s">
        <v>752</v>
      </c>
      <c r="E173" s="4" t="s">
        <v>745</v>
      </c>
      <c r="F173" s="4" t="s">
        <v>736</v>
      </c>
      <c r="G173" s="9" t="n">
        <v>3</v>
      </c>
      <c r="H173" s="9" t="n">
        <v>0</v>
      </c>
      <c r="I173" s="4" t="n">
        <f aca="false">SUMIFS(Bouches!$M$2:$M$271,Bouches!$S$2:$S$271,A173,Bouches!$C$2:$C$271,"Soufflage")</f>
        <v>0</v>
      </c>
      <c r="J173" s="4" t="n">
        <f aca="false">SUMIFS(Bouches!$M$2:$M$271,Bouches!$S$2:$S$271,A173,Bouches!$C$2:$C$271,"Reprise")</f>
        <v>0</v>
      </c>
      <c r="K173" s="4" t="n">
        <f aca="false">SUMIFS(Bouches!$M$2:$M$271,Bouches!$S$2:$S$271,A173,Bouches!$C$2:$C$271,"Extraction")</f>
        <v>0</v>
      </c>
      <c r="L173" s="4" t="n">
        <v>0</v>
      </c>
      <c r="M173" s="4" t="n">
        <v>0</v>
      </c>
      <c r="N173" s="4" t="str">
        <f aca="false">IF(AND(OR(G173&lt;Hypothèses!$B$6,ABS(I173-G173)&lt;=2),ABS(K173-H173)&lt;=2),"oui","NON")</f>
        <v>oui</v>
      </c>
      <c r="O173" s="4" t="s">
        <v>746</v>
      </c>
      <c r="P173" s="4"/>
    </row>
    <row r="174" customFormat="false" ht="15" hidden="false" customHeight="false" outlineLevel="0" collapsed="false">
      <c r="A174" s="4" t="s">
        <v>498</v>
      </c>
      <c r="B174" s="4" t="s">
        <v>42</v>
      </c>
      <c r="C174" s="4" t="s">
        <v>495</v>
      </c>
      <c r="D174" s="4" t="s">
        <v>496</v>
      </c>
      <c r="E174" s="4" t="s">
        <v>740</v>
      </c>
      <c r="F174" s="4" t="s">
        <v>736</v>
      </c>
      <c r="G174" s="9" t="n">
        <v>126</v>
      </c>
      <c r="H174" s="9" t="n">
        <v>0</v>
      </c>
      <c r="I174" s="4" t="n">
        <f aca="false">SUMIFS(Bouches!$M$2:$M$271,Bouches!$S$2:$S$271,A174,Bouches!$C$2:$C$271,"Soufflage")</f>
        <v>126</v>
      </c>
      <c r="J174" s="4" t="n">
        <f aca="false">SUMIFS(Bouches!$M$2:$M$271,Bouches!$S$2:$S$271,A174,Bouches!$C$2:$C$271,"Reprise")</f>
        <v>126</v>
      </c>
      <c r="K174" s="4" t="n">
        <f aca="false">SUMIFS(Bouches!$M$2:$M$271,Bouches!$S$2:$S$271,A174,Bouches!$C$2:$C$271,"Extraction")</f>
        <v>0</v>
      </c>
      <c r="L174" s="4" t="n">
        <v>2</v>
      </c>
      <c r="M174" s="4" t="n">
        <v>1</v>
      </c>
      <c r="N174" s="4" t="str">
        <f aca="false">IF(AND(OR(G174&lt;Hypothèses!$B$6,ABS(I174-G174)&lt;=2),ABS(K174-H174)&lt;=2),"oui","NON")</f>
        <v>oui</v>
      </c>
      <c r="O174" s="4" t="s">
        <v>733</v>
      </c>
      <c r="P174" s="4" t="s">
        <v>754</v>
      </c>
    </row>
    <row r="175" customFormat="false" ht="15" hidden="false" customHeight="false" outlineLevel="0" collapsed="false">
      <c r="A175" s="4" t="s">
        <v>501</v>
      </c>
      <c r="B175" s="4" t="s">
        <v>42</v>
      </c>
      <c r="C175" s="4" t="s">
        <v>481</v>
      </c>
      <c r="D175" s="4" t="s">
        <v>500</v>
      </c>
      <c r="E175" s="4" t="s">
        <v>740</v>
      </c>
      <c r="F175" s="4" t="s">
        <v>736</v>
      </c>
      <c r="G175" s="9" t="n">
        <v>108</v>
      </c>
      <c r="H175" s="9" t="n">
        <v>0</v>
      </c>
      <c r="I175" s="4" t="n">
        <f aca="false">SUMIFS(Bouches!$M$2:$M$271,Bouches!$S$2:$S$271,A175,Bouches!$C$2:$C$271,"Soufflage")</f>
        <v>108</v>
      </c>
      <c r="J175" s="4" t="n">
        <f aca="false">SUMIFS(Bouches!$M$2:$M$271,Bouches!$S$2:$S$271,A175,Bouches!$C$2:$C$271,"Reprise")</f>
        <v>108</v>
      </c>
      <c r="K175" s="4" t="n">
        <f aca="false">SUMIFS(Bouches!$M$2:$M$271,Bouches!$S$2:$S$271,A175,Bouches!$C$2:$C$271,"Extraction")</f>
        <v>0</v>
      </c>
      <c r="L175" s="4" t="n">
        <v>2</v>
      </c>
      <c r="M175" s="4" t="n">
        <v>2</v>
      </c>
      <c r="N175" s="4" t="str">
        <f aca="false">IF(AND(OR(G175&lt;Hypothèses!$B$6,ABS(I175-G175)&lt;=2),ABS(K175-H175)&lt;=2),"oui","NON")</f>
        <v>oui</v>
      </c>
      <c r="O175" s="4"/>
      <c r="P175" s="4" t="s">
        <v>755</v>
      </c>
    </row>
    <row r="176" customFormat="false" ht="15" hidden="false" customHeight="false" outlineLevel="0" collapsed="false">
      <c r="A176" s="4" t="s">
        <v>756</v>
      </c>
      <c r="B176" s="4" t="s">
        <v>42</v>
      </c>
      <c r="C176" s="4" t="s">
        <v>757</v>
      </c>
      <c r="D176" s="4" t="s">
        <v>758</v>
      </c>
      <c r="E176" s="4" t="s">
        <v>745</v>
      </c>
      <c r="F176" s="4" t="s">
        <v>736</v>
      </c>
      <c r="G176" s="9" t="n">
        <v>4</v>
      </c>
      <c r="H176" s="9" t="n">
        <v>0</v>
      </c>
      <c r="I176" s="4" t="n">
        <f aca="false">SUMIFS(Bouches!$M$2:$M$271,Bouches!$S$2:$S$271,A176,Bouches!$C$2:$C$271,"Soufflage")</f>
        <v>0</v>
      </c>
      <c r="J176" s="4" t="n">
        <f aca="false">SUMIFS(Bouches!$M$2:$M$271,Bouches!$S$2:$S$271,A176,Bouches!$C$2:$C$271,"Reprise")</f>
        <v>0</v>
      </c>
      <c r="K176" s="4" t="n">
        <f aca="false">SUMIFS(Bouches!$M$2:$M$271,Bouches!$S$2:$S$271,A176,Bouches!$C$2:$C$271,"Extraction")</f>
        <v>0</v>
      </c>
      <c r="L176" s="4" t="n">
        <v>0</v>
      </c>
      <c r="M176" s="4" t="n">
        <v>0</v>
      </c>
      <c r="N176" s="4" t="str">
        <f aca="false">IF(AND(OR(G176&lt;Hypothèses!$B$6,ABS(I176-G176)&lt;=2),ABS(K176-H176)&lt;=2),"oui","NON")</f>
        <v>oui</v>
      </c>
      <c r="O176" s="4" t="s">
        <v>746</v>
      </c>
      <c r="P176" s="4"/>
    </row>
    <row r="177" customFormat="false" ht="15" hidden="false" customHeight="false" outlineLevel="0" collapsed="false">
      <c r="A177" s="4" t="s">
        <v>505</v>
      </c>
      <c r="B177" s="4" t="s">
        <v>42</v>
      </c>
      <c r="C177" s="4" t="s">
        <v>503</v>
      </c>
      <c r="D177" s="4" t="s">
        <v>504</v>
      </c>
      <c r="E177" s="4" t="s">
        <v>740</v>
      </c>
      <c r="F177" s="4" t="s">
        <v>736</v>
      </c>
      <c r="G177" s="9" t="n">
        <v>234</v>
      </c>
      <c r="H177" s="9" t="n">
        <v>0</v>
      </c>
      <c r="I177" s="4" t="n">
        <f aca="false">SUMIFS(Bouches!$M$2:$M$271,Bouches!$S$2:$S$271,A177,Bouches!$C$2:$C$271,"Soufflage")</f>
        <v>234</v>
      </c>
      <c r="J177" s="4" t="n">
        <f aca="false">SUMIFS(Bouches!$M$2:$M$271,Bouches!$S$2:$S$271,A177,Bouches!$C$2:$C$271,"Reprise")</f>
        <v>234</v>
      </c>
      <c r="K177" s="4" t="n">
        <f aca="false">SUMIFS(Bouches!$M$2:$M$271,Bouches!$S$2:$S$271,A177,Bouches!$C$2:$C$271,"Extraction")</f>
        <v>0</v>
      </c>
      <c r="L177" s="4" t="n">
        <v>2</v>
      </c>
      <c r="M177" s="4" t="n">
        <v>1</v>
      </c>
      <c r="N177" s="4" t="str">
        <f aca="false">IF(AND(OR(G177&lt;Hypothèses!$B$6,ABS(I177-G177)&lt;=2),ABS(K177-H177)&lt;=2),"oui","NON")</f>
        <v>oui</v>
      </c>
      <c r="O177" s="4" t="s">
        <v>733</v>
      </c>
      <c r="P177" s="4" t="s">
        <v>759</v>
      </c>
    </row>
    <row r="178" customFormat="false" ht="15" hidden="false" customHeight="false" outlineLevel="0" collapsed="false">
      <c r="A178" s="4" t="s">
        <v>760</v>
      </c>
      <c r="B178" s="4" t="s">
        <v>42</v>
      </c>
      <c r="C178" s="4" t="s">
        <v>684</v>
      </c>
      <c r="D178" s="4" t="s">
        <v>761</v>
      </c>
      <c r="E178" s="4" t="s">
        <v>745</v>
      </c>
      <c r="F178" s="4" t="s">
        <v>736</v>
      </c>
      <c r="G178" s="9" t="n">
        <v>5</v>
      </c>
      <c r="H178" s="9" t="n">
        <v>0</v>
      </c>
      <c r="I178" s="4" t="n">
        <f aca="false">SUMIFS(Bouches!$M$2:$M$271,Bouches!$S$2:$S$271,A178,Bouches!$C$2:$C$271,"Soufflage")</f>
        <v>0</v>
      </c>
      <c r="J178" s="4" t="n">
        <f aca="false">SUMIFS(Bouches!$M$2:$M$271,Bouches!$S$2:$S$271,A178,Bouches!$C$2:$C$271,"Reprise")</f>
        <v>0</v>
      </c>
      <c r="K178" s="4" t="n">
        <f aca="false">SUMIFS(Bouches!$M$2:$M$271,Bouches!$S$2:$S$271,A178,Bouches!$C$2:$C$271,"Extraction")</f>
        <v>0</v>
      </c>
      <c r="L178" s="4" t="n">
        <v>0</v>
      </c>
      <c r="M178" s="4" t="n">
        <v>0</v>
      </c>
      <c r="N178" s="4" t="str">
        <f aca="false">IF(AND(OR(G178&lt;Hypothèses!$B$6,ABS(I178-G178)&lt;=2),ABS(K178-H178)&lt;=2),"oui","NON")</f>
        <v>oui</v>
      </c>
      <c r="O178" s="4" t="s">
        <v>746</v>
      </c>
      <c r="P178" s="4"/>
    </row>
    <row r="179" customFormat="false" ht="15" hidden="false" customHeight="false" outlineLevel="0" collapsed="false">
      <c r="A179" s="4" t="s">
        <v>762</v>
      </c>
      <c r="B179" s="4" t="s">
        <v>42</v>
      </c>
      <c r="C179" s="4" t="s">
        <v>684</v>
      </c>
      <c r="D179" s="4" t="s">
        <v>761</v>
      </c>
      <c r="E179" s="4" t="s">
        <v>745</v>
      </c>
      <c r="F179" s="4" t="s">
        <v>736</v>
      </c>
      <c r="G179" s="9" t="n">
        <v>3</v>
      </c>
      <c r="H179" s="9" t="n">
        <v>0</v>
      </c>
      <c r="I179" s="4" t="n">
        <f aca="false">SUMIFS(Bouches!$M$2:$M$271,Bouches!$S$2:$S$271,A179,Bouches!$C$2:$C$271,"Soufflage")</f>
        <v>0</v>
      </c>
      <c r="J179" s="4" t="n">
        <f aca="false">SUMIFS(Bouches!$M$2:$M$271,Bouches!$S$2:$S$271,A179,Bouches!$C$2:$C$271,"Reprise")</f>
        <v>0</v>
      </c>
      <c r="K179" s="4" t="n">
        <f aca="false">SUMIFS(Bouches!$M$2:$M$271,Bouches!$S$2:$S$271,A179,Bouches!$C$2:$C$271,"Extraction")</f>
        <v>0</v>
      </c>
      <c r="L179" s="4" t="n">
        <v>0</v>
      </c>
      <c r="M179" s="4" t="n">
        <v>0</v>
      </c>
      <c r="N179" s="4" t="str">
        <f aca="false">IF(AND(OR(G179&lt;Hypothèses!$B$6,ABS(I179-G179)&lt;=2),ABS(K179-H179)&lt;=2),"oui","NON")</f>
        <v>oui</v>
      </c>
      <c r="O179" s="4" t="s">
        <v>746</v>
      </c>
      <c r="P179" s="4"/>
    </row>
    <row r="180" customFormat="false" ht="15" hidden="false" customHeight="false" outlineLevel="0" collapsed="false">
      <c r="A180" s="4" t="s">
        <v>763</v>
      </c>
      <c r="B180" s="4" t="s">
        <v>42</v>
      </c>
      <c r="C180" s="4" t="s">
        <v>764</v>
      </c>
      <c r="D180" s="4" t="s">
        <v>765</v>
      </c>
      <c r="E180" s="4" t="s">
        <v>745</v>
      </c>
      <c r="F180" s="4" t="s">
        <v>736</v>
      </c>
      <c r="G180" s="9" t="n">
        <v>5</v>
      </c>
      <c r="H180" s="9" t="n">
        <v>0</v>
      </c>
      <c r="I180" s="4" t="n">
        <f aca="false">SUMIFS(Bouches!$M$2:$M$271,Bouches!$S$2:$S$271,A180,Bouches!$C$2:$C$271,"Soufflage")</f>
        <v>0</v>
      </c>
      <c r="J180" s="4" t="n">
        <f aca="false">SUMIFS(Bouches!$M$2:$M$271,Bouches!$S$2:$S$271,A180,Bouches!$C$2:$C$271,"Reprise")</f>
        <v>0</v>
      </c>
      <c r="K180" s="4" t="n">
        <f aca="false">SUMIFS(Bouches!$M$2:$M$271,Bouches!$S$2:$S$271,A180,Bouches!$C$2:$C$271,"Extraction")</f>
        <v>0</v>
      </c>
      <c r="L180" s="4" t="n">
        <v>0</v>
      </c>
      <c r="M180" s="4" t="n">
        <v>0</v>
      </c>
      <c r="N180" s="4" t="str">
        <f aca="false">IF(AND(OR(G180&lt;Hypothèses!$B$6,ABS(I180-G180)&lt;=2),ABS(K180-H180)&lt;=2),"oui","NON")</f>
        <v>oui</v>
      </c>
      <c r="O180" s="4" t="s">
        <v>746</v>
      </c>
      <c r="P180" s="4"/>
    </row>
    <row r="181" customFormat="false" ht="15" hidden="false" customHeight="false" outlineLevel="0" collapsed="false">
      <c r="A181" s="4" t="s">
        <v>509</v>
      </c>
      <c r="B181" s="4" t="s">
        <v>42</v>
      </c>
      <c r="C181" s="4" t="s">
        <v>507</v>
      </c>
      <c r="D181" s="4" t="s">
        <v>508</v>
      </c>
      <c r="E181" s="4" t="s">
        <v>735</v>
      </c>
      <c r="F181" s="4" t="s">
        <v>736</v>
      </c>
      <c r="G181" s="9" t="n">
        <v>50</v>
      </c>
      <c r="H181" s="9" t="n">
        <v>0</v>
      </c>
      <c r="I181" s="4" t="n">
        <f aca="false">SUMIFS(Bouches!$M$2:$M$271,Bouches!$S$2:$S$271,A181,Bouches!$C$2:$C$271,"Soufflage")</f>
        <v>50</v>
      </c>
      <c r="J181" s="4" t="n">
        <f aca="false">SUMIFS(Bouches!$M$2:$M$271,Bouches!$S$2:$S$271,A181,Bouches!$C$2:$C$271,"Reprise")</f>
        <v>50</v>
      </c>
      <c r="K181" s="4" t="n">
        <f aca="false">SUMIFS(Bouches!$M$2:$M$271,Bouches!$S$2:$S$271,A181,Bouches!$C$2:$C$271,"Extraction")</f>
        <v>0</v>
      </c>
      <c r="L181" s="4" t="n">
        <v>2</v>
      </c>
      <c r="M181" s="4" t="n">
        <v>1</v>
      </c>
      <c r="N181" s="4" t="str">
        <f aca="false">IF(AND(OR(G181&lt;Hypothèses!$B$6,ABS(I181-G181)&lt;=2),ABS(K181-H181)&lt;=2),"oui","NON")</f>
        <v>oui</v>
      </c>
      <c r="O181" s="4" t="s">
        <v>733</v>
      </c>
      <c r="P181" s="4" t="s">
        <v>766</v>
      </c>
    </row>
    <row r="182" customFormat="false" ht="15" hidden="false" customHeight="false" outlineLevel="0" collapsed="false">
      <c r="A182" s="4" t="s">
        <v>512</v>
      </c>
      <c r="B182" s="4" t="s">
        <v>42</v>
      </c>
      <c r="C182" s="4" t="s">
        <v>466</v>
      </c>
      <c r="D182" s="4" t="s">
        <v>511</v>
      </c>
      <c r="E182" s="4" t="s">
        <v>735</v>
      </c>
      <c r="F182" s="4" t="s">
        <v>736</v>
      </c>
      <c r="G182" s="9" t="n">
        <v>75</v>
      </c>
      <c r="H182" s="9" t="n">
        <v>0</v>
      </c>
      <c r="I182" s="4" t="n">
        <f aca="false">SUMIFS(Bouches!$M$2:$M$271,Bouches!$S$2:$S$271,A182,Bouches!$C$2:$C$271,"Soufflage")</f>
        <v>75</v>
      </c>
      <c r="J182" s="4" t="n">
        <f aca="false">SUMIFS(Bouches!$M$2:$M$271,Bouches!$S$2:$S$271,A182,Bouches!$C$2:$C$271,"Reprise")</f>
        <v>75</v>
      </c>
      <c r="K182" s="4" t="n">
        <f aca="false">SUMIFS(Bouches!$M$2:$M$271,Bouches!$S$2:$S$271,A182,Bouches!$C$2:$C$271,"Extraction")</f>
        <v>0</v>
      </c>
      <c r="L182" s="4" t="n">
        <v>2</v>
      </c>
      <c r="M182" s="4" t="n">
        <v>2</v>
      </c>
      <c r="N182" s="4" t="str">
        <f aca="false">IF(AND(OR(G182&lt;Hypothèses!$B$6,ABS(I182-G182)&lt;=2),ABS(K182-H182)&lt;=2),"oui","NON")</f>
        <v>oui</v>
      </c>
      <c r="O182" s="4"/>
      <c r="P182" s="4" t="s">
        <v>767</v>
      </c>
    </row>
    <row r="183" customFormat="false" ht="15" hidden="false" customHeight="false" outlineLevel="0" collapsed="false">
      <c r="A183" s="4" t="s">
        <v>516</v>
      </c>
      <c r="B183" s="4" t="s">
        <v>42</v>
      </c>
      <c r="C183" s="4" t="s">
        <v>514</v>
      </c>
      <c r="D183" s="4" t="s">
        <v>515</v>
      </c>
      <c r="E183" s="4" t="s">
        <v>735</v>
      </c>
      <c r="F183" s="4" t="s">
        <v>736</v>
      </c>
      <c r="G183" s="9" t="n">
        <v>75</v>
      </c>
      <c r="H183" s="9" t="n">
        <v>0</v>
      </c>
      <c r="I183" s="4" t="n">
        <f aca="false">SUMIFS(Bouches!$M$2:$M$271,Bouches!$S$2:$S$271,A183,Bouches!$C$2:$C$271,"Soufflage")</f>
        <v>75</v>
      </c>
      <c r="J183" s="4" t="n">
        <f aca="false">SUMIFS(Bouches!$M$2:$M$271,Bouches!$S$2:$S$271,A183,Bouches!$C$2:$C$271,"Reprise")</f>
        <v>75</v>
      </c>
      <c r="K183" s="4" t="n">
        <f aca="false">SUMIFS(Bouches!$M$2:$M$271,Bouches!$S$2:$S$271,A183,Bouches!$C$2:$C$271,"Extraction")</f>
        <v>0</v>
      </c>
      <c r="L183" s="4" t="n">
        <v>2</v>
      </c>
      <c r="M183" s="4" t="n">
        <v>2</v>
      </c>
      <c r="N183" s="4" t="str">
        <f aca="false">IF(AND(OR(G183&lt;Hypothèses!$B$6,ABS(I183-G183)&lt;=2),ABS(K183-H183)&lt;=2),"oui","NON")</f>
        <v>oui</v>
      </c>
      <c r="O183" s="4"/>
      <c r="P183" s="4" t="s">
        <v>768</v>
      </c>
    </row>
    <row r="184" customFormat="false" ht="15" hidden="false" customHeight="false" outlineLevel="0" collapsed="false">
      <c r="A184" s="4" t="s">
        <v>769</v>
      </c>
      <c r="B184" s="4" t="s">
        <v>42</v>
      </c>
      <c r="C184" s="4" t="s">
        <v>743</v>
      </c>
      <c r="D184" s="4" t="s">
        <v>770</v>
      </c>
      <c r="E184" s="4" t="s">
        <v>745</v>
      </c>
      <c r="F184" s="4" t="s">
        <v>736</v>
      </c>
      <c r="G184" s="9" t="n">
        <v>4</v>
      </c>
      <c r="H184" s="9" t="n">
        <v>0</v>
      </c>
      <c r="I184" s="4" t="n">
        <f aca="false">SUMIFS(Bouches!$M$2:$M$271,Bouches!$S$2:$S$271,A184,Bouches!$C$2:$C$271,"Soufflage")</f>
        <v>0</v>
      </c>
      <c r="J184" s="4" t="n">
        <f aca="false">SUMIFS(Bouches!$M$2:$M$271,Bouches!$S$2:$S$271,A184,Bouches!$C$2:$C$271,"Reprise")</f>
        <v>0</v>
      </c>
      <c r="K184" s="4" t="n">
        <f aca="false">SUMIFS(Bouches!$M$2:$M$271,Bouches!$S$2:$S$271,A184,Bouches!$C$2:$C$271,"Extraction")</f>
        <v>0</v>
      </c>
      <c r="L184" s="4" t="n">
        <v>0</v>
      </c>
      <c r="M184" s="4" t="n">
        <v>0</v>
      </c>
      <c r="N184" s="4" t="str">
        <f aca="false">IF(AND(OR(G184&lt;Hypothèses!$B$6,ABS(I184-G184)&lt;=2),ABS(K184-H184)&lt;=2),"oui","NON")</f>
        <v>oui</v>
      </c>
      <c r="O184" s="4" t="s">
        <v>746</v>
      </c>
      <c r="P184" s="4"/>
    </row>
    <row r="185" customFormat="false" ht="15" hidden="false" customHeight="false" outlineLevel="0" collapsed="false">
      <c r="A185" s="4" t="s">
        <v>771</v>
      </c>
      <c r="B185" s="4" t="s">
        <v>42</v>
      </c>
      <c r="C185" s="4" t="s">
        <v>772</v>
      </c>
      <c r="D185" s="4" t="s">
        <v>773</v>
      </c>
      <c r="E185" s="4" t="s">
        <v>745</v>
      </c>
      <c r="F185" s="4" t="s">
        <v>736</v>
      </c>
      <c r="G185" s="9" t="n">
        <v>6</v>
      </c>
      <c r="H185" s="9" t="n">
        <v>0</v>
      </c>
      <c r="I185" s="4" t="n">
        <f aca="false">SUMIFS(Bouches!$M$2:$M$271,Bouches!$S$2:$S$271,A185,Bouches!$C$2:$C$271,"Soufflage")</f>
        <v>0</v>
      </c>
      <c r="J185" s="4" t="n">
        <f aca="false">SUMIFS(Bouches!$M$2:$M$271,Bouches!$S$2:$S$271,A185,Bouches!$C$2:$C$271,"Reprise")</f>
        <v>0</v>
      </c>
      <c r="K185" s="4" t="n">
        <f aca="false">SUMIFS(Bouches!$M$2:$M$271,Bouches!$S$2:$S$271,A185,Bouches!$C$2:$C$271,"Extraction")</f>
        <v>0</v>
      </c>
      <c r="L185" s="4" t="n">
        <v>0</v>
      </c>
      <c r="M185" s="4" t="n">
        <v>0</v>
      </c>
      <c r="N185" s="4" t="str">
        <f aca="false">IF(AND(OR(G185&lt;Hypothèses!$B$6,ABS(I185-G185)&lt;=2),ABS(K185-H185)&lt;=2),"oui","NON")</f>
        <v>oui</v>
      </c>
      <c r="O185" s="4" t="s">
        <v>746</v>
      </c>
      <c r="P185" s="4"/>
    </row>
    <row r="186" customFormat="false" ht="15" hidden="false" customHeight="false" outlineLevel="0" collapsed="false">
      <c r="A186" s="4" t="s">
        <v>520</v>
      </c>
      <c r="B186" s="4" t="s">
        <v>42</v>
      </c>
      <c r="C186" s="4" t="s">
        <v>518</v>
      </c>
      <c r="D186" s="4" t="s">
        <v>519</v>
      </c>
      <c r="E186" s="4" t="s">
        <v>740</v>
      </c>
      <c r="F186" s="4" t="s">
        <v>736</v>
      </c>
      <c r="G186" s="9" t="n">
        <v>234</v>
      </c>
      <c r="H186" s="9" t="n">
        <v>0</v>
      </c>
      <c r="I186" s="4" t="n">
        <f aca="false">SUMIFS(Bouches!$M$2:$M$271,Bouches!$S$2:$S$271,A186,Bouches!$C$2:$C$271,"Soufflage")</f>
        <v>234</v>
      </c>
      <c r="J186" s="4" t="n">
        <f aca="false">SUMIFS(Bouches!$M$2:$M$271,Bouches!$S$2:$S$271,A186,Bouches!$C$2:$C$271,"Reprise")</f>
        <v>234</v>
      </c>
      <c r="K186" s="4" t="n">
        <f aca="false">SUMIFS(Bouches!$M$2:$M$271,Bouches!$S$2:$S$271,A186,Bouches!$C$2:$C$271,"Extraction")</f>
        <v>0</v>
      </c>
      <c r="L186" s="4" t="n">
        <v>2</v>
      </c>
      <c r="M186" s="4" t="n">
        <v>1</v>
      </c>
      <c r="N186" s="4" t="str">
        <f aca="false">IF(AND(OR(G186&lt;Hypothèses!$B$6,ABS(I186-G186)&lt;=2),ABS(K186-H186)&lt;=2),"oui","NON")</f>
        <v>oui</v>
      </c>
      <c r="O186" s="4" t="s">
        <v>733</v>
      </c>
      <c r="P186" s="4" t="s">
        <v>774</v>
      </c>
    </row>
    <row r="187" customFormat="false" ht="15" hidden="false" customHeight="false" outlineLevel="0" collapsed="false">
      <c r="A187" s="4" t="s">
        <v>524</v>
      </c>
      <c r="B187" s="4" t="s">
        <v>42</v>
      </c>
      <c r="C187" s="4" t="s">
        <v>522</v>
      </c>
      <c r="D187" s="4" t="s">
        <v>523</v>
      </c>
      <c r="E187" s="4" t="s">
        <v>775</v>
      </c>
      <c r="F187" s="4" t="s">
        <v>736</v>
      </c>
      <c r="G187" s="9" t="n">
        <v>2486</v>
      </c>
      <c r="H187" s="9" t="n">
        <v>0</v>
      </c>
      <c r="I187" s="4" t="n">
        <f aca="false">SUMIFS(Bouches!$M$2:$M$271,Bouches!$S$2:$S$271,A187,Bouches!$C$2:$C$271,"Soufflage")</f>
        <v>2485</v>
      </c>
      <c r="J187" s="4" t="n">
        <f aca="false">SUMIFS(Bouches!$M$2:$M$271,Bouches!$S$2:$S$271,A187,Bouches!$C$2:$C$271,"Reprise")</f>
        <v>2485</v>
      </c>
      <c r="K187" s="4" t="n">
        <f aca="false">SUMIFS(Bouches!$M$2:$M$271,Bouches!$S$2:$S$271,A187,Bouches!$C$2:$C$271,"Extraction")</f>
        <v>0</v>
      </c>
      <c r="L187" s="4" t="n">
        <v>14</v>
      </c>
      <c r="M187" s="4" t="n">
        <v>5</v>
      </c>
      <c r="N187" s="4" t="str">
        <f aca="false">IF(AND(OR(G187&lt;Hypothèses!$B$6,ABS(I187-G187)&lt;=2),ABS(K187-H187)&lt;=2),"oui","NON")</f>
        <v>oui</v>
      </c>
      <c r="O187" s="4" t="s">
        <v>776</v>
      </c>
      <c r="P187" s="4" t="s">
        <v>777</v>
      </c>
    </row>
    <row r="188" customFormat="false" ht="15" hidden="false" customHeight="false" outlineLevel="0" collapsed="false">
      <c r="A188" s="4" t="s">
        <v>534</v>
      </c>
      <c r="B188" s="4" t="s">
        <v>42</v>
      </c>
      <c r="C188" s="4" t="s">
        <v>532</v>
      </c>
      <c r="D188" s="4" t="s">
        <v>533</v>
      </c>
      <c r="E188" s="4" t="s">
        <v>735</v>
      </c>
      <c r="F188" s="4" t="s">
        <v>736</v>
      </c>
      <c r="G188" s="9" t="n">
        <v>75</v>
      </c>
      <c r="H188" s="9" t="n">
        <v>0</v>
      </c>
      <c r="I188" s="4" t="n">
        <f aca="false">SUMIFS(Bouches!$M$2:$M$271,Bouches!$S$2:$S$271,A188,Bouches!$C$2:$C$271,"Soufflage")</f>
        <v>75</v>
      </c>
      <c r="J188" s="4" t="n">
        <f aca="false">SUMIFS(Bouches!$M$2:$M$271,Bouches!$S$2:$S$271,A188,Bouches!$C$2:$C$271,"Reprise")</f>
        <v>75</v>
      </c>
      <c r="K188" s="4" t="n">
        <f aca="false">SUMIFS(Bouches!$M$2:$M$271,Bouches!$S$2:$S$271,A188,Bouches!$C$2:$C$271,"Extraction")</f>
        <v>0</v>
      </c>
      <c r="L188" s="4" t="n">
        <v>2</v>
      </c>
      <c r="M188" s="4" t="n">
        <v>2</v>
      </c>
      <c r="N188" s="4" t="str">
        <f aca="false">IF(AND(OR(G188&lt;Hypothèses!$B$6,ABS(I188-G188)&lt;=2),ABS(K188-H188)&lt;=2),"oui","NON")</f>
        <v>oui</v>
      </c>
      <c r="O188" s="4"/>
      <c r="P188" s="4" t="s">
        <v>778</v>
      </c>
    </row>
    <row r="189" customFormat="false" ht="15" hidden="false" customHeight="false" outlineLevel="0" collapsed="false">
      <c r="A189" s="4" t="s">
        <v>779</v>
      </c>
      <c r="B189" s="4" t="s">
        <v>42</v>
      </c>
      <c r="C189" s="4" t="s">
        <v>743</v>
      </c>
      <c r="D189" s="4" t="s">
        <v>780</v>
      </c>
      <c r="E189" s="4" t="s">
        <v>745</v>
      </c>
      <c r="F189" s="4" t="s">
        <v>736</v>
      </c>
      <c r="G189" s="9" t="n">
        <v>2</v>
      </c>
      <c r="H189" s="9" t="n">
        <v>0</v>
      </c>
      <c r="I189" s="4" t="n">
        <f aca="false">SUMIFS(Bouches!$M$2:$M$271,Bouches!$S$2:$S$271,A189,Bouches!$C$2:$C$271,"Soufflage")</f>
        <v>0</v>
      </c>
      <c r="J189" s="4" t="n">
        <f aca="false">SUMIFS(Bouches!$M$2:$M$271,Bouches!$S$2:$S$271,A189,Bouches!$C$2:$C$271,"Reprise")</f>
        <v>0</v>
      </c>
      <c r="K189" s="4" t="n">
        <f aca="false">SUMIFS(Bouches!$M$2:$M$271,Bouches!$S$2:$S$271,A189,Bouches!$C$2:$C$271,"Extraction")</f>
        <v>0</v>
      </c>
      <c r="L189" s="4" t="n">
        <v>0</v>
      </c>
      <c r="M189" s="4" t="n">
        <v>0</v>
      </c>
      <c r="N189" s="4" t="str">
        <f aca="false">IF(AND(OR(G189&lt;Hypothèses!$B$6,ABS(I189-G189)&lt;=2),ABS(K189-H189)&lt;=2),"oui","NON")</f>
        <v>oui</v>
      </c>
      <c r="O189" s="4" t="s">
        <v>746</v>
      </c>
      <c r="P189" s="4"/>
    </row>
    <row r="190" customFormat="false" ht="15" hidden="false" customHeight="false" outlineLevel="0" collapsed="false">
      <c r="A190" s="4" t="s">
        <v>781</v>
      </c>
      <c r="B190" s="4" t="s">
        <v>42</v>
      </c>
      <c r="C190" s="4" t="s">
        <v>743</v>
      </c>
      <c r="D190" s="4" t="s">
        <v>780</v>
      </c>
      <c r="E190" s="4" t="s">
        <v>745</v>
      </c>
      <c r="F190" s="4" t="s">
        <v>736</v>
      </c>
      <c r="G190" s="9" t="n">
        <v>2</v>
      </c>
      <c r="H190" s="9" t="n">
        <v>0</v>
      </c>
      <c r="I190" s="4" t="n">
        <f aca="false">SUMIFS(Bouches!$M$2:$M$271,Bouches!$S$2:$S$271,A190,Bouches!$C$2:$C$271,"Soufflage")</f>
        <v>0</v>
      </c>
      <c r="J190" s="4" t="n">
        <f aca="false">SUMIFS(Bouches!$M$2:$M$271,Bouches!$S$2:$S$271,A190,Bouches!$C$2:$C$271,"Reprise")</f>
        <v>0</v>
      </c>
      <c r="K190" s="4" t="n">
        <f aca="false">SUMIFS(Bouches!$M$2:$M$271,Bouches!$S$2:$S$271,A190,Bouches!$C$2:$C$271,"Extraction")</f>
        <v>0</v>
      </c>
      <c r="L190" s="4" t="n">
        <v>0</v>
      </c>
      <c r="M190" s="4" t="n">
        <v>0</v>
      </c>
      <c r="N190" s="4" t="str">
        <f aca="false">IF(AND(OR(G190&lt;Hypothèses!$B$6,ABS(I190-G190)&lt;=2),ABS(K190-H190)&lt;=2),"oui","NON")</f>
        <v>oui</v>
      </c>
      <c r="O190" s="4" t="s">
        <v>746</v>
      </c>
      <c r="P190" s="4"/>
    </row>
    <row r="191" customFormat="false" ht="15" hidden="false" customHeight="false" outlineLevel="0" collapsed="false">
      <c r="A191" s="4" t="s">
        <v>782</v>
      </c>
      <c r="B191" s="4" t="s">
        <v>42</v>
      </c>
      <c r="C191" s="4" t="s">
        <v>743</v>
      </c>
      <c r="D191" s="4" t="s">
        <v>783</v>
      </c>
      <c r="E191" s="4" t="s">
        <v>745</v>
      </c>
      <c r="F191" s="4" t="s">
        <v>736</v>
      </c>
      <c r="G191" s="9" t="n">
        <v>5</v>
      </c>
      <c r="H191" s="9" t="n">
        <v>0</v>
      </c>
      <c r="I191" s="4" t="n">
        <f aca="false">SUMIFS(Bouches!$M$2:$M$271,Bouches!$S$2:$S$271,A191,Bouches!$C$2:$C$271,"Soufflage")</f>
        <v>0</v>
      </c>
      <c r="J191" s="4" t="n">
        <f aca="false">SUMIFS(Bouches!$M$2:$M$271,Bouches!$S$2:$S$271,A191,Bouches!$C$2:$C$271,"Reprise")</f>
        <v>0</v>
      </c>
      <c r="K191" s="4" t="n">
        <f aca="false">SUMIFS(Bouches!$M$2:$M$271,Bouches!$S$2:$S$271,A191,Bouches!$C$2:$C$271,"Extraction")</f>
        <v>0</v>
      </c>
      <c r="L191" s="4" t="n">
        <v>0</v>
      </c>
      <c r="M191" s="4" t="n">
        <v>0</v>
      </c>
      <c r="N191" s="4" t="str">
        <f aca="false">IF(AND(OR(G191&lt;Hypothèses!$B$6,ABS(I191-G191)&lt;=2),ABS(K191-H191)&lt;=2),"oui","NON")</f>
        <v>oui</v>
      </c>
      <c r="O191" s="4" t="s">
        <v>746</v>
      </c>
      <c r="P191" s="4"/>
    </row>
    <row r="192" customFormat="false" ht="15" hidden="false" customHeight="false" outlineLevel="0" collapsed="false">
      <c r="A192" s="4" t="s">
        <v>784</v>
      </c>
      <c r="B192" s="4" t="s">
        <v>42</v>
      </c>
      <c r="C192" s="4" t="s">
        <v>772</v>
      </c>
      <c r="D192" s="4" t="s">
        <v>785</v>
      </c>
      <c r="E192" s="4" t="s">
        <v>745</v>
      </c>
      <c r="F192" s="4" t="s">
        <v>736</v>
      </c>
      <c r="G192" s="9" t="n">
        <v>21</v>
      </c>
      <c r="H192" s="9" t="n">
        <v>0</v>
      </c>
      <c r="I192" s="4" t="n">
        <f aca="false">SUMIFS(Bouches!$M$2:$M$271,Bouches!$S$2:$S$271,A192,Bouches!$C$2:$C$271,"Soufflage")</f>
        <v>0</v>
      </c>
      <c r="J192" s="4" t="n">
        <f aca="false">SUMIFS(Bouches!$M$2:$M$271,Bouches!$S$2:$S$271,A192,Bouches!$C$2:$C$271,"Reprise")</f>
        <v>0</v>
      </c>
      <c r="K192" s="4" t="n">
        <f aca="false">SUMIFS(Bouches!$M$2:$M$271,Bouches!$S$2:$S$271,A192,Bouches!$C$2:$C$271,"Extraction")</f>
        <v>0</v>
      </c>
      <c r="L192" s="4" t="n">
        <v>0</v>
      </c>
      <c r="M192" s="4" t="n">
        <v>0</v>
      </c>
      <c r="N192" s="4" t="str">
        <f aca="false">IF(AND(OR(G192&lt;Hypothèses!$B$6,ABS(I192-G192)&lt;=2),ABS(K192-H192)&lt;=2),"oui","NON")</f>
        <v>oui</v>
      </c>
      <c r="O192" s="4" t="s">
        <v>746</v>
      </c>
      <c r="P192" s="4"/>
    </row>
    <row r="193" customFormat="false" ht="15" hidden="false" customHeight="false" outlineLevel="0" collapsed="false">
      <c r="A193" s="4" t="s">
        <v>538</v>
      </c>
      <c r="B193" s="4" t="s">
        <v>42</v>
      </c>
      <c r="C193" s="4" t="s">
        <v>536</v>
      </c>
      <c r="D193" s="4" t="s">
        <v>537</v>
      </c>
      <c r="E193" s="4" t="s">
        <v>735</v>
      </c>
      <c r="F193" s="4" t="s">
        <v>736</v>
      </c>
      <c r="G193" s="9" t="n">
        <v>100</v>
      </c>
      <c r="H193" s="9" t="n">
        <v>0</v>
      </c>
      <c r="I193" s="4" t="n">
        <f aca="false">SUMIFS(Bouches!$M$2:$M$271,Bouches!$S$2:$S$271,A193,Bouches!$C$2:$C$271,"Soufflage")</f>
        <v>100</v>
      </c>
      <c r="J193" s="4" t="n">
        <f aca="false">SUMIFS(Bouches!$M$2:$M$271,Bouches!$S$2:$S$271,A193,Bouches!$C$2:$C$271,"Reprise")</f>
        <v>100</v>
      </c>
      <c r="K193" s="4" t="n">
        <f aca="false">SUMIFS(Bouches!$M$2:$M$271,Bouches!$S$2:$S$271,A193,Bouches!$C$2:$C$271,"Extraction")</f>
        <v>0</v>
      </c>
      <c r="L193" s="4" t="n">
        <v>2</v>
      </c>
      <c r="M193" s="4" t="n">
        <v>2</v>
      </c>
      <c r="N193" s="4" t="str">
        <f aca="false">IF(AND(OR(G193&lt;Hypothèses!$B$6,ABS(I193-G193)&lt;=2),ABS(K193-H193)&lt;=2),"oui","NON")</f>
        <v>oui</v>
      </c>
      <c r="O193" s="4"/>
      <c r="P193" s="4" t="s">
        <v>786</v>
      </c>
    </row>
    <row r="194" customFormat="false" ht="15" hidden="false" customHeight="false" outlineLevel="0" collapsed="false">
      <c r="A194" s="4" t="s">
        <v>787</v>
      </c>
      <c r="B194" s="4" t="s">
        <v>42</v>
      </c>
      <c r="C194" s="4" t="s">
        <v>788</v>
      </c>
      <c r="D194" s="4" t="s">
        <v>789</v>
      </c>
      <c r="E194" s="4" t="s">
        <v>745</v>
      </c>
      <c r="F194" s="4" t="s">
        <v>736</v>
      </c>
      <c r="G194" s="9" t="n">
        <v>4</v>
      </c>
      <c r="H194" s="9" t="n">
        <v>0</v>
      </c>
      <c r="I194" s="4" t="n">
        <f aca="false">SUMIFS(Bouches!$M$2:$M$271,Bouches!$S$2:$S$271,A194,Bouches!$C$2:$C$271,"Soufflage")</f>
        <v>0</v>
      </c>
      <c r="J194" s="4" t="n">
        <f aca="false">SUMIFS(Bouches!$M$2:$M$271,Bouches!$S$2:$S$271,A194,Bouches!$C$2:$C$271,"Reprise")</f>
        <v>0</v>
      </c>
      <c r="K194" s="4" t="n">
        <f aca="false">SUMIFS(Bouches!$M$2:$M$271,Bouches!$S$2:$S$271,A194,Bouches!$C$2:$C$271,"Extraction")</f>
        <v>0</v>
      </c>
      <c r="L194" s="4" t="n">
        <v>0</v>
      </c>
      <c r="M194" s="4" t="n">
        <v>0</v>
      </c>
      <c r="N194" s="4" t="str">
        <f aca="false">IF(AND(OR(G194&lt;Hypothèses!$B$6,ABS(I194-G194)&lt;=2),ABS(K194-H194)&lt;=2),"oui","NON")</f>
        <v>oui</v>
      </c>
      <c r="O194" s="4" t="s">
        <v>746</v>
      </c>
      <c r="P194" s="4"/>
    </row>
    <row r="195" customFormat="false" ht="15" hidden="false" customHeight="false" outlineLevel="0" collapsed="false">
      <c r="A195" s="4" t="s">
        <v>790</v>
      </c>
      <c r="B195" s="4" t="s">
        <v>91</v>
      </c>
      <c r="C195" s="4" t="s">
        <v>743</v>
      </c>
      <c r="D195" s="4" t="s">
        <v>744</v>
      </c>
      <c r="E195" s="4" t="s">
        <v>745</v>
      </c>
      <c r="F195" s="4" t="s">
        <v>736</v>
      </c>
      <c r="G195" s="9" t="n">
        <v>2</v>
      </c>
      <c r="H195" s="9" t="n">
        <v>0</v>
      </c>
      <c r="I195" s="4" t="n">
        <f aca="false">SUMIFS(Bouches!$M$2:$M$271,Bouches!$S$2:$S$271,A195,Bouches!$C$2:$C$271,"Soufflage")</f>
        <v>0</v>
      </c>
      <c r="J195" s="4" t="n">
        <f aca="false">SUMIFS(Bouches!$M$2:$M$271,Bouches!$S$2:$S$271,A195,Bouches!$C$2:$C$271,"Reprise")</f>
        <v>0</v>
      </c>
      <c r="K195" s="4" t="n">
        <f aca="false">SUMIFS(Bouches!$M$2:$M$271,Bouches!$S$2:$S$271,A195,Bouches!$C$2:$C$271,"Extraction")</f>
        <v>0</v>
      </c>
      <c r="L195" s="4" t="n">
        <v>0</v>
      </c>
      <c r="M195" s="4" t="n">
        <v>0</v>
      </c>
      <c r="N195" s="4" t="str">
        <f aca="false">IF(AND(OR(G195&lt;Hypothèses!$B$6,ABS(I195-G195)&lt;=2),ABS(K195-H195)&lt;=2),"oui","NON")</f>
        <v>oui</v>
      </c>
      <c r="O195" s="4" t="s">
        <v>746</v>
      </c>
      <c r="P195" s="4"/>
    </row>
    <row r="196" customFormat="false" ht="15" hidden="false" customHeight="false" outlineLevel="0" collapsed="false">
      <c r="A196" s="4" t="s">
        <v>542</v>
      </c>
      <c r="B196" s="4" t="s">
        <v>91</v>
      </c>
      <c r="C196" s="4" t="s">
        <v>540</v>
      </c>
      <c r="D196" s="4" t="s">
        <v>541</v>
      </c>
      <c r="E196" s="4" t="s">
        <v>735</v>
      </c>
      <c r="F196" s="4" t="s">
        <v>736</v>
      </c>
      <c r="G196" s="9" t="n">
        <v>25</v>
      </c>
      <c r="H196" s="9" t="n">
        <v>0</v>
      </c>
      <c r="I196" s="4" t="n">
        <f aca="false">SUMIFS(Bouches!$M$2:$M$271,Bouches!$S$2:$S$271,A196,Bouches!$C$2:$C$271,"Soufflage")</f>
        <v>25</v>
      </c>
      <c r="J196" s="4" t="n">
        <f aca="false">SUMIFS(Bouches!$M$2:$M$271,Bouches!$S$2:$S$271,A196,Bouches!$C$2:$C$271,"Reprise")</f>
        <v>25</v>
      </c>
      <c r="K196" s="4" t="n">
        <f aca="false">SUMIFS(Bouches!$M$2:$M$271,Bouches!$S$2:$S$271,A196,Bouches!$C$2:$C$271,"Extraction")</f>
        <v>0</v>
      </c>
      <c r="L196" s="4" t="n">
        <v>2</v>
      </c>
      <c r="M196" s="4" t="n">
        <v>2</v>
      </c>
      <c r="N196" s="4" t="str">
        <f aca="false">IF(AND(OR(G196&lt;Hypothèses!$B$6,ABS(I196-G196)&lt;=2),ABS(K196-H196)&lt;=2),"oui","NON")</f>
        <v>oui</v>
      </c>
      <c r="O196" s="4"/>
      <c r="P196" s="4" t="s">
        <v>791</v>
      </c>
    </row>
    <row r="197" customFormat="false" ht="15" hidden="false" customHeight="false" outlineLevel="0" collapsed="false">
      <c r="A197" s="4" t="s">
        <v>792</v>
      </c>
      <c r="B197" s="4" t="s">
        <v>91</v>
      </c>
      <c r="C197" s="4" t="s">
        <v>743</v>
      </c>
      <c r="D197" s="4" t="s">
        <v>752</v>
      </c>
      <c r="E197" s="4" t="s">
        <v>745</v>
      </c>
      <c r="F197" s="4" t="s">
        <v>736</v>
      </c>
      <c r="G197" s="9" t="n">
        <v>2</v>
      </c>
      <c r="H197" s="9" t="n">
        <v>0</v>
      </c>
      <c r="I197" s="4" t="n">
        <f aca="false">SUMIFS(Bouches!$M$2:$M$271,Bouches!$S$2:$S$271,A197,Bouches!$C$2:$C$271,"Soufflage")</f>
        <v>0</v>
      </c>
      <c r="J197" s="4" t="n">
        <f aca="false">SUMIFS(Bouches!$M$2:$M$271,Bouches!$S$2:$S$271,A197,Bouches!$C$2:$C$271,"Reprise")</f>
        <v>0</v>
      </c>
      <c r="K197" s="4" t="n">
        <f aca="false">SUMIFS(Bouches!$M$2:$M$271,Bouches!$S$2:$S$271,A197,Bouches!$C$2:$C$271,"Extraction")</f>
        <v>0</v>
      </c>
      <c r="L197" s="4" t="n">
        <v>0</v>
      </c>
      <c r="M197" s="4" t="n">
        <v>0</v>
      </c>
      <c r="N197" s="4" t="str">
        <f aca="false">IF(AND(OR(G197&lt;Hypothèses!$B$6,ABS(I197-G197)&lt;=2),ABS(K197-H197)&lt;=2),"oui","NON")</f>
        <v>oui</v>
      </c>
      <c r="O197" s="4" t="s">
        <v>746</v>
      </c>
      <c r="P197" s="4"/>
    </row>
    <row r="198" customFormat="false" ht="15" hidden="false" customHeight="false" outlineLevel="0" collapsed="false">
      <c r="A198" s="4" t="s">
        <v>546</v>
      </c>
      <c r="B198" s="4" t="s">
        <v>91</v>
      </c>
      <c r="C198" s="4" t="s">
        <v>544</v>
      </c>
      <c r="D198" s="4" t="s">
        <v>545</v>
      </c>
      <c r="E198" s="4" t="s">
        <v>740</v>
      </c>
      <c r="F198" s="4" t="s">
        <v>736</v>
      </c>
      <c r="G198" s="9" t="n">
        <v>108</v>
      </c>
      <c r="H198" s="9" t="n">
        <v>0</v>
      </c>
      <c r="I198" s="4" t="n">
        <f aca="false">SUMIFS(Bouches!$M$2:$M$271,Bouches!$S$2:$S$271,A198,Bouches!$C$2:$C$271,"Soufflage")</f>
        <v>108</v>
      </c>
      <c r="J198" s="4" t="n">
        <f aca="false">SUMIFS(Bouches!$M$2:$M$271,Bouches!$S$2:$S$271,A198,Bouches!$C$2:$C$271,"Reprise")</f>
        <v>108</v>
      </c>
      <c r="K198" s="4" t="n">
        <f aca="false">SUMIFS(Bouches!$M$2:$M$271,Bouches!$S$2:$S$271,A198,Bouches!$C$2:$C$271,"Extraction")</f>
        <v>0</v>
      </c>
      <c r="L198" s="4" t="n">
        <v>2</v>
      </c>
      <c r="M198" s="4" t="n">
        <v>0</v>
      </c>
      <c r="N198" s="4" t="str">
        <f aca="false">IF(AND(OR(G198&lt;Hypothèses!$B$6,ABS(I198-G198)&lt;=2),ABS(K198-H198)&lt;=2),"oui","NON")</f>
        <v>oui</v>
      </c>
      <c r="O198" s="4" t="s">
        <v>793</v>
      </c>
      <c r="P198" s="4" t="s">
        <v>794</v>
      </c>
    </row>
    <row r="199" customFormat="false" ht="15" hidden="false" customHeight="false" outlineLevel="0" collapsed="false">
      <c r="A199" s="4" t="s">
        <v>795</v>
      </c>
      <c r="B199" s="4" t="s">
        <v>91</v>
      </c>
      <c r="C199" s="4" t="s">
        <v>616</v>
      </c>
      <c r="D199" s="4" t="s">
        <v>761</v>
      </c>
      <c r="E199" s="4" t="s">
        <v>745</v>
      </c>
      <c r="F199" s="4" t="s">
        <v>736</v>
      </c>
      <c r="G199" s="9" t="n">
        <v>2</v>
      </c>
      <c r="H199" s="9" t="n">
        <v>0</v>
      </c>
      <c r="I199" s="4" t="n">
        <f aca="false">SUMIFS(Bouches!$M$2:$M$271,Bouches!$S$2:$S$271,A199,Bouches!$C$2:$C$271,"Soufflage")</f>
        <v>0</v>
      </c>
      <c r="J199" s="4" t="n">
        <f aca="false">SUMIFS(Bouches!$M$2:$M$271,Bouches!$S$2:$S$271,A199,Bouches!$C$2:$C$271,"Reprise")</f>
        <v>0</v>
      </c>
      <c r="K199" s="4" t="n">
        <f aca="false">SUMIFS(Bouches!$M$2:$M$271,Bouches!$S$2:$S$271,A199,Bouches!$C$2:$C$271,"Extraction")</f>
        <v>0</v>
      </c>
      <c r="L199" s="4" t="n">
        <v>0</v>
      </c>
      <c r="M199" s="4" t="n">
        <v>0</v>
      </c>
      <c r="N199" s="4" t="str">
        <f aca="false">IF(AND(OR(G199&lt;Hypothèses!$B$6,ABS(I199-G199)&lt;=2),ABS(K199-H199)&lt;=2),"oui","NON")</f>
        <v>oui</v>
      </c>
      <c r="O199" s="4" t="s">
        <v>746</v>
      </c>
      <c r="P199" s="4"/>
    </row>
    <row r="200" customFormat="false" ht="15" hidden="false" customHeight="false" outlineLevel="0" collapsed="false">
      <c r="A200" s="4" t="s">
        <v>796</v>
      </c>
      <c r="B200" s="4" t="s">
        <v>91</v>
      </c>
      <c r="C200" s="4" t="s">
        <v>684</v>
      </c>
      <c r="D200" s="4" t="s">
        <v>761</v>
      </c>
      <c r="E200" s="4" t="s">
        <v>745</v>
      </c>
      <c r="F200" s="4" t="s">
        <v>736</v>
      </c>
      <c r="G200" s="9" t="n">
        <v>3</v>
      </c>
      <c r="H200" s="9" t="n">
        <v>0</v>
      </c>
      <c r="I200" s="4" t="n">
        <f aca="false">SUMIFS(Bouches!$M$2:$M$271,Bouches!$S$2:$S$271,A200,Bouches!$C$2:$C$271,"Soufflage")</f>
        <v>0</v>
      </c>
      <c r="J200" s="4" t="n">
        <f aca="false">SUMIFS(Bouches!$M$2:$M$271,Bouches!$S$2:$S$271,A200,Bouches!$C$2:$C$271,"Reprise")</f>
        <v>0</v>
      </c>
      <c r="K200" s="4" t="n">
        <f aca="false">SUMIFS(Bouches!$M$2:$M$271,Bouches!$S$2:$S$271,A200,Bouches!$C$2:$C$271,"Extraction")</f>
        <v>0</v>
      </c>
      <c r="L200" s="4" t="n">
        <v>0</v>
      </c>
      <c r="M200" s="4" t="n">
        <v>0</v>
      </c>
      <c r="N200" s="4" t="str">
        <f aca="false">IF(AND(OR(G200&lt;Hypothèses!$B$6,ABS(I200-G200)&lt;=2),ABS(K200-H200)&lt;=2),"oui","NON")</f>
        <v>oui</v>
      </c>
      <c r="O200" s="4" t="s">
        <v>746</v>
      </c>
      <c r="P200" s="4"/>
    </row>
    <row r="201" customFormat="false" ht="15" hidden="false" customHeight="false" outlineLevel="0" collapsed="false">
      <c r="A201" s="4" t="s">
        <v>797</v>
      </c>
      <c r="B201" s="4" t="s">
        <v>91</v>
      </c>
      <c r="C201" s="4" t="s">
        <v>772</v>
      </c>
      <c r="D201" s="4" t="s">
        <v>773</v>
      </c>
      <c r="E201" s="4" t="s">
        <v>745</v>
      </c>
      <c r="F201" s="4" t="s">
        <v>736</v>
      </c>
      <c r="G201" s="9" t="n">
        <v>2</v>
      </c>
      <c r="H201" s="9" t="n">
        <v>0</v>
      </c>
      <c r="I201" s="4" t="n">
        <f aca="false">SUMIFS(Bouches!$M$2:$M$271,Bouches!$S$2:$S$271,A201,Bouches!$C$2:$C$271,"Soufflage")</f>
        <v>0</v>
      </c>
      <c r="J201" s="4" t="n">
        <f aca="false">SUMIFS(Bouches!$M$2:$M$271,Bouches!$S$2:$S$271,A201,Bouches!$C$2:$C$271,"Reprise")</f>
        <v>0</v>
      </c>
      <c r="K201" s="4" t="n">
        <f aca="false">SUMIFS(Bouches!$M$2:$M$271,Bouches!$S$2:$S$271,A201,Bouches!$C$2:$C$271,"Extraction")</f>
        <v>0</v>
      </c>
      <c r="L201" s="4" t="n">
        <v>0</v>
      </c>
      <c r="M201" s="4" t="n">
        <v>0</v>
      </c>
      <c r="N201" s="4" t="str">
        <f aca="false">IF(AND(OR(G201&lt;Hypothèses!$B$6,ABS(I201-G201)&lt;=2),ABS(K201-H201)&lt;=2),"oui","NON")</f>
        <v>oui</v>
      </c>
      <c r="O201" s="4" t="s">
        <v>746</v>
      </c>
      <c r="P201" s="4"/>
    </row>
    <row r="202" customFormat="false" ht="15" hidden="false" customHeight="false" outlineLevel="0" collapsed="false">
      <c r="A202" s="4" t="s">
        <v>798</v>
      </c>
      <c r="B202" s="4" t="s">
        <v>91</v>
      </c>
      <c r="C202" s="4" t="s">
        <v>772</v>
      </c>
      <c r="D202" s="4" t="s">
        <v>773</v>
      </c>
      <c r="E202" s="4" t="s">
        <v>745</v>
      </c>
      <c r="F202" s="4" t="s">
        <v>736</v>
      </c>
      <c r="G202" s="9" t="n">
        <v>6</v>
      </c>
      <c r="H202" s="9" t="n">
        <v>0</v>
      </c>
      <c r="I202" s="4" t="n">
        <f aca="false">SUMIFS(Bouches!$M$2:$M$271,Bouches!$S$2:$S$271,A202,Bouches!$C$2:$C$271,"Soufflage")</f>
        <v>0</v>
      </c>
      <c r="J202" s="4" t="n">
        <f aca="false">SUMIFS(Bouches!$M$2:$M$271,Bouches!$S$2:$S$271,A202,Bouches!$C$2:$C$271,"Reprise")</f>
        <v>0</v>
      </c>
      <c r="K202" s="4" t="n">
        <f aca="false">SUMIFS(Bouches!$M$2:$M$271,Bouches!$S$2:$S$271,A202,Bouches!$C$2:$C$271,"Extraction")</f>
        <v>0</v>
      </c>
      <c r="L202" s="4" t="n">
        <v>0</v>
      </c>
      <c r="M202" s="4" t="n">
        <v>0</v>
      </c>
      <c r="N202" s="4" t="str">
        <f aca="false">IF(AND(OR(G202&lt;Hypothèses!$B$6,ABS(I202-G202)&lt;=2),ABS(K202-H202)&lt;=2),"oui","NON")</f>
        <v>oui</v>
      </c>
      <c r="O202" s="4" t="s">
        <v>746</v>
      </c>
      <c r="P202" s="4"/>
    </row>
    <row r="203" customFormat="false" ht="15" hidden="false" customHeight="false" outlineLevel="0" collapsed="false">
      <c r="A203" s="4" t="s">
        <v>799</v>
      </c>
      <c r="B203" s="4" t="s">
        <v>91</v>
      </c>
      <c r="C203" s="4" t="s">
        <v>772</v>
      </c>
      <c r="D203" s="4" t="s">
        <v>773</v>
      </c>
      <c r="E203" s="4" t="s">
        <v>745</v>
      </c>
      <c r="F203" s="4" t="s">
        <v>736</v>
      </c>
      <c r="G203" s="9" t="n">
        <v>8</v>
      </c>
      <c r="H203" s="9" t="n">
        <v>0</v>
      </c>
      <c r="I203" s="4" t="n">
        <f aca="false">SUMIFS(Bouches!$M$2:$M$271,Bouches!$S$2:$S$271,A203,Bouches!$C$2:$C$271,"Soufflage")</f>
        <v>0</v>
      </c>
      <c r="J203" s="4" t="n">
        <f aca="false">SUMIFS(Bouches!$M$2:$M$271,Bouches!$S$2:$S$271,A203,Bouches!$C$2:$C$271,"Reprise")</f>
        <v>0</v>
      </c>
      <c r="K203" s="4" t="n">
        <f aca="false">SUMIFS(Bouches!$M$2:$M$271,Bouches!$S$2:$S$271,A203,Bouches!$C$2:$C$271,"Extraction")</f>
        <v>0</v>
      </c>
      <c r="L203" s="4" t="n">
        <v>0</v>
      </c>
      <c r="M203" s="4" t="n">
        <v>0</v>
      </c>
      <c r="N203" s="4" t="str">
        <f aca="false">IF(AND(OR(G203&lt;Hypothèses!$B$6,ABS(I203-G203)&lt;=2),ABS(K203-H203)&lt;=2),"oui","NON")</f>
        <v>oui</v>
      </c>
      <c r="O203" s="4" t="s">
        <v>746</v>
      </c>
      <c r="P203" s="4"/>
    </row>
    <row r="204" customFormat="false" ht="15" hidden="false" customHeight="false" outlineLevel="0" collapsed="false">
      <c r="A204" s="4" t="s">
        <v>800</v>
      </c>
      <c r="B204" s="4" t="s">
        <v>91</v>
      </c>
      <c r="C204" s="4" t="s">
        <v>772</v>
      </c>
      <c r="D204" s="4" t="s">
        <v>801</v>
      </c>
      <c r="E204" s="4" t="s">
        <v>745</v>
      </c>
      <c r="F204" s="4" t="s">
        <v>736</v>
      </c>
      <c r="G204" s="9" t="n">
        <v>2</v>
      </c>
      <c r="H204" s="9" t="n">
        <v>0</v>
      </c>
      <c r="I204" s="4" t="n">
        <f aca="false">SUMIFS(Bouches!$M$2:$M$271,Bouches!$S$2:$S$271,A204,Bouches!$C$2:$C$271,"Soufflage")</f>
        <v>0</v>
      </c>
      <c r="J204" s="4" t="n">
        <f aca="false">SUMIFS(Bouches!$M$2:$M$271,Bouches!$S$2:$S$271,A204,Bouches!$C$2:$C$271,"Reprise")</f>
        <v>0</v>
      </c>
      <c r="K204" s="4" t="n">
        <f aca="false">SUMIFS(Bouches!$M$2:$M$271,Bouches!$S$2:$S$271,A204,Bouches!$C$2:$C$271,"Extraction")</f>
        <v>0</v>
      </c>
      <c r="L204" s="4" t="n">
        <v>0</v>
      </c>
      <c r="M204" s="4" t="n">
        <v>0</v>
      </c>
      <c r="N204" s="4" t="str">
        <f aca="false">IF(AND(OR(G204&lt;Hypothèses!$B$6,ABS(I204-G204)&lt;=2),ABS(K204-H204)&lt;=2),"oui","NON")</f>
        <v>oui</v>
      </c>
      <c r="O204" s="4" t="s">
        <v>746</v>
      </c>
      <c r="P204" s="4"/>
    </row>
    <row r="205" customFormat="false" ht="15" hidden="false" customHeight="false" outlineLevel="0" collapsed="false">
      <c r="A205" s="4" t="s">
        <v>549</v>
      </c>
      <c r="B205" s="4" t="s">
        <v>91</v>
      </c>
      <c r="C205" s="4" t="s">
        <v>548</v>
      </c>
      <c r="D205" s="4" t="s">
        <v>523</v>
      </c>
      <c r="E205" s="4" t="s">
        <v>775</v>
      </c>
      <c r="F205" s="4" t="s">
        <v>736</v>
      </c>
      <c r="G205" s="9" t="n">
        <v>440</v>
      </c>
      <c r="H205" s="9" t="n">
        <v>0</v>
      </c>
      <c r="I205" s="4" t="n">
        <f aca="false">SUMIFS(Bouches!$M$2:$M$271,Bouches!$S$2:$S$271,A205,Bouches!$C$2:$C$271,"Soufflage")</f>
        <v>440</v>
      </c>
      <c r="J205" s="4" t="n">
        <f aca="false">SUMIFS(Bouches!$M$2:$M$271,Bouches!$S$2:$S$271,A205,Bouches!$C$2:$C$271,"Reprise")</f>
        <v>440</v>
      </c>
      <c r="K205" s="4" t="n">
        <f aca="false">SUMIFS(Bouches!$M$2:$M$271,Bouches!$S$2:$S$271,A205,Bouches!$C$2:$C$271,"Extraction")</f>
        <v>0</v>
      </c>
      <c r="L205" s="4" t="n">
        <v>4</v>
      </c>
      <c r="M205" s="4" t="n">
        <v>2</v>
      </c>
      <c r="N205" s="4" t="str">
        <f aca="false">IF(AND(OR(G205&lt;Hypothèses!$B$6,ABS(I205-G205)&lt;=2),ABS(K205-H205)&lt;=2),"oui","NON")</f>
        <v>oui</v>
      </c>
      <c r="O205" s="4" t="s">
        <v>793</v>
      </c>
      <c r="P205" s="4" t="s">
        <v>802</v>
      </c>
    </row>
    <row r="206" customFormat="false" ht="15" hidden="false" customHeight="false" outlineLevel="0" collapsed="false">
      <c r="A206" s="4" t="s">
        <v>554</v>
      </c>
      <c r="B206" s="4" t="s">
        <v>91</v>
      </c>
      <c r="C206" s="4" t="s">
        <v>552</v>
      </c>
      <c r="D206" s="4" t="s">
        <v>553</v>
      </c>
      <c r="E206" s="4" t="s">
        <v>775</v>
      </c>
      <c r="F206" s="4" t="s">
        <v>736</v>
      </c>
      <c r="G206" s="9" t="n">
        <v>726</v>
      </c>
      <c r="H206" s="9" t="n">
        <v>0</v>
      </c>
      <c r="I206" s="4" t="n">
        <f aca="false">SUMIFS(Bouches!$M$2:$M$271,Bouches!$S$2:$S$271,A206,Bouches!$C$2:$C$271,"Soufflage")</f>
        <v>726</v>
      </c>
      <c r="J206" s="4" t="n">
        <f aca="false">SUMIFS(Bouches!$M$2:$M$271,Bouches!$S$2:$S$271,A206,Bouches!$C$2:$C$271,"Reprise")</f>
        <v>726</v>
      </c>
      <c r="K206" s="4" t="n">
        <f aca="false">SUMIFS(Bouches!$M$2:$M$271,Bouches!$S$2:$S$271,A206,Bouches!$C$2:$C$271,"Extraction")</f>
        <v>0</v>
      </c>
      <c r="L206" s="4" t="n">
        <v>4</v>
      </c>
      <c r="M206" s="4" t="n">
        <v>2</v>
      </c>
      <c r="N206" s="4" t="str">
        <f aca="false">IF(AND(OR(G206&lt;Hypothèses!$B$6,ABS(I206-G206)&lt;=2),ABS(K206-H206)&lt;=2),"oui","NON")</f>
        <v>oui</v>
      </c>
      <c r="O206" s="4" t="s">
        <v>793</v>
      </c>
      <c r="P206" s="4" t="s">
        <v>803</v>
      </c>
    </row>
    <row r="207" customFormat="false" ht="15" hidden="false" customHeight="false" outlineLevel="0" collapsed="false">
      <c r="A207" s="4" t="s">
        <v>557</v>
      </c>
      <c r="B207" s="4" t="s">
        <v>91</v>
      </c>
      <c r="C207" s="4" t="s">
        <v>552</v>
      </c>
      <c r="D207" s="4" t="s">
        <v>553</v>
      </c>
      <c r="E207" s="4" t="s">
        <v>775</v>
      </c>
      <c r="F207" s="4" t="s">
        <v>736</v>
      </c>
      <c r="G207" s="9" t="n">
        <v>704</v>
      </c>
      <c r="H207" s="9" t="n">
        <v>0</v>
      </c>
      <c r="I207" s="4" t="n">
        <f aca="false">SUMIFS(Bouches!$M$2:$M$271,Bouches!$S$2:$S$271,A207,Bouches!$C$2:$C$271,"Soufflage")</f>
        <v>704</v>
      </c>
      <c r="J207" s="4" t="n">
        <f aca="false">SUMIFS(Bouches!$M$2:$M$271,Bouches!$S$2:$S$271,A207,Bouches!$C$2:$C$271,"Reprise")</f>
        <v>704</v>
      </c>
      <c r="K207" s="4" t="n">
        <f aca="false">SUMIFS(Bouches!$M$2:$M$271,Bouches!$S$2:$S$271,A207,Bouches!$C$2:$C$271,"Extraction")</f>
        <v>0</v>
      </c>
      <c r="L207" s="4" t="n">
        <v>4</v>
      </c>
      <c r="M207" s="4" t="n">
        <v>1</v>
      </c>
      <c r="N207" s="4" t="str">
        <f aca="false">IF(AND(OR(G207&lt;Hypothèses!$B$6,ABS(I207-G207)&lt;=2),ABS(K207-H207)&lt;=2),"oui","NON")</f>
        <v>oui</v>
      </c>
      <c r="O207" s="4" t="s">
        <v>804</v>
      </c>
      <c r="P207" s="4" t="s">
        <v>805</v>
      </c>
    </row>
    <row r="208" customFormat="false" ht="15" hidden="false" customHeight="false" outlineLevel="0" collapsed="false">
      <c r="A208" s="4" t="s">
        <v>599</v>
      </c>
      <c r="B208" s="4" t="s">
        <v>42</v>
      </c>
      <c r="C208" s="4" t="s">
        <v>594</v>
      </c>
      <c r="D208" s="4" t="s">
        <v>595</v>
      </c>
      <c r="E208" s="4" t="s">
        <v>806</v>
      </c>
      <c r="F208" s="4" t="s">
        <v>807</v>
      </c>
      <c r="G208" s="9" t="n">
        <v>0</v>
      </c>
      <c r="H208" s="9" t="n">
        <v>30</v>
      </c>
      <c r="I208" s="4" t="n">
        <f aca="false">SUMIFS(Bouches!$M$2:$M$271,Bouches!$S$2:$S$271,A208,Bouches!$C$2:$C$271,"Soufflage")</f>
        <v>0</v>
      </c>
      <c r="J208" s="4" t="n">
        <f aca="false">SUMIFS(Bouches!$M$2:$M$271,Bouches!$S$2:$S$271,A208,Bouches!$C$2:$C$271,"Reprise")</f>
        <v>0</v>
      </c>
      <c r="K208" s="4" t="n">
        <f aca="false">SUMIFS(Bouches!$M$2:$M$271,Bouches!$S$2:$S$271,A208,Bouches!$C$2:$C$271,"Extraction")</f>
        <v>30</v>
      </c>
      <c r="L208" s="4" t="n">
        <v>1</v>
      </c>
      <c r="M208" s="4" t="n">
        <v>0</v>
      </c>
      <c r="N208" s="4" t="str">
        <f aca="false">IF(AND(OR(G208&lt;Hypothèses!$B$6,ABS(I208-G208)&lt;=2),ABS(K208-H208)&lt;=2),"oui","NON")</f>
        <v>oui</v>
      </c>
      <c r="O208" s="4" t="s">
        <v>733</v>
      </c>
      <c r="P208" s="4" t="s">
        <v>593</v>
      </c>
    </row>
    <row r="209" customFormat="false" ht="15" hidden="false" customHeight="false" outlineLevel="0" collapsed="false">
      <c r="A209" s="4" t="s">
        <v>603</v>
      </c>
      <c r="B209" s="4" t="s">
        <v>42</v>
      </c>
      <c r="C209" s="4" t="s">
        <v>594</v>
      </c>
      <c r="D209" s="4" t="s">
        <v>601</v>
      </c>
      <c r="E209" s="4" t="s">
        <v>806</v>
      </c>
      <c r="F209" s="4" t="s">
        <v>807</v>
      </c>
      <c r="G209" s="9" t="n">
        <v>0</v>
      </c>
      <c r="H209" s="9" t="n">
        <v>30</v>
      </c>
      <c r="I209" s="4" t="n">
        <f aca="false">SUMIFS(Bouches!$M$2:$M$271,Bouches!$S$2:$S$271,A209,Bouches!$C$2:$C$271,"Soufflage")</f>
        <v>0</v>
      </c>
      <c r="J209" s="4" t="n">
        <f aca="false">SUMIFS(Bouches!$M$2:$M$271,Bouches!$S$2:$S$271,A209,Bouches!$C$2:$C$271,"Reprise")</f>
        <v>0</v>
      </c>
      <c r="K209" s="4" t="n">
        <f aca="false">SUMIFS(Bouches!$M$2:$M$271,Bouches!$S$2:$S$271,A209,Bouches!$C$2:$C$271,"Extraction")</f>
        <v>30</v>
      </c>
      <c r="L209" s="4" t="n">
        <v>1</v>
      </c>
      <c r="M209" s="4" t="n">
        <v>0</v>
      </c>
      <c r="N209" s="4" t="str">
        <f aca="false">IF(AND(OR(G209&lt;Hypothèses!$B$6,ABS(I209-G209)&lt;=2),ABS(K209-H209)&lt;=2),"oui","NON")</f>
        <v>oui</v>
      </c>
      <c r="O209" s="4" t="s">
        <v>733</v>
      </c>
      <c r="P209" s="4" t="s">
        <v>600</v>
      </c>
    </row>
    <row r="210" customFormat="false" ht="15" hidden="false" customHeight="false" outlineLevel="0" collapsed="false">
      <c r="A210" s="4" t="s">
        <v>607</v>
      </c>
      <c r="B210" s="4" t="s">
        <v>42</v>
      </c>
      <c r="C210" s="4" t="s">
        <v>605</v>
      </c>
      <c r="D210" s="4" t="s">
        <v>606</v>
      </c>
      <c r="E210" s="4" t="s">
        <v>808</v>
      </c>
      <c r="F210" s="4" t="s">
        <v>807</v>
      </c>
      <c r="G210" s="9" t="n">
        <v>0</v>
      </c>
      <c r="H210" s="9" t="n">
        <v>45</v>
      </c>
      <c r="I210" s="4" t="n">
        <f aca="false">SUMIFS(Bouches!$M$2:$M$271,Bouches!$S$2:$S$271,A210,Bouches!$C$2:$C$271,"Soufflage")</f>
        <v>0</v>
      </c>
      <c r="J210" s="4" t="n">
        <f aca="false">SUMIFS(Bouches!$M$2:$M$271,Bouches!$S$2:$S$271,A210,Bouches!$C$2:$C$271,"Reprise")</f>
        <v>0</v>
      </c>
      <c r="K210" s="4" t="n">
        <f aca="false">SUMIFS(Bouches!$M$2:$M$271,Bouches!$S$2:$S$271,A210,Bouches!$C$2:$C$271,"Extraction")</f>
        <v>45</v>
      </c>
      <c r="L210" s="4" t="n">
        <v>1</v>
      </c>
      <c r="M210" s="4" t="n">
        <v>0</v>
      </c>
      <c r="N210" s="4" t="str">
        <f aca="false">IF(AND(OR(G210&lt;Hypothèses!$B$6,ABS(I210-G210)&lt;=2),ABS(K210-H210)&lt;=2),"oui","NON")</f>
        <v>oui</v>
      </c>
      <c r="O210" s="4" t="s">
        <v>733</v>
      </c>
      <c r="P210" s="4" t="s">
        <v>604</v>
      </c>
    </row>
    <row r="211" customFormat="false" ht="15" hidden="false" customHeight="false" outlineLevel="0" collapsed="false">
      <c r="A211" s="4" t="s">
        <v>609</v>
      </c>
      <c r="B211" s="4" t="s">
        <v>42</v>
      </c>
      <c r="C211" s="4" t="s">
        <v>605</v>
      </c>
      <c r="D211" s="4" t="s">
        <v>606</v>
      </c>
      <c r="E211" s="4" t="s">
        <v>808</v>
      </c>
      <c r="F211" s="4" t="s">
        <v>807</v>
      </c>
      <c r="G211" s="9" t="n">
        <v>0</v>
      </c>
      <c r="H211" s="9" t="n">
        <v>45</v>
      </c>
      <c r="I211" s="4" t="n">
        <f aca="false">SUMIFS(Bouches!$M$2:$M$271,Bouches!$S$2:$S$271,A211,Bouches!$C$2:$C$271,"Soufflage")</f>
        <v>0</v>
      </c>
      <c r="J211" s="4" t="n">
        <f aca="false">SUMIFS(Bouches!$M$2:$M$271,Bouches!$S$2:$S$271,A211,Bouches!$C$2:$C$271,"Reprise")</f>
        <v>0</v>
      </c>
      <c r="K211" s="4" t="n">
        <f aca="false">SUMIFS(Bouches!$M$2:$M$271,Bouches!$S$2:$S$271,A211,Bouches!$C$2:$C$271,"Extraction")</f>
        <v>45</v>
      </c>
      <c r="L211" s="4" t="n">
        <v>1</v>
      </c>
      <c r="M211" s="4" t="n">
        <v>0</v>
      </c>
      <c r="N211" s="4" t="str">
        <f aca="false">IF(AND(OR(G211&lt;Hypothèses!$B$6,ABS(I211-G211)&lt;=2),ABS(K211-H211)&lt;=2),"oui","NON")</f>
        <v>oui</v>
      </c>
      <c r="O211" s="4" t="s">
        <v>733</v>
      </c>
      <c r="P211" s="4" t="s">
        <v>608</v>
      </c>
    </row>
    <row r="212" customFormat="false" ht="15" hidden="false" customHeight="false" outlineLevel="0" collapsed="false">
      <c r="A212" s="4" t="s">
        <v>614</v>
      </c>
      <c r="B212" s="4" t="s">
        <v>42</v>
      </c>
      <c r="C212" s="4" t="s">
        <v>611</v>
      </c>
      <c r="D212" s="4" t="s">
        <v>612</v>
      </c>
      <c r="E212" s="4" t="s">
        <v>809</v>
      </c>
      <c r="F212" s="4" t="s">
        <v>807</v>
      </c>
      <c r="G212" s="9" t="n">
        <v>0</v>
      </c>
      <c r="H212" s="9" t="n">
        <v>30</v>
      </c>
      <c r="I212" s="4" t="n">
        <f aca="false">SUMIFS(Bouches!$M$2:$M$271,Bouches!$S$2:$S$271,A212,Bouches!$C$2:$C$271,"Soufflage")</f>
        <v>0</v>
      </c>
      <c r="J212" s="4" t="n">
        <f aca="false">SUMIFS(Bouches!$M$2:$M$271,Bouches!$S$2:$S$271,A212,Bouches!$C$2:$C$271,"Reprise")</f>
        <v>0</v>
      </c>
      <c r="K212" s="4" t="n">
        <f aca="false">SUMIFS(Bouches!$M$2:$M$271,Bouches!$S$2:$S$271,A212,Bouches!$C$2:$C$271,"Extraction")</f>
        <v>30</v>
      </c>
      <c r="L212" s="4" t="n">
        <v>1</v>
      </c>
      <c r="M212" s="4" t="n">
        <v>0</v>
      </c>
      <c r="N212" s="4" t="str">
        <f aca="false">IF(AND(OR(G212&lt;Hypothèses!$B$6,ABS(I212-G212)&lt;=2),ABS(K212-H212)&lt;=2),"oui","NON")</f>
        <v>oui</v>
      </c>
      <c r="O212" s="4" t="s">
        <v>733</v>
      </c>
      <c r="P212" s="4" t="s">
        <v>610</v>
      </c>
    </row>
    <row r="213" customFormat="false" ht="15" hidden="false" customHeight="false" outlineLevel="0" collapsed="false">
      <c r="A213" s="4" t="s">
        <v>622</v>
      </c>
      <c r="B213" s="4" t="s">
        <v>42</v>
      </c>
      <c r="C213" s="4" t="s">
        <v>620</v>
      </c>
      <c r="D213" s="4" t="s">
        <v>617</v>
      </c>
      <c r="E213" s="4" t="s">
        <v>809</v>
      </c>
      <c r="F213" s="4" t="s">
        <v>807</v>
      </c>
      <c r="G213" s="9" t="n">
        <v>0</v>
      </c>
      <c r="H213" s="9" t="n">
        <v>30</v>
      </c>
      <c r="I213" s="4" t="n">
        <f aca="false">SUMIFS(Bouches!$M$2:$M$271,Bouches!$S$2:$S$271,A213,Bouches!$C$2:$C$271,"Soufflage")</f>
        <v>0</v>
      </c>
      <c r="J213" s="4" t="n">
        <f aca="false">SUMIFS(Bouches!$M$2:$M$271,Bouches!$S$2:$S$271,A213,Bouches!$C$2:$C$271,"Reprise")</f>
        <v>0</v>
      </c>
      <c r="K213" s="4" t="n">
        <f aca="false">SUMIFS(Bouches!$M$2:$M$271,Bouches!$S$2:$S$271,A213,Bouches!$C$2:$C$271,"Extraction")</f>
        <v>30</v>
      </c>
      <c r="L213" s="4" t="n">
        <v>1</v>
      </c>
      <c r="M213" s="4" t="n">
        <v>0</v>
      </c>
      <c r="N213" s="4" t="str">
        <f aca="false">IF(AND(OR(G213&lt;Hypothèses!$B$6,ABS(I213-G213)&lt;=2),ABS(K213-H213)&lt;=2),"oui","NON")</f>
        <v>oui</v>
      </c>
      <c r="O213" s="4" t="s">
        <v>733</v>
      </c>
      <c r="P213" s="4" t="s">
        <v>619</v>
      </c>
    </row>
    <row r="214" customFormat="false" ht="15" hidden="false" customHeight="false" outlineLevel="0" collapsed="false">
      <c r="A214" s="4" t="s">
        <v>618</v>
      </c>
      <c r="B214" s="4" t="s">
        <v>42</v>
      </c>
      <c r="C214" s="4" t="s">
        <v>616</v>
      </c>
      <c r="D214" s="4" t="s">
        <v>617</v>
      </c>
      <c r="E214" s="4" t="s">
        <v>809</v>
      </c>
      <c r="F214" s="4" t="s">
        <v>807</v>
      </c>
      <c r="G214" s="9" t="n">
        <v>0</v>
      </c>
      <c r="H214" s="9" t="n">
        <v>30</v>
      </c>
      <c r="I214" s="4" t="n">
        <f aca="false">SUMIFS(Bouches!$M$2:$M$271,Bouches!$S$2:$S$271,A214,Bouches!$C$2:$C$271,"Soufflage")</f>
        <v>0</v>
      </c>
      <c r="J214" s="4" t="n">
        <f aca="false">SUMIFS(Bouches!$M$2:$M$271,Bouches!$S$2:$S$271,A214,Bouches!$C$2:$C$271,"Reprise")</f>
        <v>0</v>
      </c>
      <c r="K214" s="4" t="n">
        <f aca="false">SUMIFS(Bouches!$M$2:$M$271,Bouches!$S$2:$S$271,A214,Bouches!$C$2:$C$271,"Extraction")</f>
        <v>30</v>
      </c>
      <c r="L214" s="4" t="n">
        <v>1</v>
      </c>
      <c r="M214" s="4" t="n">
        <v>0</v>
      </c>
      <c r="N214" s="4" t="str">
        <f aca="false">IF(AND(OR(G214&lt;Hypothèses!$B$6,ABS(I214-G214)&lt;=2),ABS(K214-H214)&lt;=2),"oui","NON")</f>
        <v>oui</v>
      </c>
      <c r="O214" s="4" t="s">
        <v>733</v>
      </c>
      <c r="P214" s="4" t="s">
        <v>615</v>
      </c>
    </row>
    <row r="215" customFormat="false" ht="15" hidden="false" customHeight="false" outlineLevel="0" collapsed="false">
      <c r="A215" s="4" t="s">
        <v>626</v>
      </c>
      <c r="B215" s="4" t="s">
        <v>42</v>
      </c>
      <c r="C215" s="4" t="s">
        <v>616</v>
      </c>
      <c r="D215" s="4" t="s">
        <v>624</v>
      </c>
      <c r="E215" s="4" t="s">
        <v>809</v>
      </c>
      <c r="F215" s="4" t="s">
        <v>807</v>
      </c>
      <c r="G215" s="9" t="n">
        <v>0</v>
      </c>
      <c r="H215" s="9" t="n">
        <v>30</v>
      </c>
      <c r="I215" s="4" t="n">
        <f aca="false">SUMIFS(Bouches!$M$2:$M$271,Bouches!$S$2:$S$271,A215,Bouches!$C$2:$C$271,"Soufflage")</f>
        <v>0</v>
      </c>
      <c r="J215" s="4" t="n">
        <f aca="false">SUMIFS(Bouches!$M$2:$M$271,Bouches!$S$2:$S$271,A215,Bouches!$C$2:$C$271,"Reprise")</f>
        <v>0</v>
      </c>
      <c r="K215" s="4" t="n">
        <f aca="false">SUMIFS(Bouches!$M$2:$M$271,Bouches!$S$2:$S$271,A215,Bouches!$C$2:$C$271,"Extraction")</f>
        <v>30</v>
      </c>
      <c r="L215" s="4" t="n">
        <v>1</v>
      </c>
      <c r="M215" s="4" t="n">
        <v>0</v>
      </c>
      <c r="N215" s="4" t="str">
        <f aca="false">IF(AND(OR(G215&lt;Hypothèses!$B$6,ABS(I215-G215)&lt;=2),ABS(K215-H215)&lt;=2),"oui","NON")</f>
        <v>oui</v>
      </c>
      <c r="O215" s="4" t="s">
        <v>733</v>
      </c>
      <c r="P215" s="4" t="s">
        <v>623</v>
      </c>
    </row>
    <row r="216" customFormat="false" ht="15" hidden="false" customHeight="false" outlineLevel="0" collapsed="false">
      <c r="A216" s="4" t="s">
        <v>632</v>
      </c>
      <c r="B216" s="4" t="s">
        <v>42</v>
      </c>
      <c r="C216" s="4" t="s">
        <v>628</v>
      </c>
      <c r="D216" s="4" t="s">
        <v>629</v>
      </c>
      <c r="E216" s="4" t="s">
        <v>809</v>
      </c>
      <c r="F216" s="4" t="s">
        <v>807</v>
      </c>
      <c r="G216" s="9" t="n">
        <v>0</v>
      </c>
      <c r="H216" s="9" t="n">
        <v>30</v>
      </c>
      <c r="I216" s="4" t="n">
        <f aca="false">SUMIFS(Bouches!$M$2:$M$271,Bouches!$S$2:$S$271,A216,Bouches!$C$2:$C$271,"Soufflage")</f>
        <v>0</v>
      </c>
      <c r="J216" s="4" t="n">
        <f aca="false">SUMIFS(Bouches!$M$2:$M$271,Bouches!$S$2:$S$271,A216,Bouches!$C$2:$C$271,"Reprise")</f>
        <v>0</v>
      </c>
      <c r="K216" s="4" t="n">
        <f aca="false">SUMIFS(Bouches!$M$2:$M$271,Bouches!$S$2:$S$271,A216,Bouches!$C$2:$C$271,"Extraction")</f>
        <v>30</v>
      </c>
      <c r="L216" s="4" t="n">
        <v>1</v>
      </c>
      <c r="M216" s="4" t="n">
        <v>0</v>
      </c>
      <c r="N216" s="4" t="str">
        <f aca="false">IF(AND(OR(G216&lt;Hypothèses!$B$6,ABS(I216-G216)&lt;=2),ABS(K216-H216)&lt;=2),"oui","NON")</f>
        <v>oui</v>
      </c>
      <c r="O216" s="4" t="s">
        <v>733</v>
      </c>
      <c r="P216" s="4" t="s">
        <v>631</v>
      </c>
    </row>
    <row r="217" customFormat="false" ht="15" hidden="false" customHeight="false" outlineLevel="0" collapsed="false">
      <c r="A217" s="4" t="s">
        <v>630</v>
      </c>
      <c r="B217" s="4" t="s">
        <v>42</v>
      </c>
      <c r="C217" s="4" t="s">
        <v>628</v>
      </c>
      <c r="D217" s="4" t="s">
        <v>629</v>
      </c>
      <c r="E217" s="4" t="s">
        <v>809</v>
      </c>
      <c r="F217" s="4" t="s">
        <v>807</v>
      </c>
      <c r="G217" s="9" t="n">
        <v>0</v>
      </c>
      <c r="H217" s="9" t="n">
        <v>30</v>
      </c>
      <c r="I217" s="4" t="n">
        <f aca="false">SUMIFS(Bouches!$M$2:$M$271,Bouches!$S$2:$S$271,A217,Bouches!$C$2:$C$271,"Soufflage")</f>
        <v>0</v>
      </c>
      <c r="J217" s="4" t="n">
        <f aca="false">SUMIFS(Bouches!$M$2:$M$271,Bouches!$S$2:$S$271,A217,Bouches!$C$2:$C$271,"Reprise")</f>
        <v>0</v>
      </c>
      <c r="K217" s="4" t="n">
        <f aca="false">SUMIFS(Bouches!$M$2:$M$271,Bouches!$S$2:$S$271,A217,Bouches!$C$2:$C$271,"Extraction")</f>
        <v>30</v>
      </c>
      <c r="L217" s="4" t="n">
        <v>1</v>
      </c>
      <c r="M217" s="4" t="n">
        <v>0</v>
      </c>
      <c r="N217" s="4" t="str">
        <f aca="false">IF(AND(OR(G217&lt;Hypothèses!$B$6,ABS(I217-G217)&lt;=2),ABS(K217-H217)&lt;=2),"oui","NON")</f>
        <v>oui</v>
      </c>
      <c r="O217" s="4" t="s">
        <v>733</v>
      </c>
      <c r="P217" s="4" t="s">
        <v>627</v>
      </c>
    </row>
    <row r="218" customFormat="false" ht="15" hidden="false" customHeight="false" outlineLevel="0" collapsed="false">
      <c r="A218" s="4" t="s">
        <v>636</v>
      </c>
      <c r="B218" s="4" t="s">
        <v>42</v>
      </c>
      <c r="C218" s="4" t="s">
        <v>628</v>
      </c>
      <c r="D218" s="4" t="s">
        <v>634</v>
      </c>
      <c r="E218" s="4" t="s">
        <v>809</v>
      </c>
      <c r="F218" s="4" t="s">
        <v>807</v>
      </c>
      <c r="G218" s="9" t="n">
        <v>0</v>
      </c>
      <c r="H218" s="9" t="n">
        <v>30</v>
      </c>
      <c r="I218" s="4" t="n">
        <f aca="false">SUMIFS(Bouches!$M$2:$M$271,Bouches!$S$2:$S$271,A218,Bouches!$C$2:$C$271,"Soufflage")</f>
        <v>0</v>
      </c>
      <c r="J218" s="4" t="n">
        <f aca="false">SUMIFS(Bouches!$M$2:$M$271,Bouches!$S$2:$S$271,A218,Bouches!$C$2:$C$271,"Reprise")</f>
        <v>0</v>
      </c>
      <c r="K218" s="4" t="n">
        <f aca="false">SUMIFS(Bouches!$M$2:$M$271,Bouches!$S$2:$S$271,A218,Bouches!$C$2:$C$271,"Extraction")</f>
        <v>30</v>
      </c>
      <c r="L218" s="4" t="n">
        <v>1</v>
      </c>
      <c r="M218" s="4" t="n">
        <v>0</v>
      </c>
      <c r="N218" s="4" t="str">
        <f aca="false">IF(AND(OR(G218&lt;Hypothèses!$B$6,ABS(I218-G218)&lt;=2),ABS(K218-H218)&lt;=2),"oui","NON")</f>
        <v>oui</v>
      </c>
      <c r="O218" s="4" t="s">
        <v>733</v>
      </c>
      <c r="P218" s="4" t="s">
        <v>633</v>
      </c>
    </row>
    <row r="219" customFormat="false" ht="15" hidden="false" customHeight="false" outlineLevel="0" collapsed="false">
      <c r="A219" s="4" t="s">
        <v>640</v>
      </c>
      <c r="B219" s="4" t="s">
        <v>42</v>
      </c>
      <c r="C219" s="4" t="s">
        <v>638</v>
      </c>
      <c r="D219" s="4" t="s">
        <v>639</v>
      </c>
      <c r="E219" s="4" t="s">
        <v>809</v>
      </c>
      <c r="F219" s="4" t="s">
        <v>807</v>
      </c>
      <c r="G219" s="9" t="n">
        <v>0</v>
      </c>
      <c r="H219" s="9" t="n">
        <v>30</v>
      </c>
      <c r="I219" s="4" t="n">
        <f aca="false">SUMIFS(Bouches!$M$2:$M$271,Bouches!$S$2:$S$271,A219,Bouches!$C$2:$C$271,"Soufflage")</f>
        <v>0</v>
      </c>
      <c r="J219" s="4" t="n">
        <f aca="false">SUMIFS(Bouches!$M$2:$M$271,Bouches!$S$2:$S$271,A219,Bouches!$C$2:$C$271,"Reprise")</f>
        <v>0</v>
      </c>
      <c r="K219" s="4" t="n">
        <f aca="false">SUMIFS(Bouches!$M$2:$M$271,Bouches!$S$2:$S$271,A219,Bouches!$C$2:$C$271,"Extraction")</f>
        <v>30</v>
      </c>
      <c r="L219" s="4" t="n">
        <v>1</v>
      </c>
      <c r="M219" s="4" t="n">
        <v>0</v>
      </c>
      <c r="N219" s="4" t="str">
        <f aca="false">IF(AND(OR(G219&lt;Hypothèses!$B$6,ABS(I219-G219)&lt;=2),ABS(K219-H219)&lt;=2),"oui","NON")</f>
        <v>oui</v>
      </c>
      <c r="O219" s="4" t="s">
        <v>733</v>
      </c>
      <c r="P219" s="4" t="s">
        <v>637</v>
      </c>
    </row>
    <row r="220" customFormat="false" ht="15" hidden="false" customHeight="false" outlineLevel="0" collapsed="false">
      <c r="A220" s="4" t="s">
        <v>645</v>
      </c>
      <c r="B220" s="4" t="s">
        <v>42</v>
      </c>
      <c r="C220" s="4" t="s">
        <v>642</v>
      </c>
      <c r="D220" s="4" t="s">
        <v>643</v>
      </c>
      <c r="E220" s="4" t="s">
        <v>810</v>
      </c>
      <c r="F220" s="4" t="s">
        <v>807</v>
      </c>
      <c r="G220" s="9" t="n">
        <v>0</v>
      </c>
      <c r="H220" s="9" t="n">
        <v>450</v>
      </c>
      <c r="I220" s="4" t="n">
        <f aca="false">SUMIFS(Bouches!$M$2:$M$271,Bouches!$S$2:$S$271,A220,Bouches!$C$2:$C$271,"Soufflage")</f>
        <v>0</v>
      </c>
      <c r="J220" s="4" t="n">
        <f aca="false">SUMIFS(Bouches!$M$2:$M$271,Bouches!$S$2:$S$271,A220,Bouches!$C$2:$C$271,"Reprise")</f>
        <v>0</v>
      </c>
      <c r="K220" s="4" t="n">
        <f aca="false">SUMIFS(Bouches!$M$2:$M$271,Bouches!$S$2:$S$271,A220,Bouches!$C$2:$C$271,"Extraction")</f>
        <v>450</v>
      </c>
      <c r="L220" s="4" t="n">
        <v>3</v>
      </c>
      <c r="M220" s="4" t="n">
        <v>0</v>
      </c>
      <c r="N220" s="4" t="str">
        <f aca="false">IF(AND(OR(G220&lt;Hypothèses!$B$6,ABS(I220-G220)&lt;=2),ABS(K220-H220)&lt;=2),"oui","NON")</f>
        <v>oui</v>
      </c>
      <c r="O220" s="4" t="s">
        <v>804</v>
      </c>
      <c r="P220" s="4" t="s">
        <v>811</v>
      </c>
    </row>
    <row r="221" customFormat="false" ht="15" hidden="false" customHeight="false" outlineLevel="0" collapsed="false">
      <c r="A221" s="4" t="s">
        <v>651</v>
      </c>
      <c r="B221" s="4" t="s">
        <v>42</v>
      </c>
      <c r="C221" s="4" t="s">
        <v>649</v>
      </c>
      <c r="D221" s="4" t="s">
        <v>650</v>
      </c>
      <c r="E221" s="4" t="s">
        <v>808</v>
      </c>
      <c r="F221" s="4" t="s">
        <v>807</v>
      </c>
      <c r="G221" s="9" t="n">
        <v>0</v>
      </c>
      <c r="H221" s="9" t="n">
        <v>45</v>
      </c>
      <c r="I221" s="4" t="n">
        <f aca="false">SUMIFS(Bouches!$M$2:$M$271,Bouches!$S$2:$S$271,A221,Bouches!$C$2:$C$271,"Soufflage")</f>
        <v>0</v>
      </c>
      <c r="J221" s="4" t="n">
        <f aca="false">SUMIFS(Bouches!$M$2:$M$271,Bouches!$S$2:$S$271,A221,Bouches!$C$2:$C$271,"Reprise")</f>
        <v>0</v>
      </c>
      <c r="K221" s="4" t="n">
        <f aca="false">SUMIFS(Bouches!$M$2:$M$271,Bouches!$S$2:$S$271,A221,Bouches!$C$2:$C$271,"Extraction")</f>
        <v>45</v>
      </c>
      <c r="L221" s="4" t="n">
        <v>1</v>
      </c>
      <c r="M221" s="4" t="n">
        <v>0</v>
      </c>
      <c r="N221" s="4" t="str">
        <f aca="false">IF(AND(OR(G221&lt;Hypothèses!$B$6,ABS(I221-G221)&lt;=2),ABS(K221-H221)&lt;=2),"oui","NON")</f>
        <v>oui</v>
      </c>
      <c r="O221" s="4" t="s">
        <v>733</v>
      </c>
      <c r="P221" s="4" t="s">
        <v>648</v>
      </c>
    </row>
    <row r="222" customFormat="false" ht="15" hidden="false" customHeight="false" outlineLevel="0" collapsed="false">
      <c r="A222" s="4" t="s">
        <v>661</v>
      </c>
      <c r="B222" s="4" t="s">
        <v>42</v>
      </c>
      <c r="C222" s="4" t="s">
        <v>660</v>
      </c>
      <c r="D222" s="4" t="s">
        <v>654</v>
      </c>
      <c r="E222" s="4" t="s">
        <v>808</v>
      </c>
      <c r="F222" s="4" t="s">
        <v>807</v>
      </c>
      <c r="G222" s="9" t="n">
        <v>0</v>
      </c>
      <c r="H222" s="9" t="n">
        <v>45</v>
      </c>
      <c r="I222" s="4" t="n">
        <f aca="false">SUMIFS(Bouches!$M$2:$M$271,Bouches!$S$2:$S$271,A222,Bouches!$C$2:$C$271,"Soufflage")</f>
        <v>0</v>
      </c>
      <c r="J222" s="4" t="n">
        <f aca="false">SUMIFS(Bouches!$M$2:$M$271,Bouches!$S$2:$S$271,A222,Bouches!$C$2:$C$271,"Reprise")</f>
        <v>0</v>
      </c>
      <c r="K222" s="4" t="n">
        <f aca="false">SUMIFS(Bouches!$M$2:$M$271,Bouches!$S$2:$S$271,A222,Bouches!$C$2:$C$271,"Extraction")</f>
        <v>45</v>
      </c>
      <c r="L222" s="4" t="n">
        <v>1</v>
      </c>
      <c r="M222" s="4" t="n">
        <v>0</v>
      </c>
      <c r="N222" s="4" t="str">
        <f aca="false">IF(AND(OR(G222&lt;Hypothèses!$B$6,ABS(I222-G222)&lt;=2),ABS(K222-H222)&lt;=2),"oui","NON")</f>
        <v>oui</v>
      </c>
      <c r="O222" s="4" t="s">
        <v>733</v>
      </c>
      <c r="P222" s="4" t="s">
        <v>659</v>
      </c>
    </row>
    <row r="223" customFormat="false" ht="15" hidden="false" customHeight="false" outlineLevel="0" collapsed="false">
      <c r="A223" s="4" t="s">
        <v>658</v>
      </c>
      <c r="B223" s="4" t="s">
        <v>42</v>
      </c>
      <c r="C223" s="4" t="s">
        <v>657</v>
      </c>
      <c r="D223" s="4" t="s">
        <v>654</v>
      </c>
      <c r="E223" s="4" t="s">
        <v>808</v>
      </c>
      <c r="F223" s="4" t="s">
        <v>807</v>
      </c>
      <c r="G223" s="9" t="n">
        <v>0</v>
      </c>
      <c r="H223" s="9" t="n">
        <v>45</v>
      </c>
      <c r="I223" s="4" t="n">
        <f aca="false">SUMIFS(Bouches!$M$2:$M$271,Bouches!$S$2:$S$271,A223,Bouches!$C$2:$C$271,"Soufflage")</f>
        <v>0</v>
      </c>
      <c r="J223" s="4" t="n">
        <f aca="false">SUMIFS(Bouches!$M$2:$M$271,Bouches!$S$2:$S$271,A223,Bouches!$C$2:$C$271,"Reprise")</f>
        <v>0</v>
      </c>
      <c r="K223" s="4" t="n">
        <f aca="false">SUMIFS(Bouches!$M$2:$M$271,Bouches!$S$2:$S$271,A223,Bouches!$C$2:$C$271,"Extraction")</f>
        <v>45</v>
      </c>
      <c r="L223" s="4" t="n">
        <v>1</v>
      </c>
      <c r="M223" s="4" t="n">
        <v>0</v>
      </c>
      <c r="N223" s="4" t="str">
        <f aca="false">IF(AND(OR(G223&lt;Hypothèses!$B$6,ABS(I223-G223)&lt;=2),ABS(K223-H223)&lt;=2),"oui","NON")</f>
        <v>oui</v>
      </c>
      <c r="O223" s="4" t="s">
        <v>733</v>
      </c>
      <c r="P223" s="4" t="s">
        <v>656</v>
      </c>
    </row>
    <row r="224" customFormat="false" ht="15" hidden="false" customHeight="false" outlineLevel="0" collapsed="false">
      <c r="A224" s="4" t="s">
        <v>663</v>
      </c>
      <c r="B224" s="4" t="s">
        <v>42</v>
      </c>
      <c r="C224" s="4" t="s">
        <v>653</v>
      </c>
      <c r="D224" s="4" t="s">
        <v>654</v>
      </c>
      <c r="E224" s="4" t="s">
        <v>808</v>
      </c>
      <c r="F224" s="4" t="s">
        <v>807</v>
      </c>
      <c r="G224" s="9" t="n">
        <v>0</v>
      </c>
      <c r="H224" s="9" t="n">
        <v>45</v>
      </c>
      <c r="I224" s="4" t="n">
        <f aca="false">SUMIFS(Bouches!$M$2:$M$271,Bouches!$S$2:$S$271,A224,Bouches!$C$2:$C$271,"Soufflage")</f>
        <v>0</v>
      </c>
      <c r="J224" s="4" t="n">
        <f aca="false">SUMIFS(Bouches!$M$2:$M$271,Bouches!$S$2:$S$271,A224,Bouches!$C$2:$C$271,"Reprise")</f>
        <v>0</v>
      </c>
      <c r="K224" s="4" t="n">
        <f aca="false">SUMIFS(Bouches!$M$2:$M$271,Bouches!$S$2:$S$271,A224,Bouches!$C$2:$C$271,"Extraction")</f>
        <v>45</v>
      </c>
      <c r="L224" s="4" t="n">
        <v>1</v>
      </c>
      <c r="M224" s="4" t="n">
        <v>0</v>
      </c>
      <c r="N224" s="4" t="str">
        <f aca="false">IF(AND(OR(G224&lt;Hypothèses!$B$6,ABS(I224-G224)&lt;=2),ABS(K224-H224)&lt;=2),"oui","NON")</f>
        <v>oui</v>
      </c>
      <c r="O224" s="4" t="s">
        <v>733</v>
      </c>
      <c r="P224" s="4" t="s">
        <v>662</v>
      </c>
    </row>
    <row r="225" customFormat="false" ht="15" hidden="false" customHeight="false" outlineLevel="0" collapsed="false">
      <c r="A225" s="4" t="s">
        <v>655</v>
      </c>
      <c r="B225" s="4" t="s">
        <v>42</v>
      </c>
      <c r="C225" s="4" t="s">
        <v>653</v>
      </c>
      <c r="D225" s="4" t="s">
        <v>654</v>
      </c>
      <c r="E225" s="4" t="s">
        <v>808</v>
      </c>
      <c r="F225" s="4" t="s">
        <v>807</v>
      </c>
      <c r="G225" s="9" t="n">
        <v>0</v>
      </c>
      <c r="H225" s="9" t="n">
        <v>45</v>
      </c>
      <c r="I225" s="4" t="n">
        <f aca="false">SUMIFS(Bouches!$M$2:$M$271,Bouches!$S$2:$S$271,A225,Bouches!$C$2:$C$271,"Soufflage")</f>
        <v>0</v>
      </c>
      <c r="J225" s="4" t="n">
        <f aca="false">SUMIFS(Bouches!$M$2:$M$271,Bouches!$S$2:$S$271,A225,Bouches!$C$2:$C$271,"Reprise")</f>
        <v>0</v>
      </c>
      <c r="K225" s="4" t="n">
        <f aca="false">SUMIFS(Bouches!$M$2:$M$271,Bouches!$S$2:$S$271,A225,Bouches!$C$2:$C$271,"Extraction")</f>
        <v>45</v>
      </c>
      <c r="L225" s="4" t="n">
        <v>1</v>
      </c>
      <c r="M225" s="4" t="n">
        <v>0</v>
      </c>
      <c r="N225" s="4" t="str">
        <f aca="false">IF(AND(OR(G225&lt;Hypothèses!$B$6,ABS(I225-G225)&lt;=2),ABS(K225-H225)&lt;=2),"oui","NON")</f>
        <v>oui</v>
      </c>
      <c r="O225" s="4" t="s">
        <v>733</v>
      </c>
      <c r="P225" s="4" t="s">
        <v>652</v>
      </c>
    </row>
    <row r="226" customFormat="false" ht="15" hidden="false" customHeight="false" outlineLevel="0" collapsed="false">
      <c r="A226" s="4" t="s">
        <v>666</v>
      </c>
      <c r="B226" s="4" t="s">
        <v>42</v>
      </c>
      <c r="C226" s="4" t="s">
        <v>552</v>
      </c>
      <c r="D226" s="4" t="s">
        <v>665</v>
      </c>
      <c r="E226" s="4" t="s">
        <v>810</v>
      </c>
      <c r="F226" s="4" t="s">
        <v>807</v>
      </c>
      <c r="G226" s="9" t="n">
        <v>0</v>
      </c>
      <c r="H226" s="9" t="n">
        <v>450</v>
      </c>
      <c r="I226" s="4" t="n">
        <f aca="false">SUMIFS(Bouches!$M$2:$M$271,Bouches!$S$2:$S$271,A226,Bouches!$C$2:$C$271,"Soufflage")</f>
        <v>0</v>
      </c>
      <c r="J226" s="4" t="n">
        <f aca="false">SUMIFS(Bouches!$M$2:$M$271,Bouches!$S$2:$S$271,A226,Bouches!$C$2:$C$271,"Reprise")</f>
        <v>0</v>
      </c>
      <c r="K226" s="4" t="n">
        <f aca="false">SUMIFS(Bouches!$M$2:$M$271,Bouches!$S$2:$S$271,A226,Bouches!$C$2:$C$271,"Extraction")</f>
        <v>450</v>
      </c>
      <c r="L226" s="4" t="n">
        <v>3</v>
      </c>
      <c r="M226" s="4" t="n">
        <v>0</v>
      </c>
      <c r="N226" s="4" t="str">
        <f aca="false">IF(AND(OR(G226&lt;Hypothèses!$B$6,ABS(I226-G226)&lt;=2),ABS(K226-H226)&lt;=2),"oui","NON")</f>
        <v>oui</v>
      </c>
      <c r="O226" s="4" t="s">
        <v>804</v>
      </c>
      <c r="P226" s="4" t="s">
        <v>812</v>
      </c>
    </row>
    <row r="227" customFormat="false" ht="15" hidden="false" customHeight="false" outlineLevel="0" collapsed="false">
      <c r="A227" s="4" t="s">
        <v>675</v>
      </c>
      <c r="B227" s="4" t="s">
        <v>42</v>
      </c>
      <c r="C227" s="4" t="s">
        <v>674</v>
      </c>
      <c r="D227" s="4" t="s">
        <v>671</v>
      </c>
      <c r="E227" s="4" t="s">
        <v>808</v>
      </c>
      <c r="F227" s="4" t="s">
        <v>807</v>
      </c>
      <c r="G227" s="9" t="n">
        <v>0</v>
      </c>
      <c r="H227" s="9" t="n">
        <v>45</v>
      </c>
      <c r="I227" s="4" t="n">
        <f aca="false">SUMIFS(Bouches!$M$2:$M$271,Bouches!$S$2:$S$271,A227,Bouches!$C$2:$C$271,"Soufflage")</f>
        <v>0</v>
      </c>
      <c r="J227" s="4" t="n">
        <f aca="false">SUMIFS(Bouches!$M$2:$M$271,Bouches!$S$2:$S$271,A227,Bouches!$C$2:$C$271,"Reprise")</f>
        <v>0</v>
      </c>
      <c r="K227" s="4" t="n">
        <f aca="false">SUMIFS(Bouches!$M$2:$M$271,Bouches!$S$2:$S$271,A227,Bouches!$C$2:$C$271,"Extraction")</f>
        <v>45</v>
      </c>
      <c r="L227" s="4" t="n">
        <v>1</v>
      </c>
      <c r="M227" s="4" t="n">
        <v>0</v>
      </c>
      <c r="N227" s="4" t="str">
        <f aca="false">IF(AND(OR(G227&lt;Hypothèses!$B$6,ABS(I227-G227)&lt;=2),ABS(K227-H227)&lt;=2),"oui","NON")</f>
        <v>oui</v>
      </c>
      <c r="O227" s="4" t="s">
        <v>733</v>
      </c>
      <c r="P227" s="4" t="s">
        <v>673</v>
      </c>
    </row>
    <row r="228" customFormat="false" ht="15" hidden="false" customHeight="false" outlineLevel="0" collapsed="false">
      <c r="A228" s="4" t="s">
        <v>677</v>
      </c>
      <c r="B228" s="4" t="s">
        <v>42</v>
      </c>
      <c r="C228" s="4" t="s">
        <v>674</v>
      </c>
      <c r="D228" s="4" t="s">
        <v>671</v>
      </c>
      <c r="E228" s="4" t="s">
        <v>808</v>
      </c>
      <c r="F228" s="4" t="s">
        <v>807</v>
      </c>
      <c r="G228" s="9" t="n">
        <v>0</v>
      </c>
      <c r="H228" s="9" t="n">
        <v>45</v>
      </c>
      <c r="I228" s="4" t="n">
        <f aca="false">SUMIFS(Bouches!$M$2:$M$271,Bouches!$S$2:$S$271,A228,Bouches!$C$2:$C$271,"Soufflage")</f>
        <v>0</v>
      </c>
      <c r="J228" s="4" t="n">
        <f aca="false">SUMIFS(Bouches!$M$2:$M$271,Bouches!$S$2:$S$271,A228,Bouches!$C$2:$C$271,"Reprise")</f>
        <v>0</v>
      </c>
      <c r="K228" s="4" t="n">
        <f aca="false">SUMIFS(Bouches!$M$2:$M$271,Bouches!$S$2:$S$271,A228,Bouches!$C$2:$C$271,"Extraction")</f>
        <v>45</v>
      </c>
      <c r="L228" s="4" t="n">
        <v>1</v>
      </c>
      <c r="M228" s="4" t="n">
        <v>0</v>
      </c>
      <c r="N228" s="4" t="str">
        <f aca="false">IF(AND(OR(G228&lt;Hypothèses!$B$6,ABS(I228-G228)&lt;=2),ABS(K228-H228)&lt;=2),"oui","NON")</f>
        <v>oui</v>
      </c>
      <c r="O228" s="4" t="s">
        <v>733</v>
      </c>
      <c r="P228" s="4" t="s">
        <v>676</v>
      </c>
    </row>
    <row r="229" customFormat="false" ht="15" hidden="false" customHeight="false" outlineLevel="0" collapsed="false">
      <c r="A229" s="4" t="s">
        <v>672</v>
      </c>
      <c r="B229" s="4" t="s">
        <v>42</v>
      </c>
      <c r="C229" s="4" t="s">
        <v>670</v>
      </c>
      <c r="D229" s="4" t="s">
        <v>671</v>
      </c>
      <c r="E229" s="4" t="s">
        <v>808</v>
      </c>
      <c r="F229" s="4" t="s">
        <v>807</v>
      </c>
      <c r="G229" s="9" t="n">
        <v>0</v>
      </c>
      <c r="H229" s="9" t="n">
        <v>45</v>
      </c>
      <c r="I229" s="4" t="n">
        <f aca="false">SUMIFS(Bouches!$M$2:$M$271,Bouches!$S$2:$S$271,A229,Bouches!$C$2:$C$271,"Soufflage")</f>
        <v>0</v>
      </c>
      <c r="J229" s="4" t="n">
        <f aca="false">SUMIFS(Bouches!$M$2:$M$271,Bouches!$S$2:$S$271,A229,Bouches!$C$2:$C$271,"Reprise")</f>
        <v>0</v>
      </c>
      <c r="K229" s="4" t="n">
        <f aca="false">SUMIFS(Bouches!$M$2:$M$271,Bouches!$S$2:$S$271,A229,Bouches!$C$2:$C$271,"Extraction")</f>
        <v>45</v>
      </c>
      <c r="L229" s="4" t="n">
        <v>1</v>
      </c>
      <c r="M229" s="4" t="n">
        <v>0</v>
      </c>
      <c r="N229" s="4" t="str">
        <f aca="false">IF(AND(OR(G229&lt;Hypothèses!$B$6,ABS(I229-G229)&lt;=2),ABS(K229-H229)&lt;=2),"oui","NON")</f>
        <v>oui</v>
      </c>
      <c r="O229" s="4" t="s">
        <v>733</v>
      </c>
      <c r="P229" s="4" t="s">
        <v>669</v>
      </c>
    </row>
    <row r="230" customFormat="false" ht="15" hidden="false" customHeight="false" outlineLevel="0" collapsed="false">
      <c r="A230" s="4" t="s">
        <v>680</v>
      </c>
      <c r="B230" s="4" t="s">
        <v>42</v>
      </c>
      <c r="C230" s="4" t="s">
        <v>653</v>
      </c>
      <c r="D230" s="4" t="s">
        <v>679</v>
      </c>
      <c r="E230" s="4" t="s">
        <v>806</v>
      </c>
      <c r="F230" s="4" t="s">
        <v>807</v>
      </c>
      <c r="G230" s="9" t="n">
        <v>0</v>
      </c>
      <c r="H230" s="9" t="n">
        <v>30</v>
      </c>
      <c r="I230" s="4" t="n">
        <f aca="false">SUMIFS(Bouches!$M$2:$M$271,Bouches!$S$2:$S$271,A230,Bouches!$C$2:$C$271,"Soufflage")</f>
        <v>0</v>
      </c>
      <c r="J230" s="4" t="n">
        <f aca="false">SUMIFS(Bouches!$M$2:$M$271,Bouches!$S$2:$S$271,A230,Bouches!$C$2:$C$271,"Reprise")</f>
        <v>0</v>
      </c>
      <c r="K230" s="4" t="n">
        <f aca="false">SUMIFS(Bouches!$M$2:$M$271,Bouches!$S$2:$S$271,A230,Bouches!$C$2:$C$271,"Extraction")</f>
        <v>30</v>
      </c>
      <c r="L230" s="4" t="n">
        <v>1</v>
      </c>
      <c r="M230" s="4" t="n">
        <v>0</v>
      </c>
      <c r="N230" s="4" t="str">
        <f aca="false">IF(AND(OR(G230&lt;Hypothèses!$B$6,ABS(I230-G230)&lt;=2),ABS(K230-H230)&lt;=2),"oui","NON")</f>
        <v>oui</v>
      </c>
      <c r="O230" s="4" t="s">
        <v>733</v>
      </c>
      <c r="P230" s="4" t="s">
        <v>678</v>
      </c>
    </row>
    <row r="231" customFormat="false" ht="15" hidden="false" customHeight="false" outlineLevel="0" collapsed="false">
      <c r="A231" s="4" t="s">
        <v>682</v>
      </c>
      <c r="B231" s="4" t="s">
        <v>42</v>
      </c>
      <c r="C231" s="4" t="s">
        <v>653</v>
      </c>
      <c r="D231" s="4" t="s">
        <v>679</v>
      </c>
      <c r="E231" s="4" t="s">
        <v>806</v>
      </c>
      <c r="F231" s="4" t="s">
        <v>807</v>
      </c>
      <c r="G231" s="9" t="n">
        <v>0</v>
      </c>
      <c r="H231" s="9" t="n">
        <v>30</v>
      </c>
      <c r="I231" s="4" t="n">
        <f aca="false">SUMIFS(Bouches!$M$2:$M$271,Bouches!$S$2:$S$271,A231,Bouches!$C$2:$C$271,"Soufflage")</f>
        <v>0</v>
      </c>
      <c r="J231" s="4" t="n">
        <f aca="false">SUMIFS(Bouches!$M$2:$M$271,Bouches!$S$2:$S$271,A231,Bouches!$C$2:$C$271,"Reprise")</f>
        <v>0</v>
      </c>
      <c r="K231" s="4" t="n">
        <f aca="false">SUMIFS(Bouches!$M$2:$M$271,Bouches!$S$2:$S$271,A231,Bouches!$C$2:$C$271,"Extraction")</f>
        <v>30</v>
      </c>
      <c r="L231" s="4" t="n">
        <v>1</v>
      </c>
      <c r="M231" s="4" t="n">
        <v>0</v>
      </c>
      <c r="N231" s="4" t="str">
        <f aca="false">IF(AND(OR(G231&lt;Hypothèses!$B$6,ABS(I231-G231)&lt;=2),ABS(K231-H231)&lt;=2),"oui","NON")</f>
        <v>oui</v>
      </c>
      <c r="O231" s="4" t="s">
        <v>733</v>
      </c>
      <c r="P231" s="4" t="s">
        <v>681</v>
      </c>
    </row>
    <row r="232" customFormat="false" ht="15" hidden="false" customHeight="false" outlineLevel="0" collapsed="false">
      <c r="A232" s="4" t="s">
        <v>686</v>
      </c>
      <c r="B232" s="4" t="s">
        <v>91</v>
      </c>
      <c r="C232" s="4" t="s">
        <v>684</v>
      </c>
      <c r="D232" s="4" t="s">
        <v>624</v>
      </c>
      <c r="E232" s="4" t="s">
        <v>809</v>
      </c>
      <c r="F232" s="4" t="s">
        <v>807</v>
      </c>
      <c r="G232" s="9" t="n">
        <v>0</v>
      </c>
      <c r="H232" s="9" t="n">
        <v>30</v>
      </c>
      <c r="I232" s="4" t="n">
        <f aca="false">SUMIFS(Bouches!$M$2:$M$271,Bouches!$S$2:$S$271,A232,Bouches!$C$2:$C$271,"Soufflage")</f>
        <v>0</v>
      </c>
      <c r="J232" s="4" t="n">
        <f aca="false">SUMIFS(Bouches!$M$2:$M$271,Bouches!$S$2:$S$271,A232,Bouches!$C$2:$C$271,"Reprise")</f>
        <v>0</v>
      </c>
      <c r="K232" s="4" t="n">
        <f aca="false">SUMIFS(Bouches!$M$2:$M$271,Bouches!$S$2:$S$271,A232,Bouches!$C$2:$C$271,"Extraction")</f>
        <v>30</v>
      </c>
      <c r="L232" s="4" t="n">
        <v>1</v>
      </c>
      <c r="M232" s="4" t="n">
        <v>0</v>
      </c>
      <c r="N232" s="4" t="str">
        <f aca="false">IF(AND(OR(G232&lt;Hypothèses!$B$6,ABS(I232-G232)&lt;=2),ABS(K232-H232)&lt;=2),"oui","NON")</f>
        <v>oui</v>
      </c>
      <c r="O232" s="4" t="s">
        <v>733</v>
      </c>
      <c r="P232" s="4" t="s">
        <v>683</v>
      </c>
    </row>
    <row r="233" customFormat="false" ht="15" hidden="false" customHeight="false" outlineLevel="0" collapsed="false">
      <c r="A233" s="4" t="s">
        <v>688</v>
      </c>
      <c r="B233" s="4" t="s">
        <v>91</v>
      </c>
      <c r="C233" s="4" t="s">
        <v>616</v>
      </c>
      <c r="D233" s="4" t="s">
        <v>624</v>
      </c>
      <c r="E233" s="4" t="s">
        <v>809</v>
      </c>
      <c r="F233" s="4" t="s">
        <v>807</v>
      </c>
      <c r="G233" s="9" t="n">
        <v>0</v>
      </c>
      <c r="H233" s="9" t="n">
        <v>30</v>
      </c>
      <c r="I233" s="4" t="n">
        <f aca="false">SUMIFS(Bouches!$M$2:$M$271,Bouches!$S$2:$S$271,A233,Bouches!$C$2:$C$271,"Soufflage")</f>
        <v>0</v>
      </c>
      <c r="J233" s="4" t="n">
        <f aca="false">SUMIFS(Bouches!$M$2:$M$271,Bouches!$S$2:$S$271,A233,Bouches!$C$2:$C$271,"Reprise")</f>
        <v>0</v>
      </c>
      <c r="K233" s="4" t="n">
        <f aca="false">SUMIFS(Bouches!$M$2:$M$271,Bouches!$S$2:$S$271,A233,Bouches!$C$2:$C$271,"Extraction")</f>
        <v>30</v>
      </c>
      <c r="L233" s="4" t="n">
        <v>1</v>
      </c>
      <c r="M233" s="4" t="n">
        <v>0</v>
      </c>
      <c r="N233" s="4" t="str">
        <f aca="false">IF(AND(OR(G233&lt;Hypothèses!$B$6,ABS(I233-G233)&lt;=2),ABS(K233-H233)&lt;=2),"oui","NON")</f>
        <v>oui</v>
      </c>
      <c r="O233" s="4" t="s">
        <v>733</v>
      </c>
      <c r="P233" s="4" t="s">
        <v>687</v>
      </c>
    </row>
    <row r="234" customFormat="false" ht="15" hidden="false" customHeight="false" outlineLevel="0" collapsed="false">
      <c r="A234" s="4" t="s">
        <v>690</v>
      </c>
      <c r="B234" s="4" t="s">
        <v>91</v>
      </c>
      <c r="C234" s="4" t="s">
        <v>628</v>
      </c>
      <c r="D234" s="4" t="s">
        <v>629</v>
      </c>
      <c r="E234" s="4" t="s">
        <v>809</v>
      </c>
      <c r="F234" s="4" t="s">
        <v>807</v>
      </c>
      <c r="G234" s="9" t="n">
        <v>0</v>
      </c>
      <c r="H234" s="9" t="n">
        <v>30</v>
      </c>
      <c r="I234" s="4" t="n">
        <f aca="false">SUMIFS(Bouches!$M$2:$M$271,Bouches!$S$2:$S$271,A234,Bouches!$C$2:$C$271,"Soufflage")</f>
        <v>0</v>
      </c>
      <c r="J234" s="4" t="n">
        <f aca="false">SUMIFS(Bouches!$M$2:$M$271,Bouches!$S$2:$S$271,A234,Bouches!$C$2:$C$271,"Reprise")</f>
        <v>0</v>
      </c>
      <c r="K234" s="4" t="n">
        <f aca="false">SUMIFS(Bouches!$M$2:$M$271,Bouches!$S$2:$S$271,A234,Bouches!$C$2:$C$271,"Extraction")</f>
        <v>30</v>
      </c>
      <c r="L234" s="4" t="n">
        <v>1</v>
      </c>
      <c r="M234" s="4" t="n">
        <v>0</v>
      </c>
      <c r="N234" s="4" t="str">
        <f aca="false">IF(AND(OR(G234&lt;Hypothèses!$B$6,ABS(I234-G234)&lt;=2),ABS(K234-H234)&lt;=2),"oui","NON")</f>
        <v>oui</v>
      </c>
      <c r="O234" s="4" t="s">
        <v>733</v>
      </c>
      <c r="P234" s="4" t="s">
        <v>689</v>
      </c>
    </row>
    <row r="235" customFormat="false" ht="15" hidden="false" customHeight="false" outlineLevel="0" collapsed="false">
      <c r="A235" s="4" t="s">
        <v>692</v>
      </c>
      <c r="B235" s="4" t="s">
        <v>91</v>
      </c>
      <c r="C235" s="4" t="s">
        <v>628</v>
      </c>
      <c r="D235" s="4" t="s">
        <v>634</v>
      </c>
      <c r="E235" s="4" t="s">
        <v>809</v>
      </c>
      <c r="F235" s="4" t="s">
        <v>807</v>
      </c>
      <c r="G235" s="9" t="n">
        <v>0</v>
      </c>
      <c r="H235" s="9" t="n">
        <v>30</v>
      </c>
      <c r="I235" s="4" t="n">
        <f aca="false">SUMIFS(Bouches!$M$2:$M$271,Bouches!$S$2:$S$271,A235,Bouches!$C$2:$C$271,"Soufflage")</f>
        <v>0</v>
      </c>
      <c r="J235" s="4" t="n">
        <f aca="false">SUMIFS(Bouches!$M$2:$M$271,Bouches!$S$2:$S$271,A235,Bouches!$C$2:$C$271,"Reprise")</f>
        <v>0</v>
      </c>
      <c r="K235" s="4" t="n">
        <f aca="false">SUMIFS(Bouches!$M$2:$M$271,Bouches!$S$2:$S$271,A235,Bouches!$C$2:$C$271,"Extraction")</f>
        <v>30</v>
      </c>
      <c r="L235" s="4" t="n">
        <v>1</v>
      </c>
      <c r="M235" s="4" t="n">
        <v>0</v>
      </c>
      <c r="N235" s="4" t="str">
        <f aca="false">IF(AND(OR(G235&lt;Hypothèses!$B$6,ABS(I235-G235)&lt;=2),ABS(K235-H235)&lt;=2),"oui","NON")</f>
        <v>oui</v>
      </c>
      <c r="O235" s="4" t="s">
        <v>733</v>
      </c>
      <c r="P235" s="4" t="s">
        <v>691</v>
      </c>
    </row>
    <row r="236" customFormat="false" ht="15" hidden="false" customHeight="false" outlineLevel="0" collapsed="false">
      <c r="A236" s="4" t="s">
        <v>694</v>
      </c>
      <c r="B236" s="4" t="s">
        <v>91</v>
      </c>
      <c r="C236" s="4" t="s">
        <v>642</v>
      </c>
      <c r="D236" s="4" t="s">
        <v>643</v>
      </c>
      <c r="E236" s="4" t="s">
        <v>810</v>
      </c>
      <c r="F236" s="4" t="s">
        <v>807</v>
      </c>
      <c r="G236" s="9" t="n">
        <v>0</v>
      </c>
      <c r="H236" s="9" t="n">
        <v>450</v>
      </c>
      <c r="I236" s="4" t="n">
        <f aca="false">SUMIFS(Bouches!$M$2:$M$271,Bouches!$S$2:$S$271,A236,Bouches!$C$2:$C$271,"Soufflage")</f>
        <v>0</v>
      </c>
      <c r="J236" s="4" t="n">
        <f aca="false">SUMIFS(Bouches!$M$2:$M$271,Bouches!$S$2:$S$271,A236,Bouches!$C$2:$C$271,"Reprise")</f>
        <v>0</v>
      </c>
      <c r="K236" s="4" t="n">
        <f aca="false">SUMIFS(Bouches!$M$2:$M$271,Bouches!$S$2:$S$271,A236,Bouches!$C$2:$C$271,"Extraction")</f>
        <v>450</v>
      </c>
      <c r="L236" s="4" t="n">
        <v>3</v>
      </c>
      <c r="M236" s="4" t="n">
        <v>0</v>
      </c>
      <c r="N236" s="4" t="str">
        <f aca="false">IF(AND(OR(G236&lt;Hypothèses!$B$6,ABS(I236-G236)&lt;=2),ABS(K236-H236)&lt;=2),"oui","NON")</f>
        <v>oui</v>
      </c>
      <c r="O236" s="4" t="s">
        <v>804</v>
      </c>
      <c r="P236" s="4" t="s">
        <v>813</v>
      </c>
    </row>
    <row r="237" customFormat="false" ht="15" hidden="false" customHeight="false" outlineLevel="0" collapsed="false">
      <c r="A237" s="4" t="s">
        <v>698</v>
      </c>
      <c r="B237" s="4" t="s">
        <v>91</v>
      </c>
      <c r="C237" s="4" t="s">
        <v>642</v>
      </c>
      <c r="D237" s="4" t="s">
        <v>643</v>
      </c>
      <c r="E237" s="4" t="s">
        <v>810</v>
      </c>
      <c r="F237" s="4" t="s">
        <v>807</v>
      </c>
      <c r="G237" s="9" t="n">
        <v>0</v>
      </c>
      <c r="H237" s="9" t="n">
        <v>450</v>
      </c>
      <c r="I237" s="4" t="n">
        <f aca="false">SUMIFS(Bouches!$M$2:$M$271,Bouches!$S$2:$S$271,A237,Bouches!$C$2:$C$271,"Soufflage")</f>
        <v>0</v>
      </c>
      <c r="J237" s="4" t="n">
        <f aca="false">SUMIFS(Bouches!$M$2:$M$271,Bouches!$S$2:$S$271,A237,Bouches!$C$2:$C$271,"Reprise")</f>
        <v>0</v>
      </c>
      <c r="K237" s="4" t="n">
        <f aca="false">SUMIFS(Bouches!$M$2:$M$271,Bouches!$S$2:$S$271,A237,Bouches!$C$2:$C$271,"Extraction")</f>
        <v>450</v>
      </c>
      <c r="L237" s="4" t="n">
        <v>3</v>
      </c>
      <c r="M237" s="4" t="n">
        <v>0</v>
      </c>
      <c r="N237" s="4" t="str">
        <f aca="false">IF(AND(OR(G237&lt;Hypothèses!$B$6,ABS(I237-G237)&lt;=2),ABS(K237-H237)&lt;=2),"oui","NON")</f>
        <v>oui</v>
      </c>
      <c r="O237" s="4" t="s">
        <v>804</v>
      </c>
      <c r="P237" s="4" t="s">
        <v>814</v>
      </c>
    </row>
    <row r="238" customFormat="false" ht="15" hidden="false" customHeight="false" outlineLevel="0" collapsed="false">
      <c r="A238" s="4" t="s">
        <v>702</v>
      </c>
      <c r="B238" s="4" t="s">
        <v>91</v>
      </c>
      <c r="C238" s="4" t="s">
        <v>649</v>
      </c>
      <c r="D238" s="4" t="s">
        <v>650</v>
      </c>
      <c r="E238" s="4" t="s">
        <v>808</v>
      </c>
      <c r="F238" s="4" t="s">
        <v>807</v>
      </c>
      <c r="G238" s="9" t="n">
        <v>0</v>
      </c>
      <c r="H238" s="9" t="n">
        <v>45</v>
      </c>
      <c r="I238" s="4" t="n">
        <f aca="false">SUMIFS(Bouches!$M$2:$M$271,Bouches!$S$2:$S$271,A238,Bouches!$C$2:$C$271,"Soufflage")</f>
        <v>0</v>
      </c>
      <c r="J238" s="4" t="n">
        <f aca="false">SUMIFS(Bouches!$M$2:$M$271,Bouches!$S$2:$S$271,A238,Bouches!$C$2:$C$271,"Reprise")</f>
        <v>0</v>
      </c>
      <c r="K238" s="4" t="n">
        <f aca="false">SUMIFS(Bouches!$M$2:$M$271,Bouches!$S$2:$S$271,A238,Bouches!$C$2:$C$271,"Extraction")</f>
        <v>45</v>
      </c>
      <c r="L238" s="4" t="n">
        <v>1</v>
      </c>
      <c r="M238" s="4" t="n">
        <v>0</v>
      </c>
      <c r="N238" s="4" t="str">
        <f aca="false">IF(AND(OR(G238&lt;Hypothèses!$B$6,ABS(I238-G238)&lt;=2),ABS(K238-H238)&lt;=2),"oui","NON")</f>
        <v>oui</v>
      </c>
      <c r="O238" s="4" t="s">
        <v>733</v>
      </c>
      <c r="P238" s="4" t="s">
        <v>701</v>
      </c>
    </row>
    <row r="239" customFormat="false" ht="15" hidden="false" customHeight="false" outlineLevel="0" collapsed="false">
      <c r="A239" s="4" t="s">
        <v>712</v>
      </c>
      <c r="B239" s="4" t="s">
        <v>91</v>
      </c>
      <c r="C239" s="4" t="s">
        <v>657</v>
      </c>
      <c r="D239" s="4" t="s">
        <v>654</v>
      </c>
      <c r="E239" s="4" t="s">
        <v>808</v>
      </c>
      <c r="F239" s="4" t="s">
        <v>807</v>
      </c>
      <c r="G239" s="9" t="n">
        <v>0</v>
      </c>
      <c r="H239" s="9" t="n">
        <v>45</v>
      </c>
      <c r="I239" s="4" t="n">
        <f aca="false">SUMIFS(Bouches!$M$2:$M$271,Bouches!$S$2:$S$271,A239,Bouches!$C$2:$C$271,"Soufflage")</f>
        <v>0</v>
      </c>
      <c r="J239" s="4" t="n">
        <f aca="false">SUMIFS(Bouches!$M$2:$M$271,Bouches!$S$2:$S$271,A239,Bouches!$C$2:$C$271,"Reprise")</f>
        <v>0</v>
      </c>
      <c r="K239" s="4" t="n">
        <f aca="false">SUMIFS(Bouches!$M$2:$M$271,Bouches!$S$2:$S$271,A239,Bouches!$C$2:$C$271,"Extraction")</f>
        <v>45</v>
      </c>
      <c r="L239" s="4" t="n">
        <v>1</v>
      </c>
      <c r="M239" s="4" t="n">
        <v>0</v>
      </c>
      <c r="N239" s="4" t="str">
        <f aca="false">IF(AND(OR(G239&lt;Hypothèses!$B$6,ABS(I239-G239)&lt;=2),ABS(K239-H239)&lt;=2),"oui","NON")</f>
        <v>oui</v>
      </c>
      <c r="O239" s="4" t="s">
        <v>733</v>
      </c>
      <c r="P239" s="4" t="s">
        <v>711</v>
      </c>
    </row>
    <row r="240" customFormat="false" ht="15" hidden="false" customHeight="false" outlineLevel="0" collapsed="false">
      <c r="A240" s="4" t="s">
        <v>706</v>
      </c>
      <c r="B240" s="4" t="s">
        <v>91</v>
      </c>
      <c r="C240" s="4" t="s">
        <v>653</v>
      </c>
      <c r="D240" s="4" t="s">
        <v>654</v>
      </c>
      <c r="E240" s="4" t="s">
        <v>808</v>
      </c>
      <c r="F240" s="4" t="s">
        <v>807</v>
      </c>
      <c r="G240" s="9" t="n">
        <v>0</v>
      </c>
      <c r="H240" s="9" t="n">
        <v>45</v>
      </c>
      <c r="I240" s="4" t="n">
        <f aca="false">SUMIFS(Bouches!$M$2:$M$271,Bouches!$S$2:$S$271,A240,Bouches!$C$2:$C$271,"Soufflage")</f>
        <v>0</v>
      </c>
      <c r="J240" s="4" t="n">
        <f aca="false">SUMIFS(Bouches!$M$2:$M$271,Bouches!$S$2:$S$271,A240,Bouches!$C$2:$C$271,"Reprise")</f>
        <v>0</v>
      </c>
      <c r="K240" s="4" t="n">
        <f aca="false">SUMIFS(Bouches!$M$2:$M$271,Bouches!$S$2:$S$271,A240,Bouches!$C$2:$C$271,"Extraction")</f>
        <v>45</v>
      </c>
      <c r="L240" s="4" t="n">
        <v>1</v>
      </c>
      <c r="M240" s="4" t="n">
        <v>0</v>
      </c>
      <c r="N240" s="4" t="str">
        <f aca="false">IF(AND(OR(G240&lt;Hypothèses!$B$6,ABS(I240-G240)&lt;=2),ABS(K240-H240)&lt;=2),"oui","NON")</f>
        <v>oui</v>
      </c>
      <c r="O240" s="4" t="s">
        <v>733</v>
      </c>
      <c r="P240" s="4" t="s">
        <v>705</v>
      </c>
    </row>
    <row r="241" customFormat="false" ht="15" hidden="false" customHeight="false" outlineLevel="0" collapsed="false">
      <c r="A241" s="4" t="s">
        <v>710</v>
      </c>
      <c r="B241" s="4" t="s">
        <v>91</v>
      </c>
      <c r="C241" s="4" t="s">
        <v>653</v>
      </c>
      <c r="D241" s="4" t="s">
        <v>654</v>
      </c>
      <c r="E241" s="4" t="s">
        <v>808</v>
      </c>
      <c r="F241" s="4" t="s">
        <v>807</v>
      </c>
      <c r="G241" s="9" t="n">
        <v>0</v>
      </c>
      <c r="H241" s="9" t="n">
        <v>45</v>
      </c>
      <c r="I241" s="4" t="n">
        <f aca="false">SUMIFS(Bouches!$M$2:$M$271,Bouches!$S$2:$S$271,A241,Bouches!$C$2:$C$271,"Soufflage")</f>
        <v>0</v>
      </c>
      <c r="J241" s="4" t="n">
        <f aca="false">SUMIFS(Bouches!$M$2:$M$271,Bouches!$S$2:$S$271,A241,Bouches!$C$2:$C$271,"Reprise")</f>
        <v>0</v>
      </c>
      <c r="K241" s="4" t="n">
        <f aca="false">SUMIFS(Bouches!$M$2:$M$271,Bouches!$S$2:$S$271,A241,Bouches!$C$2:$C$271,"Extraction")</f>
        <v>45</v>
      </c>
      <c r="L241" s="4" t="n">
        <v>1</v>
      </c>
      <c r="M241" s="4" t="n">
        <v>0</v>
      </c>
      <c r="N241" s="4" t="str">
        <f aca="false">IF(AND(OR(G241&lt;Hypothèses!$B$6,ABS(I241-G241)&lt;=2),ABS(K241-H241)&lt;=2),"oui","NON")</f>
        <v>oui</v>
      </c>
      <c r="O241" s="4" t="s">
        <v>733</v>
      </c>
      <c r="P241" s="4" t="s">
        <v>709</v>
      </c>
    </row>
    <row r="242" customFormat="false" ht="15" hidden="false" customHeight="false" outlineLevel="0" collapsed="false">
      <c r="A242" s="4" t="s">
        <v>704</v>
      </c>
      <c r="B242" s="4" t="s">
        <v>91</v>
      </c>
      <c r="C242" s="4" t="s">
        <v>653</v>
      </c>
      <c r="D242" s="4" t="s">
        <v>654</v>
      </c>
      <c r="E242" s="4" t="s">
        <v>808</v>
      </c>
      <c r="F242" s="4" t="s">
        <v>807</v>
      </c>
      <c r="G242" s="9" t="n">
        <v>0</v>
      </c>
      <c r="H242" s="9" t="n">
        <v>45</v>
      </c>
      <c r="I242" s="4" t="n">
        <f aca="false">SUMIFS(Bouches!$M$2:$M$271,Bouches!$S$2:$S$271,A242,Bouches!$C$2:$C$271,"Soufflage")</f>
        <v>0</v>
      </c>
      <c r="J242" s="4" t="n">
        <f aca="false">SUMIFS(Bouches!$M$2:$M$271,Bouches!$S$2:$S$271,A242,Bouches!$C$2:$C$271,"Reprise")</f>
        <v>0</v>
      </c>
      <c r="K242" s="4" t="n">
        <f aca="false">SUMIFS(Bouches!$M$2:$M$271,Bouches!$S$2:$S$271,A242,Bouches!$C$2:$C$271,"Extraction")</f>
        <v>45</v>
      </c>
      <c r="L242" s="4" t="n">
        <v>1</v>
      </c>
      <c r="M242" s="4" t="n">
        <v>0</v>
      </c>
      <c r="N242" s="4" t="str">
        <f aca="false">IF(AND(OR(G242&lt;Hypothèses!$B$6,ABS(I242-G242)&lt;=2),ABS(K242-H242)&lt;=2),"oui","NON")</f>
        <v>oui</v>
      </c>
      <c r="O242" s="4" t="s">
        <v>733</v>
      </c>
      <c r="P242" s="4" t="s">
        <v>703</v>
      </c>
    </row>
    <row r="243" customFormat="false" ht="15" hidden="false" customHeight="false" outlineLevel="0" collapsed="false">
      <c r="A243" s="4" t="s">
        <v>718</v>
      </c>
      <c r="B243" s="4" t="s">
        <v>91</v>
      </c>
      <c r="C243" s="4" t="s">
        <v>716</v>
      </c>
      <c r="D243" s="4" t="s">
        <v>654</v>
      </c>
      <c r="E243" s="4" t="s">
        <v>808</v>
      </c>
      <c r="F243" s="4" t="s">
        <v>807</v>
      </c>
      <c r="G243" s="9" t="n">
        <v>0</v>
      </c>
      <c r="H243" s="9" t="n">
        <v>45</v>
      </c>
      <c r="I243" s="4" t="n">
        <f aca="false">SUMIFS(Bouches!$M$2:$M$271,Bouches!$S$2:$S$271,A243,Bouches!$C$2:$C$271,"Soufflage")</f>
        <v>0</v>
      </c>
      <c r="J243" s="4" t="n">
        <f aca="false">SUMIFS(Bouches!$M$2:$M$271,Bouches!$S$2:$S$271,A243,Bouches!$C$2:$C$271,"Reprise")</f>
        <v>0</v>
      </c>
      <c r="K243" s="4" t="n">
        <f aca="false">SUMIFS(Bouches!$M$2:$M$271,Bouches!$S$2:$S$271,A243,Bouches!$C$2:$C$271,"Extraction")</f>
        <v>45</v>
      </c>
      <c r="L243" s="4" t="n">
        <v>1</v>
      </c>
      <c r="M243" s="4" t="n">
        <v>0</v>
      </c>
      <c r="N243" s="4" t="str">
        <f aca="false">IF(AND(OR(G243&lt;Hypothèses!$B$6,ABS(I243-G243)&lt;=2),ABS(K243-H243)&lt;=2),"oui","NON")</f>
        <v>oui</v>
      </c>
      <c r="O243" s="4" t="s">
        <v>733</v>
      </c>
      <c r="P243" s="4" t="s">
        <v>715</v>
      </c>
    </row>
    <row r="244" customFormat="false" ht="15" hidden="false" customHeight="false" outlineLevel="0" collapsed="false">
      <c r="A244" s="4" t="s">
        <v>714</v>
      </c>
      <c r="B244" s="4" t="s">
        <v>91</v>
      </c>
      <c r="C244" s="4" t="s">
        <v>653</v>
      </c>
      <c r="D244" s="4" t="s">
        <v>654</v>
      </c>
      <c r="E244" s="4" t="s">
        <v>808</v>
      </c>
      <c r="F244" s="4" t="s">
        <v>807</v>
      </c>
      <c r="G244" s="9" t="n">
        <v>0</v>
      </c>
      <c r="H244" s="9" t="n">
        <v>45</v>
      </c>
      <c r="I244" s="4" t="n">
        <f aca="false">SUMIFS(Bouches!$M$2:$M$271,Bouches!$S$2:$S$271,A244,Bouches!$C$2:$C$271,"Soufflage")</f>
        <v>0</v>
      </c>
      <c r="J244" s="4" t="n">
        <f aca="false">SUMIFS(Bouches!$M$2:$M$271,Bouches!$S$2:$S$271,A244,Bouches!$C$2:$C$271,"Reprise")</f>
        <v>0</v>
      </c>
      <c r="K244" s="4" t="n">
        <f aca="false">SUMIFS(Bouches!$M$2:$M$271,Bouches!$S$2:$S$271,A244,Bouches!$C$2:$C$271,"Extraction")</f>
        <v>45</v>
      </c>
      <c r="L244" s="4" t="n">
        <v>1</v>
      </c>
      <c r="M244" s="4" t="n">
        <v>0</v>
      </c>
      <c r="N244" s="4" t="str">
        <f aca="false">IF(AND(OR(G244&lt;Hypothèses!$B$6,ABS(I244-G244)&lt;=2),ABS(K244-H244)&lt;=2),"oui","NON")</f>
        <v>oui</v>
      </c>
      <c r="O244" s="4" t="s">
        <v>733</v>
      </c>
      <c r="P244" s="4" t="s">
        <v>713</v>
      </c>
    </row>
    <row r="245" customFormat="false" ht="15" hidden="false" customHeight="false" outlineLevel="0" collapsed="false">
      <c r="A245" s="4" t="s">
        <v>708</v>
      </c>
      <c r="B245" s="4" t="s">
        <v>91</v>
      </c>
      <c r="C245" s="4" t="s">
        <v>653</v>
      </c>
      <c r="D245" s="4" t="s">
        <v>654</v>
      </c>
      <c r="E245" s="4" t="s">
        <v>808</v>
      </c>
      <c r="F245" s="4" t="s">
        <v>807</v>
      </c>
      <c r="G245" s="9" t="n">
        <v>0</v>
      </c>
      <c r="H245" s="9" t="n">
        <v>45</v>
      </c>
      <c r="I245" s="4" t="n">
        <f aca="false">SUMIFS(Bouches!$M$2:$M$271,Bouches!$S$2:$S$271,A245,Bouches!$C$2:$C$271,"Soufflage")</f>
        <v>0</v>
      </c>
      <c r="J245" s="4" t="n">
        <f aca="false">SUMIFS(Bouches!$M$2:$M$271,Bouches!$S$2:$S$271,A245,Bouches!$C$2:$C$271,"Reprise")</f>
        <v>0</v>
      </c>
      <c r="K245" s="4" t="n">
        <f aca="false">SUMIFS(Bouches!$M$2:$M$271,Bouches!$S$2:$S$271,A245,Bouches!$C$2:$C$271,"Extraction")</f>
        <v>45</v>
      </c>
      <c r="L245" s="4" t="n">
        <v>1</v>
      </c>
      <c r="M245" s="4" t="n">
        <v>0</v>
      </c>
      <c r="N245" s="4" t="str">
        <f aca="false">IF(AND(OR(G245&lt;Hypothèses!$B$6,ABS(I245-G245)&lt;=2),ABS(K245-H245)&lt;=2),"oui","NON")</f>
        <v>oui</v>
      </c>
      <c r="O245" s="4" t="s">
        <v>733</v>
      </c>
      <c r="P245" s="4" t="s">
        <v>707</v>
      </c>
    </row>
  </sheetData>
  <autoFilter ref="A1:P2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50"/>
  </cols>
  <sheetData>
    <row r="1" customFormat="false" ht="15" hidden="false" customHeight="false" outlineLevel="0" collapsed="false">
      <c r="A1" s="3" t="s">
        <v>815</v>
      </c>
      <c r="B1" s="3" t="s">
        <v>816</v>
      </c>
      <c r="C1" s="3" t="s">
        <v>817</v>
      </c>
      <c r="D1" s="3" t="s">
        <v>818</v>
      </c>
    </row>
    <row r="2" customFormat="false" ht="23.85" hidden="false" customHeight="false" outlineLevel="0" collapsed="false">
      <c r="A2" s="14" t="s">
        <v>819</v>
      </c>
      <c r="B2" s="14" t="s">
        <v>820</v>
      </c>
      <c r="C2" s="14" t="s">
        <v>821</v>
      </c>
      <c r="D2" s="14" t="s">
        <v>822</v>
      </c>
    </row>
    <row r="3" customFormat="false" ht="23.85" hidden="false" customHeight="false" outlineLevel="0" collapsed="false">
      <c r="A3" s="14" t="s">
        <v>823</v>
      </c>
      <c r="B3" s="14" t="s">
        <v>824</v>
      </c>
      <c r="C3" s="14" t="s">
        <v>825</v>
      </c>
      <c r="D3" s="14" t="s">
        <v>826</v>
      </c>
    </row>
    <row r="4" customFormat="false" ht="23.85" hidden="false" customHeight="false" outlineLevel="0" collapsed="false">
      <c r="A4" s="14" t="s">
        <v>827</v>
      </c>
      <c r="B4" s="14" t="s">
        <v>828</v>
      </c>
      <c r="C4" s="14" t="s">
        <v>829</v>
      </c>
      <c r="D4" s="14" t="s">
        <v>830</v>
      </c>
    </row>
    <row r="5" customFormat="false" ht="23.85" hidden="false" customHeight="false" outlineLevel="0" collapsed="false">
      <c r="A5" s="14" t="s">
        <v>831</v>
      </c>
      <c r="B5" s="14" t="s">
        <v>832</v>
      </c>
      <c r="C5" s="14" t="s">
        <v>833</v>
      </c>
      <c r="D5" s="14" t="s">
        <v>834</v>
      </c>
    </row>
    <row r="6" customFormat="false" ht="23.85" hidden="false" customHeight="false" outlineLevel="0" collapsed="false">
      <c r="A6" s="14" t="s">
        <v>835</v>
      </c>
      <c r="B6" s="14" t="s">
        <v>836</v>
      </c>
      <c r="C6" s="14" t="s">
        <v>837</v>
      </c>
      <c r="D6" s="14" t="s">
        <v>838</v>
      </c>
    </row>
    <row r="7" customFormat="false" ht="23.85" hidden="false" customHeight="false" outlineLevel="0" collapsed="false">
      <c r="A7" s="14" t="s">
        <v>839</v>
      </c>
      <c r="B7" s="14" t="s">
        <v>840</v>
      </c>
      <c r="C7" s="14" t="s">
        <v>841</v>
      </c>
      <c r="D7" s="14" t="s">
        <v>842</v>
      </c>
    </row>
    <row r="8" customFormat="false" ht="35.05" hidden="false" customHeight="false" outlineLevel="0" collapsed="false">
      <c r="A8" s="14" t="s">
        <v>843</v>
      </c>
      <c r="B8" s="14" t="s">
        <v>844</v>
      </c>
      <c r="C8" s="14" t="s">
        <v>845</v>
      </c>
      <c r="D8" s="14" t="s">
        <v>846</v>
      </c>
    </row>
    <row r="9" customFormat="false" ht="35.05" hidden="false" customHeight="false" outlineLevel="0" collapsed="false">
      <c r="A9" s="14" t="s">
        <v>847</v>
      </c>
      <c r="B9" s="14" t="s">
        <v>848</v>
      </c>
      <c r="C9" s="14" t="s">
        <v>849</v>
      </c>
      <c r="D9" s="14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851</v>
      </c>
    </row>
    <row r="3" customFormat="false" ht="15" hidden="false" customHeight="false" outlineLevel="0" collapsed="false">
      <c r="A3" s="8" t="s">
        <v>852</v>
      </c>
      <c r="B3" s="15" t="n">
        <v>2.5</v>
      </c>
      <c r="C3" s="2" t="s">
        <v>853</v>
      </c>
    </row>
    <row r="4" customFormat="false" ht="15" hidden="false" customHeight="false" outlineLevel="0" collapsed="false">
      <c r="A4" s="8" t="s">
        <v>854</v>
      </c>
      <c r="B4" s="15" t="n">
        <v>60</v>
      </c>
      <c r="C4" s="2" t="s">
        <v>855</v>
      </c>
    </row>
    <row r="5" customFormat="false" ht="15" hidden="false" customHeight="false" outlineLevel="0" collapsed="false">
      <c r="A5" s="8" t="s">
        <v>856</v>
      </c>
      <c r="B5" s="15" t="n">
        <v>400</v>
      </c>
      <c r="C5" s="2" t="s">
        <v>857</v>
      </c>
    </row>
    <row r="6" customFormat="false" ht="15" hidden="false" customHeight="false" outlineLevel="0" collapsed="false">
      <c r="A6" s="8" t="s">
        <v>858</v>
      </c>
      <c r="B6" s="15" t="n">
        <v>25</v>
      </c>
      <c r="C6" s="2" t="s">
        <v>859</v>
      </c>
    </row>
    <row r="7" customFormat="false" ht="15" hidden="false" customHeight="false" outlineLevel="0" collapsed="false">
      <c r="A7" s="8" t="s">
        <v>860</v>
      </c>
      <c r="B7" s="15" t="n">
        <v>150</v>
      </c>
      <c r="C7" s="2" t="s">
        <v>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2026-10-20T14:56:39Z</dcterms:created>
  <dc:creator>openpyxl</dc:creator>
  <dc:description/>
  <dc:language>en-US</dc:language>
  <cp:lastModifiedBy/>
  <dcterms:modified xsi:type="dcterms:W3CDTF">2026-10-20T14:56:39Z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