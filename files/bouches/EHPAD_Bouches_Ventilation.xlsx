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ynthèse" sheetId="1" state="visible" r:id="rId3"/>
    <sheet name="Bouches" sheetId="2" state="visible" r:id="rId4"/>
    <sheet name="Hypothèses" sheetId="3" state="visible" r:id="rId5"/>
    <sheet name="Non posées" sheetId="4" state="visible" r:id="rId6"/>
  </sheets>
  <definedNames>
    <definedName function="false" hidden="true" localSheetId="1" name="_xlnm._FilterDatabase" vbProcedure="false">Bouches!$A$1:$O$219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<sst xmlns="http://schemas.openxmlformats.org/spreadsheetml/2006/main" count="1872" uniqueCount="407">
  <si>
    <t xml:space="preserve">Bouches de ventilation – synthèse par CTA</t>
  </si>
  <si>
    <t xml:space="preserve">EHPAD La Bassée · lot 12 CVC · détail dans l'onglet « Bouches »</t>
  </si>
  <si>
    <t xml:space="preserve">CTA</t>
  </si>
  <si>
    <t xml:space="preserve">Fonction</t>
  </si>
  <si>
    <t xml:space="preserve">Nombre de bouches</t>
  </si>
  <si>
    <t xml:space="preserve">Débit total des bouches (m³/h)</t>
  </si>
  <si>
    <t xml:space="preserve">Bouches raccordées</t>
  </si>
  <si>
    <t xml:space="preserve">Bouches à raccorder</t>
  </si>
  <si>
    <t xml:space="preserve">Débit maxi d'une bouche (m³/h)</t>
  </si>
  <si>
    <t xml:space="preserve">CTA 1</t>
  </si>
  <si>
    <t xml:space="preserve">Soufflage</t>
  </si>
  <si>
    <t xml:space="preserve">Extraction</t>
  </si>
  <si>
    <t xml:space="preserve">CTA 2</t>
  </si>
  <si>
    <t xml:space="preserve">CTA 3</t>
  </si>
  <si>
    <t xml:space="preserve">CTA 4</t>
  </si>
  <si>
    <t xml:space="preserve">CTA 5</t>
  </si>
  <si>
    <t xml:space="preserve">Reprise</t>
  </si>
  <si>
    <t xml:space="preserve">Total</t>
  </si>
  <si>
    <t xml:space="preserve">À retenir</t>
  </si>
  <si>
    <t xml:space="preserve">• Toutes les pièces ventilées ont leur bouche, sauf les petits stocks à moins de 25 m³/h (transfert d'air) et les quelques cas de l'onglet « Non posées ».</t>
  </si>
  <si>
    <t xml:space="preserve">• Les bouches « à raccorder » sont posées avec leur débit, mais leur antenne reste à faire : la colonne « Remarque » de l'onglet « Bouches » dit pourquoi.</t>
  </si>
  <si>
    <t xml:space="preserve">• Vitesse au col ≤ 2,5 m/s partout (colonne M de l'onglet « Bouches »).</t>
  </si>
  <si>
    <t xml:space="preserve">Repère</t>
  </si>
  <si>
    <t xml:space="preserve">Niveau</t>
  </si>
  <si>
    <t xml:space="preserve">N° local</t>
  </si>
  <si>
    <t xml:space="preserve">Local</t>
  </si>
  <si>
    <t xml:space="preserve">Pose</t>
  </si>
  <si>
    <t xml:space="preserve">Col L (mm)</t>
  </si>
  <si>
    <t xml:space="preserve">Col H (mm)</t>
  </si>
  <si>
    <t xml:space="preserve">Débit (m³/h)</t>
  </si>
  <si>
    <t xml:space="preserve">Section col (m²)</t>
  </si>
  <si>
    <t xml:space="preserve">Vitesse au col (m/s)</t>
  </si>
  <si>
    <t xml:space="preserve">Vitesse ≤ maxi ?</t>
  </si>
  <si>
    <t xml:space="preserve">Raccordée</t>
  </si>
  <si>
    <t xml:space="preserve">Remarque</t>
  </si>
  <si>
    <t xml:space="preserve">B016</t>
  </si>
  <si>
    <t xml:space="preserve">N00</t>
  </si>
  <si>
    <t xml:space="preserve">HEB01O</t>
  </si>
  <si>
    <t xml:space="preserve">sdb</t>
  </si>
  <si>
    <t xml:space="preserve">plafond</t>
  </si>
  <si>
    <t xml:space="preserve">oui</t>
  </si>
  <si>
    <t xml:space="preserve">B019</t>
  </si>
  <si>
    <t xml:space="preserve">HEB01C</t>
  </si>
  <si>
    <t xml:space="preserve">B023</t>
  </si>
  <si>
    <t xml:space="preserve">HEB01R</t>
  </si>
  <si>
    <t xml:space="preserve">B024</t>
  </si>
  <si>
    <t xml:space="preserve">HEB01U</t>
  </si>
  <si>
    <t xml:space="preserve">B025</t>
  </si>
  <si>
    <t xml:space="preserve">HEB01W</t>
  </si>
  <si>
    <t xml:space="preserve">B037</t>
  </si>
  <si>
    <t xml:space="preserve">HEB01CC</t>
  </si>
  <si>
    <t xml:space="preserve">B038</t>
  </si>
  <si>
    <t xml:space="preserve">HEB01P</t>
  </si>
  <si>
    <t xml:space="preserve">B119</t>
  </si>
  <si>
    <t xml:space="preserve">HEB01H</t>
  </si>
  <si>
    <t xml:space="preserve">B143</t>
  </si>
  <si>
    <t xml:space="preserve">HEB01K</t>
  </si>
  <si>
    <t xml:space="preserve">B150</t>
  </si>
  <si>
    <t xml:space="preserve">HEB01D</t>
  </si>
  <si>
    <t xml:space="preserve">B166</t>
  </si>
  <si>
    <t xml:space="preserve">HEB01L</t>
  </si>
  <si>
    <t xml:space="preserve">B174</t>
  </si>
  <si>
    <t xml:space="preserve">HEB01F</t>
  </si>
  <si>
    <t xml:space="preserve">B183</t>
  </si>
  <si>
    <t xml:space="preserve">HEB01N</t>
  </si>
  <si>
    <t xml:space="preserve">B187</t>
  </si>
  <si>
    <t xml:space="preserve">HEB01E</t>
  </si>
  <si>
    <t xml:space="preserve">B015</t>
  </si>
  <si>
    <t xml:space="preserve">N01</t>
  </si>
  <si>
    <t xml:space="preserve">HEB01NN</t>
  </si>
  <si>
    <t xml:space="preserve">B018</t>
  </si>
  <si>
    <t xml:space="preserve">HEB01GGG</t>
  </si>
  <si>
    <t xml:space="preserve">B020</t>
  </si>
  <si>
    <t xml:space="preserve">HEB01SSS</t>
  </si>
  <si>
    <t xml:space="preserve">B021</t>
  </si>
  <si>
    <t xml:space="preserve">HEB01QQ</t>
  </si>
  <si>
    <t xml:space="preserve">B022</t>
  </si>
  <si>
    <t xml:space="preserve">HEB01RR</t>
  </si>
  <si>
    <t xml:space="preserve">B035</t>
  </si>
  <si>
    <t xml:space="preserve">HEB01YYY</t>
  </si>
  <si>
    <t xml:space="preserve">B036</t>
  </si>
  <si>
    <t xml:space="preserve">HEB01PP</t>
  </si>
  <si>
    <t xml:space="preserve">B118</t>
  </si>
  <si>
    <t xml:space="preserve">HEB01AAAA</t>
  </si>
  <si>
    <t xml:space="preserve">B142</t>
  </si>
  <si>
    <t xml:space="preserve">HEB01DDD</t>
  </si>
  <si>
    <t xml:space="preserve">B149</t>
  </si>
  <si>
    <t xml:space="preserve">HEB01XXX</t>
  </si>
  <si>
    <t xml:space="preserve">B165</t>
  </si>
  <si>
    <t xml:space="preserve">HEB01FF</t>
  </si>
  <si>
    <t xml:space="preserve">B173</t>
  </si>
  <si>
    <t xml:space="preserve">HEB01TTT</t>
  </si>
  <si>
    <t xml:space="preserve">B182</t>
  </si>
  <si>
    <t xml:space="preserve">HEB01VV</t>
  </si>
  <si>
    <t xml:space="preserve">B186</t>
  </si>
  <si>
    <t xml:space="preserve">HEB01MM</t>
  </si>
  <si>
    <t xml:space="preserve">B181</t>
  </si>
  <si>
    <t xml:space="preserve">HEB01</t>
  </si>
  <si>
    <t xml:space="preserve">ch. couple</t>
  </si>
  <si>
    <t xml:space="preserve">mural</t>
  </si>
  <si>
    <t xml:space="preserve">B185</t>
  </si>
  <si>
    <t xml:space="preserve">B060</t>
  </si>
  <si>
    <t xml:space="preserve">chambre</t>
  </si>
  <si>
    <t xml:space="preserve">B081</t>
  </si>
  <si>
    <t xml:space="preserve">B099</t>
  </si>
  <si>
    <t xml:space="preserve">B101</t>
  </si>
  <si>
    <t xml:space="preserve">B111</t>
  </si>
  <si>
    <t xml:space="preserve">B112</t>
  </si>
  <si>
    <t xml:space="preserve">B124</t>
  </si>
  <si>
    <t xml:space="preserve">B126</t>
  </si>
  <si>
    <t xml:space="preserve">B141</t>
  </si>
  <si>
    <t xml:space="preserve">B162</t>
  </si>
  <si>
    <t xml:space="preserve">B334</t>
  </si>
  <si>
    <t xml:space="preserve">non</t>
  </si>
  <si>
    <t xml:space="preserve">Pas assez de place pour redescendre avant le mur de la chambre</t>
  </si>
  <si>
    <t xml:space="preserve">B353</t>
  </si>
  <si>
    <t xml:space="preserve">B180</t>
  </si>
  <si>
    <t xml:space="preserve">B184</t>
  </si>
  <si>
    <t xml:space="preserve">B059</t>
  </si>
  <si>
    <t xml:space="preserve">B080</t>
  </si>
  <si>
    <t xml:space="preserve">B098</t>
  </si>
  <si>
    <t xml:space="preserve">B100</t>
  </si>
  <si>
    <t xml:space="preserve">B109</t>
  </si>
  <si>
    <t xml:space="preserve">B110</t>
  </si>
  <si>
    <t xml:space="preserve">B123</t>
  </si>
  <si>
    <t xml:space="preserve">B125</t>
  </si>
  <si>
    <t xml:space="preserve">B140</t>
  </si>
  <si>
    <t xml:space="preserve">B161</t>
  </si>
  <si>
    <t xml:space="preserve">B333</t>
  </si>
  <si>
    <t xml:space="preserve">B352</t>
  </si>
  <si>
    <t xml:space="preserve">B044</t>
  </si>
  <si>
    <t xml:space="preserve">HEB01G</t>
  </si>
  <si>
    <t xml:space="preserve">B045</t>
  </si>
  <si>
    <t xml:space="preserve">HEB01I</t>
  </si>
  <si>
    <t xml:space="preserve">B046</t>
  </si>
  <si>
    <t xml:space="preserve">HEB01J</t>
  </si>
  <si>
    <t xml:space="preserve">B047</t>
  </si>
  <si>
    <t xml:space="preserve">HEB01S</t>
  </si>
  <si>
    <t xml:space="preserve">B048</t>
  </si>
  <si>
    <t xml:space="preserve">HEB01T</t>
  </si>
  <si>
    <t xml:space="preserve">B049</t>
  </si>
  <si>
    <t xml:space="preserve">HEB01Z</t>
  </si>
  <si>
    <t xml:space="preserve">B051</t>
  </si>
  <si>
    <t xml:space="preserve">HEB01Q</t>
  </si>
  <si>
    <t xml:space="preserve">B096</t>
  </si>
  <si>
    <t xml:space="preserve">HEB01AA</t>
  </si>
  <si>
    <t xml:space="preserve">B122</t>
  </si>
  <si>
    <t xml:space="preserve">HEB01B</t>
  </si>
  <si>
    <t xml:space="preserve">B147</t>
  </si>
  <si>
    <t xml:space="preserve">HEB01BB</t>
  </si>
  <si>
    <t xml:space="preserve">B155</t>
  </si>
  <si>
    <t xml:space="preserve">HEB01M</t>
  </si>
  <si>
    <t xml:space="preserve">B164</t>
  </si>
  <si>
    <t xml:space="preserve">HEB01V</t>
  </si>
  <si>
    <t xml:space="preserve">B170</t>
  </si>
  <si>
    <t xml:space="preserve">HEB01Y</t>
  </si>
  <si>
    <t xml:space="preserve">B177</t>
  </si>
  <si>
    <t xml:space="preserve">HEB01X</t>
  </si>
  <si>
    <t xml:space="preserve">B039</t>
  </si>
  <si>
    <t xml:space="preserve">HEB01RRR</t>
  </si>
  <si>
    <t xml:space="preserve">B040</t>
  </si>
  <si>
    <t xml:space="preserve">HEB01DD</t>
  </si>
  <si>
    <t xml:space="preserve">B041</t>
  </si>
  <si>
    <t xml:space="preserve">HEB01EE</t>
  </si>
  <si>
    <t xml:space="preserve">B042</t>
  </si>
  <si>
    <t xml:space="preserve">HEB01TT</t>
  </si>
  <si>
    <t xml:space="preserve">B043</t>
  </si>
  <si>
    <t xml:space="preserve">HEB01XX</t>
  </si>
  <si>
    <t xml:space="preserve">B050</t>
  </si>
  <si>
    <t xml:space="preserve">HEB01CCC</t>
  </si>
  <si>
    <t xml:space="preserve">B097</t>
  </si>
  <si>
    <t xml:space="preserve">HEB01ZZ</t>
  </si>
  <si>
    <t xml:space="preserve">B121</t>
  </si>
  <si>
    <t xml:space="preserve">HEB01KK</t>
  </si>
  <si>
    <t xml:space="preserve">B146</t>
  </si>
  <si>
    <t xml:space="preserve">HEB01UU</t>
  </si>
  <si>
    <t xml:space="preserve">B154</t>
  </si>
  <si>
    <t xml:space="preserve">HEB01SS</t>
  </si>
  <si>
    <t xml:space="preserve">B163</t>
  </si>
  <si>
    <t xml:space="preserve">HEB01AAA</t>
  </si>
  <si>
    <t xml:space="preserve">B169</t>
  </si>
  <si>
    <t xml:space="preserve">HEB01YY</t>
  </si>
  <si>
    <t xml:space="preserve">B369</t>
  </si>
  <si>
    <t xml:space="preserve">HEB01WW</t>
  </si>
  <si>
    <t xml:space="preserve">Antenne trop courte entre deux raccords</t>
  </si>
  <si>
    <t xml:space="preserve">B129</t>
  </si>
  <si>
    <t xml:space="preserve">ch. bariatrique</t>
  </si>
  <si>
    <t xml:space="preserve">B132</t>
  </si>
  <si>
    <t xml:space="preserve">B133</t>
  </si>
  <si>
    <t xml:space="preserve">B145</t>
  </si>
  <si>
    <t xml:space="preserve">B066</t>
  </si>
  <si>
    <t xml:space="preserve">B069</t>
  </si>
  <si>
    <t xml:space="preserve">B095</t>
  </si>
  <si>
    <t xml:space="preserve">B103</t>
  </si>
  <si>
    <t xml:space="preserve">B065</t>
  </si>
  <si>
    <t xml:space="preserve">B107</t>
  </si>
  <si>
    <t xml:space="preserve">B108</t>
  </si>
  <si>
    <t xml:space="preserve">B130</t>
  </si>
  <si>
    <t xml:space="preserve">B131</t>
  </si>
  <si>
    <t xml:space="preserve">B152</t>
  </si>
  <si>
    <t xml:space="preserve">B128</t>
  </si>
  <si>
    <t xml:space="preserve">B134</t>
  </si>
  <si>
    <t xml:space="preserve">B135</t>
  </si>
  <si>
    <t xml:space="preserve">B144</t>
  </si>
  <si>
    <t xml:space="preserve">B068</t>
  </si>
  <si>
    <t xml:space="preserve">B094</t>
  </si>
  <si>
    <t xml:space="preserve">B102</t>
  </si>
  <si>
    <t xml:space="preserve">B064</t>
  </si>
  <si>
    <t xml:space="preserve">B067</t>
  </si>
  <si>
    <t xml:space="preserve">HEB1180</t>
  </si>
  <si>
    <t xml:space="preserve">B105</t>
  </si>
  <si>
    <t xml:space="preserve">B106</t>
  </si>
  <si>
    <t xml:space="preserve">B138</t>
  </si>
  <si>
    <t xml:space="preserve">B139</t>
  </si>
  <si>
    <t xml:space="preserve">B317</t>
  </si>
  <si>
    <t xml:space="preserve">HEB01DDDD</t>
  </si>
  <si>
    <t xml:space="preserve">B318</t>
  </si>
  <si>
    <t xml:space="preserve">HEB01FFF</t>
  </si>
  <si>
    <t xml:space="preserve">B319</t>
  </si>
  <si>
    <t xml:space="preserve">HEB01MMM</t>
  </si>
  <si>
    <t xml:space="preserve">B320</t>
  </si>
  <si>
    <t xml:space="preserve">HEB01VVV</t>
  </si>
  <si>
    <t xml:space="preserve">B321</t>
  </si>
  <si>
    <t xml:space="preserve">HEB01EEE</t>
  </si>
  <si>
    <t xml:space="preserve">B345</t>
  </si>
  <si>
    <t xml:space="preserve">HEB01II</t>
  </si>
  <si>
    <t xml:space="preserve">B356</t>
  </si>
  <si>
    <t xml:space="preserve">HEB01CCCC</t>
  </si>
  <si>
    <t xml:space="preserve">B373</t>
  </si>
  <si>
    <t xml:space="preserve">HEB01JJ</t>
  </si>
  <si>
    <t xml:space="preserve">B377</t>
  </si>
  <si>
    <t xml:space="preserve">HEB01GG</t>
  </si>
  <si>
    <t xml:space="preserve">B388</t>
  </si>
  <si>
    <t xml:space="preserve">HEB01LL</t>
  </si>
  <si>
    <t xml:space="preserve">B389</t>
  </si>
  <si>
    <t xml:space="preserve">HEB01WWW</t>
  </si>
  <si>
    <t xml:space="preserve">B393</t>
  </si>
  <si>
    <t xml:space="preserve">HEB01HH</t>
  </si>
  <si>
    <t xml:space="preserve">B397</t>
  </si>
  <si>
    <t xml:space="preserve">HEB01OO</t>
  </si>
  <si>
    <t xml:space="preserve">B346</t>
  </si>
  <si>
    <t xml:space="preserve">B347</t>
  </si>
  <si>
    <t xml:space="preserve">B348</t>
  </si>
  <si>
    <t xml:space="preserve">B349</t>
  </si>
  <si>
    <t xml:space="preserve">B350</t>
  </si>
  <si>
    <t xml:space="preserve">B351</t>
  </si>
  <si>
    <t xml:space="preserve">B357</t>
  </si>
  <si>
    <t xml:space="preserve">B365</t>
  </si>
  <si>
    <t xml:space="preserve">B378</t>
  </si>
  <si>
    <t xml:space="preserve">B382</t>
  </si>
  <si>
    <t xml:space="preserve">B390</t>
  </si>
  <si>
    <t xml:space="preserve">B391</t>
  </si>
  <si>
    <t xml:space="preserve">B398</t>
  </si>
  <si>
    <t xml:space="preserve">B322</t>
  </si>
  <si>
    <t xml:space="preserve">HEB01BBB</t>
  </si>
  <si>
    <t xml:space="preserve">B325</t>
  </si>
  <si>
    <t xml:space="preserve">HEB01KKK</t>
  </si>
  <si>
    <t xml:space="preserve">B326</t>
  </si>
  <si>
    <t xml:space="preserve">HEB01LLL</t>
  </si>
  <si>
    <t xml:space="preserve">B327</t>
  </si>
  <si>
    <t xml:space="preserve">HEB01NNN</t>
  </si>
  <si>
    <t xml:space="preserve">B328</t>
  </si>
  <si>
    <t xml:space="preserve">HEB01OOO</t>
  </si>
  <si>
    <t xml:space="preserve">B329</t>
  </si>
  <si>
    <t xml:space="preserve">HEB01PPP</t>
  </si>
  <si>
    <t xml:space="preserve">B331</t>
  </si>
  <si>
    <t xml:space="preserve">HEB01III</t>
  </si>
  <si>
    <t xml:space="preserve">B354</t>
  </si>
  <si>
    <t xml:space="preserve">HEB01HHH</t>
  </si>
  <si>
    <t xml:space="preserve">B363</t>
  </si>
  <si>
    <t xml:space="preserve">HEB01UUU</t>
  </si>
  <si>
    <t xml:space="preserve">B370</t>
  </si>
  <si>
    <t xml:space="preserve">HEB01JJJ</t>
  </si>
  <si>
    <t xml:space="preserve">B374</t>
  </si>
  <si>
    <t xml:space="preserve">HEB01BBBB</t>
  </si>
  <si>
    <t xml:space="preserve">B383</t>
  </si>
  <si>
    <t xml:space="preserve">HEB01ZZZ</t>
  </si>
  <si>
    <t xml:space="preserve">B387</t>
  </si>
  <si>
    <t xml:space="preserve">HEB01QQQ</t>
  </si>
  <si>
    <t xml:space="preserve">Les deux gaines du couloir sont trop proches pour passer l'antenne par-dessus  ; Antenne trop courte entre deux raccords</t>
  </si>
  <si>
    <t xml:space="preserve">B323</t>
  </si>
  <si>
    <t xml:space="preserve">B332</t>
  </si>
  <si>
    <t xml:space="preserve">B343</t>
  </si>
  <si>
    <t xml:space="preserve">B358</t>
  </si>
  <si>
    <t xml:space="preserve">B359</t>
  </si>
  <si>
    <t xml:space="preserve">B360</t>
  </si>
  <si>
    <t xml:space="preserve">B361</t>
  </si>
  <si>
    <t xml:space="preserve">B362</t>
  </si>
  <si>
    <t xml:space="preserve">B364</t>
  </si>
  <si>
    <t xml:space="preserve">B368</t>
  </si>
  <si>
    <t xml:space="preserve">B375</t>
  </si>
  <si>
    <t xml:space="preserve">B376</t>
  </si>
  <si>
    <t xml:space="preserve">B385</t>
  </si>
  <si>
    <t xml:space="preserve">B355</t>
  </si>
  <si>
    <t xml:space="preserve">BUR02</t>
  </si>
  <si>
    <t xml:space="preserve">accueil</t>
  </si>
  <si>
    <t xml:space="preserve">B381</t>
  </si>
  <si>
    <t xml:space="preserve">LOG09</t>
  </si>
  <si>
    <t xml:space="preserve">atelier</t>
  </si>
  <si>
    <t xml:space="preserve">B395</t>
  </si>
  <si>
    <t xml:space="preserve">BUR02A</t>
  </si>
  <si>
    <t xml:space="preserve">b. animation</t>
  </si>
  <si>
    <t xml:space="preserve">B301</t>
  </si>
  <si>
    <t xml:space="preserve">BUR01</t>
  </si>
  <si>
    <t xml:space="preserve">bur. ben.</t>
  </si>
  <si>
    <t xml:space="preserve">Piquage à reprendre à la main (raccord de la gaine principale à proximité)</t>
  </si>
  <si>
    <t xml:space="preserve">B394</t>
  </si>
  <si>
    <t xml:space="preserve">bur. cadre</t>
  </si>
  <si>
    <t xml:space="preserve">B315</t>
  </si>
  <si>
    <t xml:space="preserve">bur. mut.</t>
  </si>
  <si>
    <t xml:space="preserve">B302</t>
  </si>
  <si>
    <t xml:space="preserve">bur. poly.</t>
  </si>
  <si>
    <t xml:space="preserve">B303</t>
  </si>
  <si>
    <t xml:space="preserve">convivialité</t>
  </si>
  <si>
    <t xml:space="preserve">B330</t>
  </si>
  <si>
    <t xml:space="preserve">VIE04</t>
  </si>
  <si>
    <t xml:space="preserve">famille</t>
  </si>
  <si>
    <t xml:space="preserve">B396</t>
  </si>
  <si>
    <t xml:space="preserve">SOI01</t>
  </si>
  <si>
    <t xml:space="preserve">pc ide</t>
  </si>
  <si>
    <t xml:space="preserve">B392</t>
  </si>
  <si>
    <t xml:space="preserve">pc médical</t>
  </si>
  <si>
    <t xml:space="preserve">B336</t>
  </si>
  <si>
    <t xml:space="preserve">SOI02</t>
  </si>
  <si>
    <t xml:space="preserve">prépa.</t>
  </si>
  <si>
    <t xml:space="preserve">B304</t>
  </si>
  <si>
    <t xml:space="preserve">VIE05</t>
  </si>
  <si>
    <t xml:space="preserve">rééducation</t>
  </si>
  <si>
    <t xml:space="preserve">B308</t>
  </si>
  <si>
    <t xml:space="preserve">VIE02</t>
  </si>
  <si>
    <t xml:space="preserve">salle à manger</t>
  </si>
  <si>
    <t xml:space="preserve">B309</t>
  </si>
  <si>
    <t xml:space="preserve">B310</t>
  </si>
  <si>
    <t xml:space="preserve">B311</t>
  </si>
  <si>
    <t xml:space="preserve">B312</t>
  </si>
  <si>
    <t xml:space="preserve">B313</t>
  </si>
  <si>
    <t xml:space="preserve">B314</t>
  </si>
  <si>
    <t xml:space="preserve">B342</t>
  </si>
  <si>
    <t xml:space="preserve">SOI03</t>
  </si>
  <si>
    <t xml:space="preserve">soins</t>
  </si>
  <si>
    <t xml:space="preserve">B305</t>
  </si>
  <si>
    <t xml:space="preserve">SOI05</t>
  </si>
  <si>
    <t xml:space="preserve">transmissions</t>
  </si>
  <si>
    <t xml:space="preserve">B324</t>
  </si>
  <si>
    <t xml:space="preserve">BUR06</t>
  </si>
  <si>
    <t xml:space="preserve">bureau</t>
  </si>
  <si>
    <t xml:space="preserve">B366</t>
  </si>
  <si>
    <t xml:space="preserve">HEB03</t>
  </si>
  <si>
    <t xml:space="preserve">salle à manger salon</t>
  </si>
  <si>
    <t xml:space="preserve">B367</t>
  </si>
  <si>
    <t xml:space="preserve">B379</t>
  </si>
  <si>
    <t xml:space="preserve">B380</t>
  </si>
  <si>
    <t xml:space="preserve">B058</t>
  </si>
  <si>
    <t xml:space="preserve">B386</t>
  </si>
  <si>
    <t xml:space="preserve">B090</t>
  </si>
  <si>
    <t xml:space="preserve">B337</t>
  </si>
  <si>
    <t xml:space="preserve">B211</t>
  </si>
  <si>
    <t xml:space="preserve">B335</t>
  </si>
  <si>
    <t xml:space="preserve">B340</t>
  </si>
  <si>
    <t xml:space="preserve">B091</t>
  </si>
  <si>
    <t xml:space="preserve">VIE06</t>
  </si>
  <si>
    <t xml:space="preserve">coiffure</t>
  </si>
  <si>
    <t xml:space="preserve">B341</t>
  </si>
  <si>
    <t xml:space="preserve">B344</t>
  </si>
  <si>
    <t xml:space="preserve">B209</t>
  </si>
  <si>
    <t xml:space="preserve">B194</t>
  </si>
  <si>
    <t xml:space="preserve">B316</t>
  </si>
  <si>
    <t xml:space="preserve">B338</t>
  </si>
  <si>
    <t xml:space="preserve">B001</t>
  </si>
  <si>
    <t xml:space="preserve">B002</t>
  </si>
  <si>
    <t xml:space="preserve">B003</t>
  </si>
  <si>
    <t xml:space="preserve">B005</t>
  </si>
  <si>
    <t xml:space="preserve">B006</t>
  </si>
  <si>
    <t xml:space="preserve">B306</t>
  </si>
  <si>
    <t xml:space="preserve">B307</t>
  </si>
  <si>
    <t xml:space="preserve">B078</t>
  </si>
  <si>
    <t xml:space="preserve">B339</t>
  </si>
  <si>
    <t xml:space="preserve">B089</t>
  </si>
  <si>
    <t xml:space="preserve">B033</t>
  </si>
  <si>
    <t xml:space="preserve">HEB04</t>
  </si>
  <si>
    <t xml:space="preserve">B034</t>
  </si>
  <si>
    <t xml:space="preserve">B371</t>
  </si>
  <si>
    <t xml:space="preserve">B372</t>
  </si>
  <si>
    <t xml:space="preserve">B384</t>
  </si>
  <si>
    <t xml:space="preserve">Hypothèses de dimensionnement des bouches</t>
  </si>
  <si>
    <t xml:space="preserve">Vitesse maxi au col des bouches (m/s)</t>
  </si>
  <si>
    <t xml:space="preserve">Hypothèse équipe : vitesse basse pour limiter le bruit (CCTP § 4.10.4 : « ne devront pas provoquer de bruit d'écoulement »)</t>
  </si>
  <si>
    <t xml:space="preserve">Hauteur du col / des antennes (mm)</t>
  </si>
  <si>
    <t xml:space="preserve">Hypothèse équipe : antennes plates pour passer dans le plénum et au-dessus des gaines principales</t>
  </si>
  <si>
    <t xml:space="preserve">Débit maxi par bouche (m³/h)</t>
  </si>
  <si>
    <t xml:space="preserve">Hypothèse équipe : au-delà, la pièce reçoit plusieurs bouches</t>
  </si>
  <si>
    <t xml:space="preserve">Débit mini pour poser une bouche (m³/h)</t>
  </si>
  <si>
    <t xml:space="preserve">Choix d'Allan : en dessous (petits stocks, réserves), transfert d'air par la porte</t>
  </si>
  <si>
    <t xml:space="preserve">• Chambres : 1 grille de soufflage murale de 90 m³/h, posée dans le mur côté couloir, au-dessus de l'entrée (sous le faux plafond de l'entrée de la chambre).</t>
  </si>
  <si>
    <t xml:space="preserve">• Salles de bains des chambres : 1 bouche d'extraction en plafond de 90 m³/h.</t>
  </si>
  <si>
    <t xml:space="preserve">• Locaux communs (CTA 5) : bouches de soufflage et de reprise en plafond, même débit au soufflage et à la reprise (hypothèse de l'Excel des gaines).</t>
  </si>
  <si>
    <t xml:space="preserve">• Raccordement : antenne en gaine rigide (pas de flexible), piquage sur la gaine principale, coudes à angle carré à 90°. Quand l'antenne croise l'autre gaine du couloir, elle passe au-dessus.</t>
  </si>
  <si>
    <t xml:space="preserve">• Débits : onglet « Débits par local » du fichier des débits (90 m³/h par chambre, CCTP § 2.2 et § 4.10).</t>
  </si>
  <si>
    <t xml:space="preserve">Pourquoi</t>
  </si>
  <si>
    <t xml:space="preserve">Pièce desservie par la branche de soufflage du hall : reprise par transfert vers le couloir</t>
  </si>
  <si>
    <t xml:space="preserve">Pièce sur la branche de soufflage de l'étage : reprise par transfert vers le couloir</t>
  </si>
  <si>
    <t xml:space="preserve">DET01</t>
  </si>
  <si>
    <t xml:space="preserve">détente</t>
  </si>
  <si>
    <t xml:space="preserve">Local à l'est de l'étage, loin du réseau CTA 5 : à raccorder sur la CTA 2 (gaines de l'aile Sud toutes proches)</t>
  </si>
  <si>
    <t xml:space="preserve">Idem : à raccorder sur la CTA 2</t>
  </si>
  <si>
    <t xml:space="preserve">salle à manger salon (2e bouche)</t>
  </si>
  <si>
    <t xml:space="preserve">Pas de place pour une 2e antenne : à placer à la main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</si>
</sst>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General"/>
    <numFmt numFmtId="167" formatCode="0.0000"/>
    <numFmt numFmtId="168" formatCode="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C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16"/>
    <col collapsed="false" customWidth="true" hidden="false" outlineLevel="0" max="6" min="5" style="0" width="12"/>
    <col collapsed="false" customWidth="true" hidden="false" outlineLevel="0" max="7" min="7" style="0" width="14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5.0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customFormat="false" ht="15" hidden="false" customHeight="false" outlineLevel="0" collapsed="false">
      <c r="A5" s="4" t="s">
        <v>9</v>
      </c>
      <c r="B5" s="4" t="s">
        <v>10</v>
      </c>
      <c r="C5" s="4" t="n">
        <f aca="false">COUNTIFS(Bouches!$B$2:$B$219,A5,Bouches!$C$2:$C$219,B5)</f>
        <v>28</v>
      </c>
      <c r="D5" s="5" t="n">
        <f aca="false">SUMIFS(Bouches!$J$2:$J$219,Bouches!$B$2:$B$219,A5,Bouches!$C$2:$C$219,B5)</f>
        <v>2520</v>
      </c>
      <c r="E5" s="4" t="n">
        <f aca="false">COUNTIFS(Bouches!$B$2:$B$219,A5,Bouches!$C$2:$C$219,B5,Bouches!$N$2:$N$219,"oui")</f>
        <v>26</v>
      </c>
      <c r="F5" s="4" t="n">
        <f aca="false">C5-E5</f>
        <v>2</v>
      </c>
      <c r="G5" s="4" t="n">
        <f aca="false">_xlfn.MAXIFS(Bouches!$J$2:$J$219,Bouches!$B$2:$B$219,A5,Bouches!$C$2:$C$219,B5)</f>
        <v>90</v>
      </c>
    </row>
    <row r="6" customFormat="false" ht="15" hidden="false" customHeight="false" outlineLevel="0" collapsed="false">
      <c r="A6" s="4" t="s">
        <v>9</v>
      </c>
      <c r="B6" s="4" t="s">
        <v>11</v>
      </c>
      <c r="C6" s="4" t="n">
        <f aca="false">COUNTIFS(Bouches!$B$2:$B$219,A6,Bouches!$C$2:$C$219,B6)</f>
        <v>28</v>
      </c>
      <c r="D6" s="5" t="n">
        <f aca="false">SUMIFS(Bouches!$J$2:$J$219,Bouches!$B$2:$B$219,A6,Bouches!$C$2:$C$219,B6)</f>
        <v>2520</v>
      </c>
      <c r="E6" s="4" t="n">
        <f aca="false">COUNTIFS(Bouches!$B$2:$B$219,A6,Bouches!$C$2:$C$219,B6,Bouches!$N$2:$N$219,"oui")</f>
        <v>28</v>
      </c>
      <c r="F6" s="4" t="n">
        <f aca="false">C6-E6</f>
        <v>0</v>
      </c>
      <c r="G6" s="4" t="n">
        <f aca="false">_xlfn.MAXIFS(Bouches!$J$2:$J$219,Bouches!$B$2:$B$219,A6,Bouches!$C$2:$C$219,B6)</f>
        <v>90</v>
      </c>
    </row>
    <row r="7" customFormat="false" ht="15" hidden="false" customHeight="false" outlineLevel="0" collapsed="false">
      <c r="A7" s="4" t="s">
        <v>12</v>
      </c>
      <c r="B7" s="4" t="s">
        <v>10</v>
      </c>
      <c r="C7" s="4" t="n">
        <f aca="false">COUNTIFS(Bouches!$B$2:$B$219,A7,Bouches!$C$2:$C$219,B7)</f>
        <v>27</v>
      </c>
      <c r="D7" s="5" t="n">
        <f aca="false">SUMIFS(Bouches!$J$2:$J$219,Bouches!$B$2:$B$219,A7,Bouches!$C$2:$C$219,B7)</f>
        <v>2430</v>
      </c>
      <c r="E7" s="4" t="n">
        <f aca="false">COUNTIFS(Bouches!$B$2:$B$219,A7,Bouches!$C$2:$C$219,B7,Bouches!$N$2:$N$219,"oui")</f>
        <v>27</v>
      </c>
      <c r="F7" s="4" t="n">
        <f aca="false">C7-E7</f>
        <v>0</v>
      </c>
      <c r="G7" s="4" t="n">
        <f aca="false">_xlfn.MAXIFS(Bouches!$J$2:$J$219,Bouches!$B$2:$B$219,A7,Bouches!$C$2:$C$219,B7)</f>
        <v>90</v>
      </c>
    </row>
    <row r="8" customFormat="false" ht="15" hidden="false" customHeight="false" outlineLevel="0" collapsed="false">
      <c r="A8" s="4" t="s">
        <v>12</v>
      </c>
      <c r="B8" s="4" t="s">
        <v>11</v>
      </c>
      <c r="C8" s="4" t="n">
        <f aca="false">COUNTIFS(Bouches!$B$2:$B$219,A8,Bouches!$C$2:$C$219,B8)</f>
        <v>27</v>
      </c>
      <c r="D8" s="5" t="n">
        <f aca="false">SUMIFS(Bouches!$J$2:$J$219,Bouches!$B$2:$B$219,A8,Bouches!$C$2:$C$219,B8)</f>
        <v>2430</v>
      </c>
      <c r="E8" s="4" t="n">
        <f aca="false">COUNTIFS(Bouches!$B$2:$B$219,A8,Bouches!$C$2:$C$219,B8,Bouches!$N$2:$N$219,"oui")</f>
        <v>26</v>
      </c>
      <c r="F8" s="4" t="n">
        <f aca="false">C8-E8</f>
        <v>1</v>
      </c>
      <c r="G8" s="4" t="n">
        <f aca="false">_xlfn.MAXIFS(Bouches!$J$2:$J$219,Bouches!$B$2:$B$219,A8,Bouches!$C$2:$C$219,B8)</f>
        <v>90</v>
      </c>
    </row>
    <row r="9" customFormat="false" ht="15" hidden="false" customHeight="false" outlineLevel="0" collapsed="false">
      <c r="A9" s="4" t="s">
        <v>13</v>
      </c>
      <c r="B9" s="4" t="s">
        <v>10</v>
      </c>
      <c r="C9" s="4" t="n">
        <f aca="false">COUNTIFS(Bouches!$B$2:$B$219,A9,Bouches!$C$2:$C$219,B9)</f>
        <v>13</v>
      </c>
      <c r="D9" s="5" t="n">
        <f aca="false">SUMIFS(Bouches!$J$2:$J$219,Bouches!$B$2:$B$219,A9,Bouches!$C$2:$C$219,B9)</f>
        <v>1170</v>
      </c>
      <c r="E9" s="4" t="n">
        <f aca="false">COUNTIFS(Bouches!$B$2:$B$219,A9,Bouches!$C$2:$C$219,B9,Bouches!$N$2:$N$219,"oui")</f>
        <v>12</v>
      </c>
      <c r="F9" s="4" t="n">
        <f aca="false">C9-E9</f>
        <v>1</v>
      </c>
      <c r="G9" s="4" t="n">
        <f aca="false">_xlfn.MAXIFS(Bouches!$J$2:$J$219,Bouches!$B$2:$B$219,A9,Bouches!$C$2:$C$219,B9)</f>
        <v>90</v>
      </c>
    </row>
    <row r="10" customFormat="false" ht="15" hidden="false" customHeight="false" outlineLevel="0" collapsed="false">
      <c r="A10" s="4" t="s">
        <v>13</v>
      </c>
      <c r="B10" s="4" t="s">
        <v>11</v>
      </c>
      <c r="C10" s="4" t="n">
        <f aca="false">COUNTIFS(Bouches!$B$2:$B$219,A10,Bouches!$C$2:$C$219,B10)</f>
        <v>13</v>
      </c>
      <c r="D10" s="5" t="n">
        <f aca="false">SUMIFS(Bouches!$J$2:$J$219,Bouches!$B$2:$B$219,A10,Bouches!$C$2:$C$219,B10)</f>
        <v>1170</v>
      </c>
      <c r="E10" s="4" t="n">
        <f aca="false">COUNTIFS(Bouches!$B$2:$B$219,A10,Bouches!$C$2:$C$219,B10,Bouches!$N$2:$N$219,"oui")</f>
        <v>13</v>
      </c>
      <c r="F10" s="4" t="n">
        <f aca="false">C10-E10</f>
        <v>0</v>
      </c>
      <c r="G10" s="4" t="n">
        <f aca="false">_xlfn.MAXIFS(Bouches!$J$2:$J$219,Bouches!$B$2:$B$219,A10,Bouches!$C$2:$C$219,B10)</f>
        <v>90</v>
      </c>
    </row>
    <row r="11" customFormat="false" ht="15" hidden="false" customHeight="false" outlineLevel="0" collapsed="false">
      <c r="A11" s="4" t="s">
        <v>14</v>
      </c>
      <c r="B11" s="4" t="s">
        <v>10</v>
      </c>
      <c r="C11" s="4" t="n">
        <f aca="false">COUNTIFS(Bouches!$B$2:$B$219,A11,Bouches!$C$2:$C$219,B11)</f>
        <v>13</v>
      </c>
      <c r="D11" s="5" t="n">
        <f aca="false">SUMIFS(Bouches!$J$2:$J$219,Bouches!$B$2:$B$219,A11,Bouches!$C$2:$C$219,B11)</f>
        <v>1170</v>
      </c>
      <c r="E11" s="4" t="n">
        <f aca="false">COUNTIFS(Bouches!$B$2:$B$219,A11,Bouches!$C$2:$C$219,B11,Bouches!$N$2:$N$219,"oui")</f>
        <v>13</v>
      </c>
      <c r="F11" s="4" t="n">
        <f aca="false">C11-E11</f>
        <v>0</v>
      </c>
      <c r="G11" s="4" t="n">
        <f aca="false">_xlfn.MAXIFS(Bouches!$J$2:$J$219,Bouches!$B$2:$B$219,A11,Bouches!$C$2:$C$219,B11)</f>
        <v>90</v>
      </c>
    </row>
    <row r="12" customFormat="false" ht="15" hidden="false" customHeight="false" outlineLevel="0" collapsed="false">
      <c r="A12" s="4" t="s">
        <v>14</v>
      </c>
      <c r="B12" s="4" t="s">
        <v>11</v>
      </c>
      <c r="C12" s="4" t="n">
        <f aca="false">COUNTIFS(Bouches!$B$2:$B$219,A12,Bouches!$C$2:$C$219,B12)</f>
        <v>13</v>
      </c>
      <c r="D12" s="5" t="n">
        <f aca="false">SUMIFS(Bouches!$J$2:$J$219,Bouches!$B$2:$B$219,A12,Bouches!$C$2:$C$219,B12)</f>
        <v>1170</v>
      </c>
      <c r="E12" s="4" t="n">
        <f aca="false">COUNTIFS(Bouches!$B$2:$B$219,A12,Bouches!$C$2:$C$219,B12,Bouches!$N$2:$N$219,"oui")</f>
        <v>12</v>
      </c>
      <c r="F12" s="4" t="n">
        <f aca="false">C12-E12</f>
        <v>1</v>
      </c>
      <c r="G12" s="4" t="n">
        <f aca="false">_xlfn.MAXIFS(Bouches!$J$2:$J$219,Bouches!$B$2:$B$219,A12,Bouches!$C$2:$C$219,B12)</f>
        <v>90</v>
      </c>
    </row>
    <row r="13" customFormat="false" ht="15" hidden="false" customHeight="false" outlineLevel="0" collapsed="false">
      <c r="A13" s="4" t="s">
        <v>15</v>
      </c>
      <c r="B13" s="4" t="s">
        <v>10</v>
      </c>
      <c r="C13" s="4" t="n">
        <f aca="false">COUNTIFS(Bouches!$B$2:$B$219,A13,Bouches!$C$2:$C$219,B13)</f>
        <v>29</v>
      </c>
      <c r="D13" s="5" t="n">
        <f aca="false">SUMIFS(Bouches!$J$2:$J$219,Bouches!$B$2:$B$219,A13,Bouches!$C$2:$C$219,B13)</f>
        <v>5567</v>
      </c>
      <c r="E13" s="4" t="n">
        <f aca="false">COUNTIFS(Bouches!$B$2:$B$219,A13,Bouches!$C$2:$C$219,B13,Bouches!$N$2:$N$219,"oui")</f>
        <v>21</v>
      </c>
      <c r="F13" s="4" t="n">
        <f aca="false">C13-E13</f>
        <v>8</v>
      </c>
      <c r="G13" s="4" t="n">
        <f aca="false">_xlfn.MAXIFS(Bouches!$J$2:$J$219,Bouches!$B$2:$B$219,A13,Bouches!$C$2:$C$219,B13)</f>
        <v>363</v>
      </c>
    </row>
    <row r="14" customFormat="false" ht="15" hidden="false" customHeight="false" outlineLevel="0" collapsed="false">
      <c r="A14" s="4" t="s">
        <v>15</v>
      </c>
      <c r="B14" s="4" t="s">
        <v>16</v>
      </c>
      <c r="C14" s="4" t="n">
        <f aca="false">COUNTIFS(Bouches!$B$2:$B$219,A14,Bouches!$C$2:$C$219,B14)</f>
        <v>27</v>
      </c>
      <c r="D14" s="5" t="n">
        <f aca="false">SUMIFS(Bouches!$J$2:$J$219,Bouches!$B$2:$B$219,A14,Bouches!$C$2:$C$219,B14)</f>
        <v>5353</v>
      </c>
      <c r="E14" s="4" t="n">
        <f aca="false">COUNTIFS(Bouches!$B$2:$B$219,A14,Bouches!$C$2:$C$219,B14,Bouches!$N$2:$N$219,"oui")</f>
        <v>12</v>
      </c>
      <c r="F14" s="4" t="n">
        <f aca="false">C14-E14</f>
        <v>15</v>
      </c>
      <c r="G14" s="4" t="n">
        <f aca="false">_xlfn.MAXIFS(Bouches!$J$2:$J$219,Bouches!$B$2:$B$219,A14,Bouches!$C$2:$C$219,B14)</f>
        <v>363</v>
      </c>
    </row>
    <row r="15" customFormat="false" ht="15" hidden="false" customHeight="false" outlineLevel="0" collapsed="false">
      <c r="A15" s="6" t="s">
        <v>17</v>
      </c>
      <c r="C15" s="7" t="n">
        <f aca="false">SUM(C5:C14)</f>
        <v>218</v>
      </c>
      <c r="D15" s="8" t="n">
        <f aca="false">SUM(D5:D14)</f>
        <v>25500</v>
      </c>
      <c r="E15" s="7" t="n">
        <f aca="false">SUM(E5:E14)</f>
        <v>190</v>
      </c>
      <c r="F15" s="7" t="n">
        <f aca="false">SUM(F5:F14)</f>
        <v>28</v>
      </c>
    </row>
    <row r="17" customFormat="false" ht="15" hidden="false" customHeight="false" outlineLevel="0" collapsed="false">
      <c r="A17" s="6" t="s">
        <v>18</v>
      </c>
    </row>
    <row r="18" customFormat="false" ht="15" hidden="false" customHeight="false" outlineLevel="0" collapsed="false">
      <c r="A18" s="9" t="s">
        <v>19</v>
      </c>
    </row>
    <row r="19" customFormat="false" ht="15" hidden="false" customHeight="false" outlineLevel="0" collapsed="false">
      <c r="A19" s="9" t="s">
        <v>20</v>
      </c>
    </row>
    <row r="20" customFormat="false" ht="15" hidden="false" customHeight="false" outlineLevel="0" collapsed="false">
      <c r="A20" s="9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7"/>
    <col collapsed="false" customWidth="true" hidden="false" outlineLevel="0" max="3" min="3" style="0" width="11"/>
    <col collapsed="false" customWidth="true" hidden="false" outlineLevel="0" max="4" min="4" style="0" width="7"/>
    <col collapsed="false" customWidth="true" hidden="false" outlineLevel="0" max="5" min="5" style="0" width="9"/>
    <col collapsed="false" customWidth="true" hidden="false" outlineLevel="0" max="6" min="6" style="0" width="22"/>
    <col collapsed="false" customWidth="true" hidden="false" outlineLevel="0" max="9" min="7" style="0" width="8"/>
    <col collapsed="false" customWidth="true" hidden="false" outlineLevel="0" max="10" min="10" style="0" width="10"/>
    <col collapsed="false" customWidth="true" hidden="false" outlineLevel="0" max="12" min="11" style="0" width="11"/>
    <col collapsed="false" customWidth="true" hidden="false" outlineLevel="0" max="14" min="13" style="0" width="10"/>
    <col collapsed="false" customWidth="true" hidden="false" outlineLevel="0" max="15" min="15" style="0" width="60"/>
  </cols>
  <sheetData>
    <row r="1" customFormat="false" ht="35.05" hidden="false" customHeight="false" outlineLevel="0" collapsed="false">
      <c r="A1" s="10" t="s">
        <v>22</v>
      </c>
      <c r="B1" s="10" t="s">
        <v>2</v>
      </c>
      <c r="C1" s="10" t="s">
        <v>3</v>
      </c>
      <c r="D1" s="10" t="s">
        <v>23</v>
      </c>
      <c r="E1" s="10" t="s">
        <v>24</v>
      </c>
      <c r="F1" s="10" t="s">
        <v>25</v>
      </c>
      <c r="G1" s="10" t="s">
        <v>26</v>
      </c>
      <c r="H1" s="10" t="s">
        <v>27</v>
      </c>
      <c r="I1" s="10" t="s">
        <v>28</v>
      </c>
      <c r="J1" s="10" t="s">
        <v>29</v>
      </c>
      <c r="K1" s="10" t="s">
        <v>30</v>
      </c>
      <c r="L1" s="10" t="s">
        <v>31</v>
      </c>
      <c r="M1" s="10" t="s">
        <v>32</v>
      </c>
      <c r="N1" s="10" t="s">
        <v>33</v>
      </c>
      <c r="O1" s="10" t="s">
        <v>34</v>
      </c>
    </row>
    <row r="2" customFormat="false" ht="15" hidden="false" customHeight="false" outlineLevel="0" collapsed="false">
      <c r="A2" s="4" t="s">
        <v>35</v>
      </c>
      <c r="B2" s="4" t="s">
        <v>9</v>
      </c>
      <c r="C2" s="4" t="s">
        <v>11</v>
      </c>
      <c r="D2" s="4" t="s">
        <v>36</v>
      </c>
      <c r="E2" s="4" t="s">
        <v>37</v>
      </c>
      <c r="F2" s="4" t="s">
        <v>38</v>
      </c>
      <c r="G2" s="4" t="s">
        <v>39</v>
      </c>
      <c r="H2" s="4" t="n">
        <v>200</v>
      </c>
      <c r="I2" s="4" t="n">
        <v>60</v>
      </c>
      <c r="J2" s="11" t="n">
        <v>90</v>
      </c>
      <c r="K2" s="12" t="n">
        <f aca="false">H2*I2/1000000</f>
        <v>0.012</v>
      </c>
      <c r="L2" s="13" t="n">
        <f aca="false">J2/3600/K2</f>
        <v>2.08333333333333</v>
      </c>
      <c r="M2" s="4" t="str">
        <f aca="false">IF(L2&lt;=Hypothèses!$B$3,"oui","NON")</f>
        <v>oui</v>
      </c>
      <c r="N2" s="14" t="s">
        <v>40</v>
      </c>
      <c r="O2" s="14"/>
    </row>
    <row r="3" customFormat="false" ht="15" hidden="false" customHeight="false" outlineLevel="0" collapsed="false">
      <c r="A3" s="4" t="s">
        <v>41</v>
      </c>
      <c r="B3" s="4" t="s">
        <v>9</v>
      </c>
      <c r="C3" s="4" t="s">
        <v>11</v>
      </c>
      <c r="D3" s="4" t="s">
        <v>36</v>
      </c>
      <c r="E3" s="4" t="s">
        <v>42</v>
      </c>
      <c r="F3" s="4" t="s">
        <v>38</v>
      </c>
      <c r="G3" s="4" t="s">
        <v>39</v>
      </c>
      <c r="H3" s="4" t="n">
        <v>200</v>
      </c>
      <c r="I3" s="4" t="n">
        <v>60</v>
      </c>
      <c r="J3" s="11" t="n">
        <v>90</v>
      </c>
      <c r="K3" s="12" t="n">
        <f aca="false">H3*I3/1000000</f>
        <v>0.012</v>
      </c>
      <c r="L3" s="13" t="n">
        <f aca="false">J3/3600/K3</f>
        <v>2.08333333333333</v>
      </c>
      <c r="M3" s="4" t="str">
        <f aca="false">IF(L3&lt;=Hypothèses!$B$3,"oui","NON")</f>
        <v>oui</v>
      </c>
      <c r="N3" s="14" t="s">
        <v>40</v>
      </c>
      <c r="O3" s="14"/>
    </row>
    <row r="4" customFormat="false" ht="15" hidden="false" customHeight="false" outlineLevel="0" collapsed="false">
      <c r="A4" s="4" t="s">
        <v>43</v>
      </c>
      <c r="B4" s="4" t="s">
        <v>9</v>
      </c>
      <c r="C4" s="4" t="s">
        <v>11</v>
      </c>
      <c r="D4" s="4" t="s">
        <v>36</v>
      </c>
      <c r="E4" s="4" t="s">
        <v>44</v>
      </c>
      <c r="F4" s="4" t="s">
        <v>38</v>
      </c>
      <c r="G4" s="4" t="s">
        <v>39</v>
      </c>
      <c r="H4" s="4" t="n">
        <v>200</v>
      </c>
      <c r="I4" s="4" t="n">
        <v>60</v>
      </c>
      <c r="J4" s="11" t="n">
        <v>90</v>
      </c>
      <c r="K4" s="12" t="n">
        <f aca="false">H4*I4/1000000</f>
        <v>0.012</v>
      </c>
      <c r="L4" s="13" t="n">
        <f aca="false">J4/3600/K4</f>
        <v>2.08333333333333</v>
      </c>
      <c r="M4" s="4" t="str">
        <f aca="false">IF(L4&lt;=Hypothèses!$B$3,"oui","NON")</f>
        <v>oui</v>
      </c>
      <c r="N4" s="14" t="s">
        <v>40</v>
      </c>
      <c r="O4" s="14"/>
    </row>
    <row r="5" customFormat="false" ht="15" hidden="false" customHeight="false" outlineLevel="0" collapsed="false">
      <c r="A5" s="4" t="s">
        <v>45</v>
      </c>
      <c r="B5" s="4" t="s">
        <v>9</v>
      </c>
      <c r="C5" s="4" t="s">
        <v>11</v>
      </c>
      <c r="D5" s="4" t="s">
        <v>36</v>
      </c>
      <c r="E5" s="4" t="s">
        <v>46</v>
      </c>
      <c r="F5" s="4" t="s">
        <v>38</v>
      </c>
      <c r="G5" s="4" t="s">
        <v>39</v>
      </c>
      <c r="H5" s="4" t="n">
        <v>200</v>
      </c>
      <c r="I5" s="4" t="n">
        <v>60</v>
      </c>
      <c r="J5" s="11" t="n">
        <v>90</v>
      </c>
      <c r="K5" s="12" t="n">
        <f aca="false">H5*I5/1000000</f>
        <v>0.012</v>
      </c>
      <c r="L5" s="13" t="n">
        <f aca="false">J5/3600/K5</f>
        <v>2.08333333333333</v>
      </c>
      <c r="M5" s="4" t="str">
        <f aca="false">IF(L5&lt;=Hypothèses!$B$3,"oui","NON")</f>
        <v>oui</v>
      </c>
      <c r="N5" s="14" t="s">
        <v>40</v>
      </c>
      <c r="O5" s="14"/>
    </row>
    <row r="6" customFormat="false" ht="15" hidden="false" customHeight="false" outlineLevel="0" collapsed="false">
      <c r="A6" s="4" t="s">
        <v>47</v>
      </c>
      <c r="B6" s="4" t="s">
        <v>9</v>
      </c>
      <c r="C6" s="4" t="s">
        <v>11</v>
      </c>
      <c r="D6" s="4" t="s">
        <v>36</v>
      </c>
      <c r="E6" s="4" t="s">
        <v>48</v>
      </c>
      <c r="F6" s="4" t="s">
        <v>38</v>
      </c>
      <c r="G6" s="4" t="s">
        <v>39</v>
      </c>
      <c r="H6" s="4" t="n">
        <v>200</v>
      </c>
      <c r="I6" s="4" t="n">
        <v>60</v>
      </c>
      <c r="J6" s="11" t="n">
        <v>90</v>
      </c>
      <c r="K6" s="12" t="n">
        <f aca="false">H6*I6/1000000</f>
        <v>0.012</v>
      </c>
      <c r="L6" s="13" t="n">
        <f aca="false">J6/3600/K6</f>
        <v>2.08333333333333</v>
      </c>
      <c r="M6" s="4" t="str">
        <f aca="false">IF(L6&lt;=Hypothèses!$B$3,"oui","NON")</f>
        <v>oui</v>
      </c>
      <c r="N6" s="14" t="s">
        <v>40</v>
      </c>
      <c r="O6" s="14"/>
    </row>
    <row r="7" customFormat="false" ht="15" hidden="false" customHeight="false" outlineLevel="0" collapsed="false">
      <c r="A7" s="4" t="s">
        <v>49</v>
      </c>
      <c r="B7" s="4" t="s">
        <v>9</v>
      </c>
      <c r="C7" s="4" t="s">
        <v>11</v>
      </c>
      <c r="D7" s="4" t="s">
        <v>36</v>
      </c>
      <c r="E7" s="4" t="s">
        <v>50</v>
      </c>
      <c r="F7" s="4" t="s">
        <v>38</v>
      </c>
      <c r="G7" s="4" t="s">
        <v>39</v>
      </c>
      <c r="H7" s="4" t="n">
        <v>200</v>
      </c>
      <c r="I7" s="4" t="n">
        <v>60</v>
      </c>
      <c r="J7" s="11" t="n">
        <v>90</v>
      </c>
      <c r="K7" s="12" t="n">
        <f aca="false">H7*I7/1000000</f>
        <v>0.012</v>
      </c>
      <c r="L7" s="13" t="n">
        <f aca="false">J7/3600/K7</f>
        <v>2.08333333333333</v>
      </c>
      <c r="M7" s="4" t="str">
        <f aca="false">IF(L7&lt;=Hypothèses!$B$3,"oui","NON")</f>
        <v>oui</v>
      </c>
      <c r="N7" s="14" t="s">
        <v>40</v>
      </c>
      <c r="O7" s="14"/>
    </row>
    <row r="8" customFormat="false" ht="15" hidden="false" customHeight="false" outlineLevel="0" collapsed="false">
      <c r="A8" s="4" t="s">
        <v>51</v>
      </c>
      <c r="B8" s="4" t="s">
        <v>9</v>
      </c>
      <c r="C8" s="4" t="s">
        <v>11</v>
      </c>
      <c r="D8" s="4" t="s">
        <v>36</v>
      </c>
      <c r="E8" s="4" t="s">
        <v>52</v>
      </c>
      <c r="F8" s="4" t="s">
        <v>38</v>
      </c>
      <c r="G8" s="4" t="s">
        <v>39</v>
      </c>
      <c r="H8" s="4" t="n">
        <v>200</v>
      </c>
      <c r="I8" s="4" t="n">
        <v>60</v>
      </c>
      <c r="J8" s="11" t="n">
        <v>90</v>
      </c>
      <c r="K8" s="12" t="n">
        <f aca="false">H8*I8/1000000</f>
        <v>0.012</v>
      </c>
      <c r="L8" s="13" t="n">
        <f aca="false">J8/3600/K8</f>
        <v>2.08333333333333</v>
      </c>
      <c r="M8" s="4" t="str">
        <f aca="false">IF(L8&lt;=Hypothèses!$B$3,"oui","NON")</f>
        <v>oui</v>
      </c>
      <c r="N8" s="14" t="s">
        <v>40</v>
      </c>
      <c r="O8" s="14"/>
    </row>
    <row r="9" customFormat="false" ht="15" hidden="false" customHeight="false" outlineLevel="0" collapsed="false">
      <c r="A9" s="4" t="s">
        <v>53</v>
      </c>
      <c r="B9" s="4" t="s">
        <v>9</v>
      </c>
      <c r="C9" s="4" t="s">
        <v>11</v>
      </c>
      <c r="D9" s="4" t="s">
        <v>36</v>
      </c>
      <c r="E9" s="4" t="s">
        <v>54</v>
      </c>
      <c r="F9" s="4" t="s">
        <v>38</v>
      </c>
      <c r="G9" s="4" t="s">
        <v>39</v>
      </c>
      <c r="H9" s="4" t="n">
        <v>200</v>
      </c>
      <c r="I9" s="4" t="n">
        <v>60</v>
      </c>
      <c r="J9" s="11" t="n">
        <v>90</v>
      </c>
      <c r="K9" s="12" t="n">
        <f aca="false">H9*I9/1000000</f>
        <v>0.012</v>
      </c>
      <c r="L9" s="13" t="n">
        <f aca="false">J9/3600/K9</f>
        <v>2.08333333333333</v>
      </c>
      <c r="M9" s="4" t="str">
        <f aca="false">IF(L9&lt;=Hypothèses!$B$3,"oui","NON")</f>
        <v>oui</v>
      </c>
      <c r="N9" s="14" t="s">
        <v>40</v>
      </c>
      <c r="O9" s="14"/>
    </row>
    <row r="10" customFormat="false" ht="15" hidden="false" customHeight="false" outlineLevel="0" collapsed="false">
      <c r="A10" s="4" t="s">
        <v>55</v>
      </c>
      <c r="B10" s="4" t="s">
        <v>9</v>
      </c>
      <c r="C10" s="4" t="s">
        <v>11</v>
      </c>
      <c r="D10" s="4" t="s">
        <v>36</v>
      </c>
      <c r="E10" s="4" t="s">
        <v>56</v>
      </c>
      <c r="F10" s="4" t="s">
        <v>38</v>
      </c>
      <c r="G10" s="4" t="s">
        <v>39</v>
      </c>
      <c r="H10" s="4" t="n">
        <v>200</v>
      </c>
      <c r="I10" s="4" t="n">
        <v>60</v>
      </c>
      <c r="J10" s="11" t="n">
        <v>90</v>
      </c>
      <c r="K10" s="12" t="n">
        <f aca="false">H10*I10/1000000</f>
        <v>0.012</v>
      </c>
      <c r="L10" s="13" t="n">
        <f aca="false">J10/3600/K10</f>
        <v>2.08333333333333</v>
      </c>
      <c r="M10" s="4" t="str">
        <f aca="false">IF(L10&lt;=Hypothèses!$B$3,"oui","NON")</f>
        <v>oui</v>
      </c>
      <c r="N10" s="14" t="s">
        <v>40</v>
      </c>
      <c r="O10" s="14"/>
    </row>
    <row r="11" customFormat="false" ht="15" hidden="false" customHeight="false" outlineLevel="0" collapsed="false">
      <c r="A11" s="4" t="s">
        <v>57</v>
      </c>
      <c r="B11" s="4" t="s">
        <v>9</v>
      </c>
      <c r="C11" s="4" t="s">
        <v>11</v>
      </c>
      <c r="D11" s="4" t="s">
        <v>36</v>
      </c>
      <c r="E11" s="4" t="s">
        <v>58</v>
      </c>
      <c r="F11" s="4" t="s">
        <v>38</v>
      </c>
      <c r="G11" s="4" t="s">
        <v>39</v>
      </c>
      <c r="H11" s="4" t="n">
        <v>200</v>
      </c>
      <c r="I11" s="4" t="n">
        <v>60</v>
      </c>
      <c r="J11" s="11" t="n">
        <v>90</v>
      </c>
      <c r="K11" s="12" t="n">
        <f aca="false">H11*I11/1000000</f>
        <v>0.012</v>
      </c>
      <c r="L11" s="13" t="n">
        <f aca="false">J11/3600/K11</f>
        <v>2.08333333333333</v>
      </c>
      <c r="M11" s="4" t="str">
        <f aca="false">IF(L11&lt;=Hypothèses!$B$3,"oui","NON")</f>
        <v>oui</v>
      </c>
      <c r="N11" s="14" t="s">
        <v>40</v>
      </c>
      <c r="O11" s="14"/>
    </row>
    <row r="12" customFormat="false" ht="15" hidden="false" customHeight="false" outlineLevel="0" collapsed="false">
      <c r="A12" s="4" t="s">
        <v>59</v>
      </c>
      <c r="B12" s="4" t="s">
        <v>9</v>
      </c>
      <c r="C12" s="4" t="s">
        <v>11</v>
      </c>
      <c r="D12" s="4" t="s">
        <v>36</v>
      </c>
      <c r="E12" s="4" t="s">
        <v>60</v>
      </c>
      <c r="F12" s="4" t="s">
        <v>38</v>
      </c>
      <c r="G12" s="4" t="s">
        <v>39</v>
      </c>
      <c r="H12" s="4" t="n">
        <v>200</v>
      </c>
      <c r="I12" s="4" t="n">
        <v>60</v>
      </c>
      <c r="J12" s="11" t="n">
        <v>90</v>
      </c>
      <c r="K12" s="12" t="n">
        <f aca="false">H12*I12/1000000</f>
        <v>0.012</v>
      </c>
      <c r="L12" s="13" t="n">
        <f aca="false">J12/3600/K12</f>
        <v>2.08333333333333</v>
      </c>
      <c r="M12" s="4" t="str">
        <f aca="false">IF(L12&lt;=Hypothèses!$B$3,"oui","NON")</f>
        <v>oui</v>
      </c>
      <c r="N12" s="14" t="s">
        <v>40</v>
      </c>
      <c r="O12" s="14"/>
    </row>
    <row r="13" customFormat="false" ht="15" hidden="false" customHeight="false" outlineLevel="0" collapsed="false">
      <c r="A13" s="4" t="s">
        <v>61</v>
      </c>
      <c r="B13" s="4" t="s">
        <v>9</v>
      </c>
      <c r="C13" s="4" t="s">
        <v>11</v>
      </c>
      <c r="D13" s="4" t="s">
        <v>36</v>
      </c>
      <c r="E13" s="4" t="s">
        <v>62</v>
      </c>
      <c r="F13" s="4" t="s">
        <v>38</v>
      </c>
      <c r="G13" s="4" t="s">
        <v>39</v>
      </c>
      <c r="H13" s="4" t="n">
        <v>200</v>
      </c>
      <c r="I13" s="4" t="n">
        <v>60</v>
      </c>
      <c r="J13" s="11" t="n">
        <v>90</v>
      </c>
      <c r="K13" s="12" t="n">
        <f aca="false">H13*I13/1000000</f>
        <v>0.012</v>
      </c>
      <c r="L13" s="13" t="n">
        <f aca="false">J13/3600/K13</f>
        <v>2.08333333333333</v>
      </c>
      <c r="M13" s="4" t="str">
        <f aca="false">IF(L13&lt;=Hypothèses!$B$3,"oui","NON")</f>
        <v>oui</v>
      </c>
      <c r="N13" s="14" t="s">
        <v>40</v>
      </c>
      <c r="O13" s="14"/>
    </row>
    <row r="14" customFormat="false" ht="15" hidden="false" customHeight="false" outlineLevel="0" collapsed="false">
      <c r="A14" s="4" t="s">
        <v>63</v>
      </c>
      <c r="B14" s="4" t="s">
        <v>9</v>
      </c>
      <c r="C14" s="4" t="s">
        <v>11</v>
      </c>
      <c r="D14" s="4" t="s">
        <v>36</v>
      </c>
      <c r="E14" s="4" t="s">
        <v>64</v>
      </c>
      <c r="F14" s="4" t="s">
        <v>38</v>
      </c>
      <c r="G14" s="4" t="s">
        <v>39</v>
      </c>
      <c r="H14" s="4" t="n">
        <v>200</v>
      </c>
      <c r="I14" s="4" t="n">
        <v>60</v>
      </c>
      <c r="J14" s="11" t="n">
        <v>90</v>
      </c>
      <c r="K14" s="12" t="n">
        <f aca="false">H14*I14/1000000</f>
        <v>0.012</v>
      </c>
      <c r="L14" s="13" t="n">
        <f aca="false">J14/3600/K14</f>
        <v>2.08333333333333</v>
      </c>
      <c r="M14" s="4" t="str">
        <f aca="false">IF(L14&lt;=Hypothèses!$B$3,"oui","NON")</f>
        <v>oui</v>
      </c>
      <c r="N14" s="14" t="s">
        <v>40</v>
      </c>
      <c r="O14" s="14"/>
    </row>
    <row r="15" customFormat="false" ht="15" hidden="false" customHeight="false" outlineLevel="0" collapsed="false">
      <c r="A15" s="4" t="s">
        <v>65</v>
      </c>
      <c r="B15" s="4" t="s">
        <v>9</v>
      </c>
      <c r="C15" s="4" t="s">
        <v>11</v>
      </c>
      <c r="D15" s="4" t="s">
        <v>36</v>
      </c>
      <c r="E15" s="4" t="s">
        <v>66</v>
      </c>
      <c r="F15" s="4" t="s">
        <v>38</v>
      </c>
      <c r="G15" s="4" t="s">
        <v>39</v>
      </c>
      <c r="H15" s="4" t="n">
        <v>200</v>
      </c>
      <c r="I15" s="4" t="n">
        <v>60</v>
      </c>
      <c r="J15" s="11" t="n">
        <v>90</v>
      </c>
      <c r="K15" s="12" t="n">
        <f aca="false">H15*I15/1000000</f>
        <v>0.012</v>
      </c>
      <c r="L15" s="13" t="n">
        <f aca="false">J15/3600/K15</f>
        <v>2.08333333333333</v>
      </c>
      <c r="M15" s="4" t="str">
        <f aca="false">IF(L15&lt;=Hypothèses!$B$3,"oui","NON")</f>
        <v>oui</v>
      </c>
      <c r="N15" s="14" t="s">
        <v>40</v>
      </c>
      <c r="O15" s="14"/>
    </row>
    <row r="16" customFormat="false" ht="15" hidden="false" customHeight="false" outlineLevel="0" collapsed="false">
      <c r="A16" s="4" t="s">
        <v>67</v>
      </c>
      <c r="B16" s="4" t="s">
        <v>9</v>
      </c>
      <c r="C16" s="4" t="s">
        <v>11</v>
      </c>
      <c r="D16" s="4" t="s">
        <v>68</v>
      </c>
      <c r="E16" s="4" t="s">
        <v>69</v>
      </c>
      <c r="F16" s="4" t="s">
        <v>38</v>
      </c>
      <c r="G16" s="4" t="s">
        <v>39</v>
      </c>
      <c r="H16" s="4" t="n">
        <v>200</v>
      </c>
      <c r="I16" s="4" t="n">
        <v>60</v>
      </c>
      <c r="J16" s="11" t="n">
        <v>90</v>
      </c>
      <c r="K16" s="12" t="n">
        <f aca="false">H16*I16/1000000</f>
        <v>0.012</v>
      </c>
      <c r="L16" s="13" t="n">
        <f aca="false">J16/3600/K16</f>
        <v>2.08333333333333</v>
      </c>
      <c r="M16" s="4" t="str">
        <f aca="false">IF(L16&lt;=Hypothèses!$B$3,"oui","NON")</f>
        <v>oui</v>
      </c>
      <c r="N16" s="14" t="s">
        <v>40</v>
      </c>
      <c r="O16" s="14"/>
    </row>
    <row r="17" customFormat="false" ht="15" hidden="false" customHeight="false" outlineLevel="0" collapsed="false">
      <c r="A17" s="4" t="s">
        <v>70</v>
      </c>
      <c r="B17" s="4" t="s">
        <v>9</v>
      </c>
      <c r="C17" s="4" t="s">
        <v>11</v>
      </c>
      <c r="D17" s="4" t="s">
        <v>68</v>
      </c>
      <c r="E17" s="4" t="s">
        <v>71</v>
      </c>
      <c r="F17" s="4" t="s">
        <v>38</v>
      </c>
      <c r="G17" s="4" t="s">
        <v>39</v>
      </c>
      <c r="H17" s="4" t="n">
        <v>200</v>
      </c>
      <c r="I17" s="4" t="n">
        <v>60</v>
      </c>
      <c r="J17" s="11" t="n">
        <v>90</v>
      </c>
      <c r="K17" s="12" t="n">
        <f aca="false">H17*I17/1000000</f>
        <v>0.012</v>
      </c>
      <c r="L17" s="13" t="n">
        <f aca="false">J17/3600/K17</f>
        <v>2.08333333333333</v>
      </c>
      <c r="M17" s="4" t="str">
        <f aca="false">IF(L17&lt;=Hypothèses!$B$3,"oui","NON")</f>
        <v>oui</v>
      </c>
      <c r="N17" s="14" t="s">
        <v>40</v>
      </c>
      <c r="O17" s="14"/>
    </row>
    <row r="18" customFormat="false" ht="15" hidden="false" customHeight="false" outlineLevel="0" collapsed="false">
      <c r="A18" s="4" t="s">
        <v>72</v>
      </c>
      <c r="B18" s="4" t="s">
        <v>9</v>
      </c>
      <c r="C18" s="4" t="s">
        <v>11</v>
      </c>
      <c r="D18" s="4" t="s">
        <v>68</v>
      </c>
      <c r="E18" s="4" t="s">
        <v>73</v>
      </c>
      <c r="F18" s="4" t="s">
        <v>38</v>
      </c>
      <c r="G18" s="4" t="s">
        <v>39</v>
      </c>
      <c r="H18" s="4" t="n">
        <v>200</v>
      </c>
      <c r="I18" s="4" t="n">
        <v>60</v>
      </c>
      <c r="J18" s="11" t="n">
        <v>90</v>
      </c>
      <c r="K18" s="12" t="n">
        <f aca="false">H18*I18/1000000</f>
        <v>0.012</v>
      </c>
      <c r="L18" s="13" t="n">
        <f aca="false">J18/3600/K18</f>
        <v>2.08333333333333</v>
      </c>
      <c r="M18" s="4" t="str">
        <f aca="false">IF(L18&lt;=Hypothèses!$B$3,"oui","NON")</f>
        <v>oui</v>
      </c>
      <c r="N18" s="14" t="s">
        <v>40</v>
      </c>
      <c r="O18" s="14"/>
    </row>
    <row r="19" customFormat="false" ht="15" hidden="false" customHeight="false" outlineLevel="0" collapsed="false">
      <c r="A19" s="4" t="s">
        <v>74</v>
      </c>
      <c r="B19" s="4" t="s">
        <v>9</v>
      </c>
      <c r="C19" s="4" t="s">
        <v>11</v>
      </c>
      <c r="D19" s="4" t="s">
        <v>68</v>
      </c>
      <c r="E19" s="4" t="s">
        <v>75</v>
      </c>
      <c r="F19" s="4" t="s">
        <v>38</v>
      </c>
      <c r="G19" s="4" t="s">
        <v>39</v>
      </c>
      <c r="H19" s="4" t="n">
        <v>200</v>
      </c>
      <c r="I19" s="4" t="n">
        <v>60</v>
      </c>
      <c r="J19" s="11" t="n">
        <v>90</v>
      </c>
      <c r="K19" s="12" t="n">
        <f aca="false">H19*I19/1000000</f>
        <v>0.012</v>
      </c>
      <c r="L19" s="13" t="n">
        <f aca="false">J19/3600/K19</f>
        <v>2.08333333333333</v>
      </c>
      <c r="M19" s="4" t="str">
        <f aca="false">IF(L19&lt;=Hypothèses!$B$3,"oui","NON")</f>
        <v>oui</v>
      </c>
      <c r="N19" s="14" t="s">
        <v>40</v>
      </c>
      <c r="O19" s="14"/>
    </row>
    <row r="20" customFormat="false" ht="15" hidden="false" customHeight="false" outlineLevel="0" collapsed="false">
      <c r="A20" s="4" t="s">
        <v>76</v>
      </c>
      <c r="B20" s="4" t="s">
        <v>9</v>
      </c>
      <c r="C20" s="4" t="s">
        <v>11</v>
      </c>
      <c r="D20" s="4" t="s">
        <v>68</v>
      </c>
      <c r="E20" s="4" t="s">
        <v>77</v>
      </c>
      <c r="F20" s="4" t="s">
        <v>38</v>
      </c>
      <c r="G20" s="4" t="s">
        <v>39</v>
      </c>
      <c r="H20" s="4" t="n">
        <v>200</v>
      </c>
      <c r="I20" s="4" t="n">
        <v>60</v>
      </c>
      <c r="J20" s="11" t="n">
        <v>90</v>
      </c>
      <c r="K20" s="12" t="n">
        <f aca="false">H20*I20/1000000</f>
        <v>0.012</v>
      </c>
      <c r="L20" s="13" t="n">
        <f aca="false">J20/3600/K20</f>
        <v>2.08333333333333</v>
      </c>
      <c r="M20" s="4" t="str">
        <f aca="false">IF(L20&lt;=Hypothèses!$B$3,"oui","NON")</f>
        <v>oui</v>
      </c>
      <c r="N20" s="14" t="s">
        <v>40</v>
      </c>
      <c r="O20" s="14"/>
    </row>
    <row r="21" customFormat="false" ht="15" hidden="false" customHeight="false" outlineLevel="0" collapsed="false">
      <c r="A21" s="4" t="s">
        <v>78</v>
      </c>
      <c r="B21" s="4" t="s">
        <v>9</v>
      </c>
      <c r="C21" s="4" t="s">
        <v>11</v>
      </c>
      <c r="D21" s="4" t="s">
        <v>68</v>
      </c>
      <c r="E21" s="4" t="s">
        <v>79</v>
      </c>
      <c r="F21" s="4" t="s">
        <v>38</v>
      </c>
      <c r="G21" s="4" t="s">
        <v>39</v>
      </c>
      <c r="H21" s="4" t="n">
        <v>200</v>
      </c>
      <c r="I21" s="4" t="n">
        <v>60</v>
      </c>
      <c r="J21" s="11" t="n">
        <v>90</v>
      </c>
      <c r="K21" s="12" t="n">
        <f aca="false">H21*I21/1000000</f>
        <v>0.012</v>
      </c>
      <c r="L21" s="13" t="n">
        <f aca="false">J21/3600/K21</f>
        <v>2.08333333333333</v>
      </c>
      <c r="M21" s="4" t="str">
        <f aca="false">IF(L21&lt;=Hypothèses!$B$3,"oui","NON")</f>
        <v>oui</v>
      </c>
      <c r="N21" s="14" t="s">
        <v>40</v>
      </c>
      <c r="O21" s="14"/>
    </row>
    <row r="22" customFormat="false" ht="15" hidden="false" customHeight="false" outlineLevel="0" collapsed="false">
      <c r="A22" s="4" t="s">
        <v>80</v>
      </c>
      <c r="B22" s="4" t="s">
        <v>9</v>
      </c>
      <c r="C22" s="4" t="s">
        <v>11</v>
      </c>
      <c r="D22" s="4" t="s">
        <v>68</v>
      </c>
      <c r="E22" s="4" t="s">
        <v>81</v>
      </c>
      <c r="F22" s="4" t="s">
        <v>38</v>
      </c>
      <c r="G22" s="4" t="s">
        <v>39</v>
      </c>
      <c r="H22" s="4" t="n">
        <v>200</v>
      </c>
      <c r="I22" s="4" t="n">
        <v>60</v>
      </c>
      <c r="J22" s="11" t="n">
        <v>90</v>
      </c>
      <c r="K22" s="12" t="n">
        <f aca="false">H22*I22/1000000</f>
        <v>0.012</v>
      </c>
      <c r="L22" s="13" t="n">
        <f aca="false">J22/3600/K22</f>
        <v>2.08333333333333</v>
      </c>
      <c r="M22" s="4" t="str">
        <f aca="false">IF(L22&lt;=Hypothèses!$B$3,"oui","NON")</f>
        <v>oui</v>
      </c>
      <c r="N22" s="14" t="s">
        <v>40</v>
      </c>
      <c r="O22" s="14"/>
    </row>
    <row r="23" customFormat="false" ht="15" hidden="false" customHeight="false" outlineLevel="0" collapsed="false">
      <c r="A23" s="4" t="s">
        <v>82</v>
      </c>
      <c r="B23" s="4" t="s">
        <v>9</v>
      </c>
      <c r="C23" s="4" t="s">
        <v>11</v>
      </c>
      <c r="D23" s="4" t="s">
        <v>68</v>
      </c>
      <c r="E23" s="4" t="s">
        <v>83</v>
      </c>
      <c r="F23" s="4" t="s">
        <v>38</v>
      </c>
      <c r="G23" s="4" t="s">
        <v>39</v>
      </c>
      <c r="H23" s="4" t="n">
        <v>200</v>
      </c>
      <c r="I23" s="4" t="n">
        <v>60</v>
      </c>
      <c r="J23" s="11" t="n">
        <v>90</v>
      </c>
      <c r="K23" s="12" t="n">
        <f aca="false">H23*I23/1000000</f>
        <v>0.012</v>
      </c>
      <c r="L23" s="13" t="n">
        <f aca="false">J23/3600/K23</f>
        <v>2.08333333333333</v>
      </c>
      <c r="M23" s="4" t="str">
        <f aca="false">IF(L23&lt;=Hypothèses!$B$3,"oui","NON")</f>
        <v>oui</v>
      </c>
      <c r="N23" s="14" t="s">
        <v>40</v>
      </c>
      <c r="O23" s="14"/>
    </row>
    <row r="24" customFormat="false" ht="15" hidden="false" customHeight="false" outlineLevel="0" collapsed="false">
      <c r="A24" s="4" t="s">
        <v>84</v>
      </c>
      <c r="B24" s="4" t="s">
        <v>9</v>
      </c>
      <c r="C24" s="4" t="s">
        <v>11</v>
      </c>
      <c r="D24" s="4" t="s">
        <v>68</v>
      </c>
      <c r="E24" s="4" t="s">
        <v>85</v>
      </c>
      <c r="F24" s="4" t="s">
        <v>38</v>
      </c>
      <c r="G24" s="4" t="s">
        <v>39</v>
      </c>
      <c r="H24" s="4" t="n">
        <v>200</v>
      </c>
      <c r="I24" s="4" t="n">
        <v>60</v>
      </c>
      <c r="J24" s="11" t="n">
        <v>90</v>
      </c>
      <c r="K24" s="12" t="n">
        <f aca="false">H24*I24/1000000</f>
        <v>0.012</v>
      </c>
      <c r="L24" s="13" t="n">
        <f aca="false">J24/3600/K24</f>
        <v>2.08333333333333</v>
      </c>
      <c r="M24" s="4" t="str">
        <f aca="false">IF(L24&lt;=Hypothèses!$B$3,"oui","NON")</f>
        <v>oui</v>
      </c>
      <c r="N24" s="14" t="s">
        <v>40</v>
      </c>
      <c r="O24" s="14"/>
    </row>
    <row r="25" customFormat="false" ht="15" hidden="false" customHeight="false" outlineLevel="0" collapsed="false">
      <c r="A25" s="4" t="s">
        <v>86</v>
      </c>
      <c r="B25" s="4" t="s">
        <v>9</v>
      </c>
      <c r="C25" s="4" t="s">
        <v>11</v>
      </c>
      <c r="D25" s="4" t="s">
        <v>68</v>
      </c>
      <c r="E25" s="4" t="s">
        <v>87</v>
      </c>
      <c r="F25" s="4" t="s">
        <v>38</v>
      </c>
      <c r="G25" s="4" t="s">
        <v>39</v>
      </c>
      <c r="H25" s="4" t="n">
        <v>200</v>
      </c>
      <c r="I25" s="4" t="n">
        <v>60</v>
      </c>
      <c r="J25" s="11" t="n">
        <v>90</v>
      </c>
      <c r="K25" s="12" t="n">
        <f aca="false">H25*I25/1000000</f>
        <v>0.012</v>
      </c>
      <c r="L25" s="13" t="n">
        <f aca="false">J25/3600/K25</f>
        <v>2.08333333333333</v>
      </c>
      <c r="M25" s="4" t="str">
        <f aca="false">IF(L25&lt;=Hypothèses!$B$3,"oui","NON")</f>
        <v>oui</v>
      </c>
      <c r="N25" s="14" t="s">
        <v>40</v>
      </c>
      <c r="O25" s="14"/>
    </row>
    <row r="26" customFormat="false" ht="15" hidden="false" customHeight="false" outlineLevel="0" collapsed="false">
      <c r="A26" s="4" t="s">
        <v>88</v>
      </c>
      <c r="B26" s="4" t="s">
        <v>9</v>
      </c>
      <c r="C26" s="4" t="s">
        <v>11</v>
      </c>
      <c r="D26" s="4" t="s">
        <v>68</v>
      </c>
      <c r="E26" s="4" t="s">
        <v>89</v>
      </c>
      <c r="F26" s="4" t="s">
        <v>38</v>
      </c>
      <c r="G26" s="4" t="s">
        <v>39</v>
      </c>
      <c r="H26" s="4" t="n">
        <v>200</v>
      </c>
      <c r="I26" s="4" t="n">
        <v>60</v>
      </c>
      <c r="J26" s="11" t="n">
        <v>90</v>
      </c>
      <c r="K26" s="12" t="n">
        <f aca="false">H26*I26/1000000</f>
        <v>0.012</v>
      </c>
      <c r="L26" s="13" t="n">
        <f aca="false">J26/3600/K26</f>
        <v>2.08333333333333</v>
      </c>
      <c r="M26" s="4" t="str">
        <f aca="false">IF(L26&lt;=Hypothèses!$B$3,"oui","NON")</f>
        <v>oui</v>
      </c>
      <c r="N26" s="14" t="s">
        <v>40</v>
      </c>
      <c r="O26" s="14"/>
    </row>
    <row r="27" customFormat="false" ht="15" hidden="false" customHeight="false" outlineLevel="0" collapsed="false">
      <c r="A27" s="4" t="s">
        <v>90</v>
      </c>
      <c r="B27" s="4" t="s">
        <v>9</v>
      </c>
      <c r="C27" s="4" t="s">
        <v>11</v>
      </c>
      <c r="D27" s="4" t="s">
        <v>68</v>
      </c>
      <c r="E27" s="4" t="s">
        <v>91</v>
      </c>
      <c r="F27" s="4" t="s">
        <v>38</v>
      </c>
      <c r="G27" s="4" t="s">
        <v>39</v>
      </c>
      <c r="H27" s="4" t="n">
        <v>200</v>
      </c>
      <c r="I27" s="4" t="n">
        <v>60</v>
      </c>
      <c r="J27" s="11" t="n">
        <v>90</v>
      </c>
      <c r="K27" s="12" t="n">
        <f aca="false">H27*I27/1000000</f>
        <v>0.012</v>
      </c>
      <c r="L27" s="13" t="n">
        <f aca="false">J27/3600/K27</f>
        <v>2.08333333333333</v>
      </c>
      <c r="M27" s="4" t="str">
        <f aca="false">IF(L27&lt;=Hypothèses!$B$3,"oui","NON")</f>
        <v>oui</v>
      </c>
      <c r="N27" s="14" t="s">
        <v>40</v>
      </c>
      <c r="O27" s="14"/>
    </row>
    <row r="28" customFormat="false" ht="15" hidden="false" customHeight="false" outlineLevel="0" collapsed="false">
      <c r="A28" s="4" t="s">
        <v>92</v>
      </c>
      <c r="B28" s="4" t="s">
        <v>9</v>
      </c>
      <c r="C28" s="4" t="s">
        <v>11</v>
      </c>
      <c r="D28" s="4" t="s">
        <v>68</v>
      </c>
      <c r="E28" s="4" t="s">
        <v>93</v>
      </c>
      <c r="F28" s="4" t="s">
        <v>38</v>
      </c>
      <c r="G28" s="4" t="s">
        <v>39</v>
      </c>
      <c r="H28" s="4" t="n">
        <v>200</v>
      </c>
      <c r="I28" s="4" t="n">
        <v>60</v>
      </c>
      <c r="J28" s="11" t="n">
        <v>90</v>
      </c>
      <c r="K28" s="12" t="n">
        <f aca="false">H28*I28/1000000</f>
        <v>0.012</v>
      </c>
      <c r="L28" s="13" t="n">
        <f aca="false">J28/3600/K28</f>
        <v>2.08333333333333</v>
      </c>
      <c r="M28" s="4" t="str">
        <f aca="false">IF(L28&lt;=Hypothèses!$B$3,"oui","NON")</f>
        <v>oui</v>
      </c>
      <c r="N28" s="14" t="s">
        <v>40</v>
      </c>
      <c r="O28" s="14"/>
    </row>
    <row r="29" customFormat="false" ht="15" hidden="false" customHeight="false" outlineLevel="0" collapsed="false">
      <c r="A29" s="4" t="s">
        <v>94</v>
      </c>
      <c r="B29" s="4" t="s">
        <v>9</v>
      </c>
      <c r="C29" s="4" t="s">
        <v>11</v>
      </c>
      <c r="D29" s="4" t="s">
        <v>68</v>
      </c>
      <c r="E29" s="4" t="s">
        <v>95</v>
      </c>
      <c r="F29" s="4" t="s">
        <v>38</v>
      </c>
      <c r="G29" s="4" t="s">
        <v>39</v>
      </c>
      <c r="H29" s="4" t="n">
        <v>200</v>
      </c>
      <c r="I29" s="4" t="n">
        <v>60</v>
      </c>
      <c r="J29" s="11" t="n">
        <v>90</v>
      </c>
      <c r="K29" s="12" t="n">
        <f aca="false">H29*I29/1000000</f>
        <v>0.012</v>
      </c>
      <c r="L29" s="13" t="n">
        <f aca="false">J29/3600/K29</f>
        <v>2.08333333333333</v>
      </c>
      <c r="M29" s="4" t="str">
        <f aca="false">IF(L29&lt;=Hypothèses!$B$3,"oui","NON")</f>
        <v>oui</v>
      </c>
      <c r="N29" s="14" t="s">
        <v>40</v>
      </c>
      <c r="O29" s="14"/>
    </row>
    <row r="30" customFormat="false" ht="15" hidden="false" customHeight="false" outlineLevel="0" collapsed="false">
      <c r="A30" s="4" t="s">
        <v>96</v>
      </c>
      <c r="B30" s="4" t="s">
        <v>9</v>
      </c>
      <c r="C30" s="4" t="s">
        <v>10</v>
      </c>
      <c r="D30" s="4" t="s">
        <v>36</v>
      </c>
      <c r="E30" s="4" t="s">
        <v>97</v>
      </c>
      <c r="F30" s="4" t="s">
        <v>98</v>
      </c>
      <c r="G30" s="4" t="s">
        <v>99</v>
      </c>
      <c r="H30" s="4" t="n">
        <v>200</v>
      </c>
      <c r="I30" s="4" t="n">
        <v>60</v>
      </c>
      <c r="J30" s="11" t="n">
        <v>90</v>
      </c>
      <c r="K30" s="12" t="n">
        <f aca="false">H30*I30/1000000</f>
        <v>0.012</v>
      </c>
      <c r="L30" s="13" t="n">
        <f aca="false">J30/3600/K30</f>
        <v>2.08333333333333</v>
      </c>
      <c r="M30" s="4" t="str">
        <f aca="false">IF(L30&lt;=Hypothèses!$B$3,"oui","NON")</f>
        <v>oui</v>
      </c>
      <c r="N30" s="14" t="s">
        <v>40</v>
      </c>
      <c r="O30" s="14"/>
    </row>
    <row r="31" customFormat="false" ht="15" hidden="false" customHeight="false" outlineLevel="0" collapsed="false">
      <c r="A31" s="4" t="s">
        <v>100</v>
      </c>
      <c r="B31" s="4" t="s">
        <v>9</v>
      </c>
      <c r="C31" s="4" t="s">
        <v>10</v>
      </c>
      <c r="D31" s="4" t="s">
        <v>36</v>
      </c>
      <c r="E31" s="4" t="s">
        <v>97</v>
      </c>
      <c r="F31" s="4" t="s">
        <v>98</v>
      </c>
      <c r="G31" s="4" t="s">
        <v>99</v>
      </c>
      <c r="H31" s="4" t="n">
        <v>200</v>
      </c>
      <c r="I31" s="4" t="n">
        <v>60</v>
      </c>
      <c r="J31" s="11" t="n">
        <v>90</v>
      </c>
      <c r="K31" s="12" t="n">
        <f aca="false">H31*I31/1000000</f>
        <v>0.012</v>
      </c>
      <c r="L31" s="13" t="n">
        <f aca="false">J31/3600/K31</f>
        <v>2.08333333333333</v>
      </c>
      <c r="M31" s="4" t="str">
        <f aca="false">IF(L31&lt;=Hypothèses!$B$3,"oui","NON")</f>
        <v>oui</v>
      </c>
      <c r="N31" s="14" t="s">
        <v>40</v>
      </c>
      <c r="O31" s="14"/>
    </row>
    <row r="32" customFormat="false" ht="15" hidden="false" customHeight="false" outlineLevel="0" collapsed="false">
      <c r="A32" s="4" t="s">
        <v>101</v>
      </c>
      <c r="B32" s="4" t="s">
        <v>9</v>
      </c>
      <c r="C32" s="4" t="s">
        <v>10</v>
      </c>
      <c r="D32" s="4" t="s">
        <v>36</v>
      </c>
      <c r="E32" s="4" t="s">
        <v>97</v>
      </c>
      <c r="F32" s="4" t="s">
        <v>102</v>
      </c>
      <c r="G32" s="4" t="s">
        <v>99</v>
      </c>
      <c r="H32" s="4" t="n">
        <v>200</v>
      </c>
      <c r="I32" s="4" t="n">
        <v>60</v>
      </c>
      <c r="J32" s="11" t="n">
        <v>90</v>
      </c>
      <c r="K32" s="12" t="n">
        <f aca="false">H32*I32/1000000</f>
        <v>0.012</v>
      </c>
      <c r="L32" s="13" t="n">
        <f aca="false">J32/3600/K32</f>
        <v>2.08333333333333</v>
      </c>
      <c r="M32" s="4" t="str">
        <f aca="false">IF(L32&lt;=Hypothèses!$B$3,"oui","NON")</f>
        <v>oui</v>
      </c>
      <c r="N32" s="14" t="s">
        <v>40</v>
      </c>
      <c r="O32" s="14"/>
    </row>
    <row r="33" customFormat="false" ht="15" hidden="false" customHeight="false" outlineLevel="0" collapsed="false">
      <c r="A33" s="4" t="s">
        <v>103</v>
      </c>
      <c r="B33" s="4" t="s">
        <v>9</v>
      </c>
      <c r="C33" s="4" t="s">
        <v>10</v>
      </c>
      <c r="D33" s="4" t="s">
        <v>36</v>
      </c>
      <c r="E33" s="4" t="s">
        <v>97</v>
      </c>
      <c r="F33" s="4" t="s">
        <v>102</v>
      </c>
      <c r="G33" s="4" t="s">
        <v>99</v>
      </c>
      <c r="H33" s="4" t="n">
        <v>200</v>
      </c>
      <c r="I33" s="4" t="n">
        <v>60</v>
      </c>
      <c r="J33" s="11" t="n">
        <v>90</v>
      </c>
      <c r="K33" s="12" t="n">
        <f aca="false">H33*I33/1000000</f>
        <v>0.012</v>
      </c>
      <c r="L33" s="13" t="n">
        <f aca="false">J33/3600/K33</f>
        <v>2.08333333333333</v>
      </c>
      <c r="M33" s="4" t="str">
        <f aca="false">IF(L33&lt;=Hypothèses!$B$3,"oui","NON")</f>
        <v>oui</v>
      </c>
      <c r="N33" s="14" t="s">
        <v>40</v>
      </c>
      <c r="O33" s="14"/>
    </row>
    <row r="34" customFormat="false" ht="15" hidden="false" customHeight="false" outlineLevel="0" collapsed="false">
      <c r="A34" s="4" t="s">
        <v>104</v>
      </c>
      <c r="B34" s="4" t="s">
        <v>9</v>
      </c>
      <c r="C34" s="4" t="s">
        <v>10</v>
      </c>
      <c r="D34" s="4" t="s">
        <v>36</v>
      </c>
      <c r="E34" s="4" t="s">
        <v>97</v>
      </c>
      <c r="F34" s="4" t="s">
        <v>102</v>
      </c>
      <c r="G34" s="4" t="s">
        <v>99</v>
      </c>
      <c r="H34" s="4" t="n">
        <v>200</v>
      </c>
      <c r="I34" s="4" t="n">
        <v>60</v>
      </c>
      <c r="J34" s="11" t="n">
        <v>90</v>
      </c>
      <c r="K34" s="12" t="n">
        <f aca="false">H34*I34/1000000</f>
        <v>0.012</v>
      </c>
      <c r="L34" s="13" t="n">
        <f aca="false">J34/3600/K34</f>
        <v>2.08333333333333</v>
      </c>
      <c r="M34" s="4" t="str">
        <f aca="false">IF(L34&lt;=Hypothèses!$B$3,"oui","NON")</f>
        <v>oui</v>
      </c>
      <c r="N34" s="14" t="s">
        <v>40</v>
      </c>
      <c r="O34" s="14"/>
    </row>
    <row r="35" customFormat="false" ht="15" hidden="false" customHeight="false" outlineLevel="0" collapsed="false">
      <c r="A35" s="4" t="s">
        <v>105</v>
      </c>
      <c r="B35" s="4" t="s">
        <v>9</v>
      </c>
      <c r="C35" s="4" t="s">
        <v>10</v>
      </c>
      <c r="D35" s="4" t="s">
        <v>36</v>
      </c>
      <c r="E35" s="4" t="s">
        <v>97</v>
      </c>
      <c r="F35" s="4" t="s">
        <v>102</v>
      </c>
      <c r="G35" s="4" t="s">
        <v>99</v>
      </c>
      <c r="H35" s="4" t="n">
        <v>200</v>
      </c>
      <c r="I35" s="4" t="n">
        <v>60</v>
      </c>
      <c r="J35" s="11" t="n">
        <v>90</v>
      </c>
      <c r="K35" s="12" t="n">
        <f aca="false">H35*I35/1000000</f>
        <v>0.012</v>
      </c>
      <c r="L35" s="13" t="n">
        <f aca="false">J35/3600/K35</f>
        <v>2.08333333333333</v>
      </c>
      <c r="M35" s="4" t="str">
        <f aca="false">IF(L35&lt;=Hypothèses!$B$3,"oui","NON")</f>
        <v>oui</v>
      </c>
      <c r="N35" s="14" t="s">
        <v>40</v>
      </c>
      <c r="O35" s="14"/>
    </row>
    <row r="36" customFormat="false" ht="15" hidden="false" customHeight="false" outlineLevel="0" collapsed="false">
      <c r="A36" s="4" t="s">
        <v>106</v>
      </c>
      <c r="B36" s="4" t="s">
        <v>9</v>
      </c>
      <c r="C36" s="4" t="s">
        <v>10</v>
      </c>
      <c r="D36" s="4" t="s">
        <v>36</v>
      </c>
      <c r="E36" s="4" t="s">
        <v>97</v>
      </c>
      <c r="F36" s="4" t="s">
        <v>102</v>
      </c>
      <c r="G36" s="4" t="s">
        <v>99</v>
      </c>
      <c r="H36" s="4" t="n">
        <v>200</v>
      </c>
      <c r="I36" s="4" t="n">
        <v>60</v>
      </c>
      <c r="J36" s="11" t="n">
        <v>90</v>
      </c>
      <c r="K36" s="12" t="n">
        <f aca="false">H36*I36/1000000</f>
        <v>0.012</v>
      </c>
      <c r="L36" s="13" t="n">
        <f aca="false">J36/3600/K36</f>
        <v>2.08333333333333</v>
      </c>
      <c r="M36" s="4" t="str">
        <f aca="false">IF(L36&lt;=Hypothèses!$B$3,"oui","NON")</f>
        <v>oui</v>
      </c>
      <c r="N36" s="14" t="s">
        <v>40</v>
      </c>
      <c r="O36" s="14"/>
    </row>
    <row r="37" customFormat="false" ht="15" hidden="false" customHeight="false" outlineLevel="0" collapsed="false">
      <c r="A37" s="4" t="s">
        <v>107</v>
      </c>
      <c r="B37" s="4" t="s">
        <v>9</v>
      </c>
      <c r="C37" s="4" t="s">
        <v>10</v>
      </c>
      <c r="D37" s="4" t="s">
        <v>36</v>
      </c>
      <c r="E37" s="4" t="s">
        <v>97</v>
      </c>
      <c r="F37" s="4" t="s">
        <v>102</v>
      </c>
      <c r="G37" s="4" t="s">
        <v>99</v>
      </c>
      <c r="H37" s="4" t="n">
        <v>200</v>
      </c>
      <c r="I37" s="4" t="n">
        <v>60</v>
      </c>
      <c r="J37" s="11" t="n">
        <v>90</v>
      </c>
      <c r="K37" s="12" t="n">
        <f aca="false">H37*I37/1000000</f>
        <v>0.012</v>
      </c>
      <c r="L37" s="13" t="n">
        <f aca="false">J37/3600/K37</f>
        <v>2.08333333333333</v>
      </c>
      <c r="M37" s="4" t="str">
        <f aca="false">IF(L37&lt;=Hypothèses!$B$3,"oui","NON")</f>
        <v>oui</v>
      </c>
      <c r="N37" s="14" t="s">
        <v>40</v>
      </c>
      <c r="O37" s="14"/>
    </row>
    <row r="38" customFormat="false" ht="15" hidden="false" customHeight="false" outlineLevel="0" collapsed="false">
      <c r="A38" s="4" t="s">
        <v>108</v>
      </c>
      <c r="B38" s="4" t="s">
        <v>9</v>
      </c>
      <c r="C38" s="4" t="s">
        <v>10</v>
      </c>
      <c r="D38" s="4" t="s">
        <v>36</v>
      </c>
      <c r="E38" s="4" t="s">
        <v>97</v>
      </c>
      <c r="F38" s="4" t="s">
        <v>102</v>
      </c>
      <c r="G38" s="4" t="s">
        <v>99</v>
      </c>
      <c r="H38" s="4" t="n">
        <v>200</v>
      </c>
      <c r="I38" s="4" t="n">
        <v>60</v>
      </c>
      <c r="J38" s="11" t="n">
        <v>90</v>
      </c>
      <c r="K38" s="12" t="n">
        <f aca="false">H38*I38/1000000</f>
        <v>0.012</v>
      </c>
      <c r="L38" s="13" t="n">
        <f aca="false">J38/3600/K38</f>
        <v>2.08333333333333</v>
      </c>
      <c r="M38" s="4" t="str">
        <f aca="false">IF(L38&lt;=Hypothèses!$B$3,"oui","NON")</f>
        <v>oui</v>
      </c>
      <c r="N38" s="14" t="s">
        <v>40</v>
      </c>
      <c r="O38" s="14"/>
    </row>
    <row r="39" customFormat="false" ht="15" hidden="false" customHeight="false" outlineLevel="0" collapsed="false">
      <c r="A39" s="4" t="s">
        <v>109</v>
      </c>
      <c r="B39" s="4" t="s">
        <v>9</v>
      </c>
      <c r="C39" s="4" t="s">
        <v>10</v>
      </c>
      <c r="D39" s="4" t="s">
        <v>36</v>
      </c>
      <c r="E39" s="4" t="s">
        <v>97</v>
      </c>
      <c r="F39" s="4" t="s">
        <v>102</v>
      </c>
      <c r="G39" s="4" t="s">
        <v>99</v>
      </c>
      <c r="H39" s="4" t="n">
        <v>200</v>
      </c>
      <c r="I39" s="4" t="n">
        <v>60</v>
      </c>
      <c r="J39" s="11" t="n">
        <v>90</v>
      </c>
      <c r="K39" s="12" t="n">
        <f aca="false">H39*I39/1000000</f>
        <v>0.012</v>
      </c>
      <c r="L39" s="13" t="n">
        <f aca="false">J39/3600/K39</f>
        <v>2.08333333333333</v>
      </c>
      <c r="M39" s="4" t="str">
        <f aca="false">IF(L39&lt;=Hypothèses!$B$3,"oui","NON")</f>
        <v>oui</v>
      </c>
      <c r="N39" s="14" t="s">
        <v>40</v>
      </c>
      <c r="O39" s="14"/>
    </row>
    <row r="40" customFormat="false" ht="15" hidden="false" customHeight="false" outlineLevel="0" collapsed="false">
      <c r="A40" s="4" t="s">
        <v>110</v>
      </c>
      <c r="B40" s="4" t="s">
        <v>9</v>
      </c>
      <c r="C40" s="4" t="s">
        <v>10</v>
      </c>
      <c r="D40" s="4" t="s">
        <v>36</v>
      </c>
      <c r="E40" s="4" t="s">
        <v>97</v>
      </c>
      <c r="F40" s="4" t="s">
        <v>102</v>
      </c>
      <c r="G40" s="4" t="s">
        <v>99</v>
      </c>
      <c r="H40" s="4" t="n">
        <v>200</v>
      </c>
      <c r="I40" s="4" t="n">
        <v>60</v>
      </c>
      <c r="J40" s="11" t="n">
        <v>90</v>
      </c>
      <c r="K40" s="12" t="n">
        <f aca="false">H40*I40/1000000</f>
        <v>0.012</v>
      </c>
      <c r="L40" s="13" t="n">
        <f aca="false">J40/3600/K40</f>
        <v>2.08333333333333</v>
      </c>
      <c r="M40" s="4" t="str">
        <f aca="false">IF(L40&lt;=Hypothèses!$B$3,"oui","NON")</f>
        <v>oui</v>
      </c>
      <c r="N40" s="14" t="s">
        <v>40</v>
      </c>
      <c r="O40" s="14"/>
    </row>
    <row r="41" customFormat="false" ht="15" hidden="false" customHeight="false" outlineLevel="0" collapsed="false">
      <c r="A41" s="4" t="s">
        <v>111</v>
      </c>
      <c r="B41" s="4" t="s">
        <v>9</v>
      </c>
      <c r="C41" s="4" t="s">
        <v>10</v>
      </c>
      <c r="D41" s="4" t="s">
        <v>36</v>
      </c>
      <c r="E41" s="4" t="s">
        <v>97</v>
      </c>
      <c r="F41" s="4" t="s">
        <v>102</v>
      </c>
      <c r="G41" s="4" t="s">
        <v>99</v>
      </c>
      <c r="H41" s="4" t="n">
        <v>200</v>
      </c>
      <c r="I41" s="4" t="n">
        <v>60</v>
      </c>
      <c r="J41" s="11" t="n">
        <v>90</v>
      </c>
      <c r="K41" s="12" t="n">
        <f aca="false">H41*I41/1000000</f>
        <v>0.012</v>
      </c>
      <c r="L41" s="13" t="n">
        <f aca="false">J41/3600/K41</f>
        <v>2.08333333333333</v>
      </c>
      <c r="M41" s="4" t="str">
        <f aca="false">IF(L41&lt;=Hypothèses!$B$3,"oui","NON")</f>
        <v>oui</v>
      </c>
      <c r="N41" s="14" t="s">
        <v>40</v>
      </c>
      <c r="O41" s="14"/>
    </row>
    <row r="42" customFormat="false" ht="15" hidden="false" customHeight="false" outlineLevel="0" collapsed="false">
      <c r="A42" s="4" t="s">
        <v>112</v>
      </c>
      <c r="B42" s="4" t="s">
        <v>9</v>
      </c>
      <c r="C42" s="4" t="s">
        <v>10</v>
      </c>
      <c r="D42" s="4" t="s">
        <v>36</v>
      </c>
      <c r="E42" s="4" t="s">
        <v>97</v>
      </c>
      <c r="F42" s="4" t="s">
        <v>102</v>
      </c>
      <c r="G42" s="4" t="s">
        <v>99</v>
      </c>
      <c r="H42" s="4" t="n">
        <v>200</v>
      </c>
      <c r="I42" s="4" t="n">
        <v>60</v>
      </c>
      <c r="J42" s="11" t="n">
        <v>90</v>
      </c>
      <c r="K42" s="12" t="n">
        <f aca="false">H42*I42/1000000</f>
        <v>0.012</v>
      </c>
      <c r="L42" s="13" t="n">
        <f aca="false">J42/3600/K42</f>
        <v>2.08333333333333</v>
      </c>
      <c r="M42" s="4" t="str">
        <f aca="false">IF(L42&lt;=Hypothèses!$B$3,"oui","NON")</f>
        <v>oui</v>
      </c>
      <c r="N42" s="15" t="s">
        <v>113</v>
      </c>
      <c r="O42" s="15" t="s">
        <v>114</v>
      </c>
    </row>
    <row r="43" customFormat="false" ht="15" hidden="false" customHeight="false" outlineLevel="0" collapsed="false">
      <c r="A43" s="4" t="s">
        <v>115</v>
      </c>
      <c r="B43" s="4" t="s">
        <v>9</v>
      </c>
      <c r="C43" s="4" t="s">
        <v>10</v>
      </c>
      <c r="D43" s="4" t="s">
        <v>36</v>
      </c>
      <c r="E43" s="4" t="s">
        <v>97</v>
      </c>
      <c r="F43" s="4" t="s">
        <v>102</v>
      </c>
      <c r="G43" s="4" t="s">
        <v>99</v>
      </c>
      <c r="H43" s="4" t="n">
        <v>200</v>
      </c>
      <c r="I43" s="4" t="n">
        <v>60</v>
      </c>
      <c r="J43" s="11" t="n">
        <v>90</v>
      </c>
      <c r="K43" s="12" t="n">
        <f aca="false">H43*I43/1000000</f>
        <v>0.012</v>
      </c>
      <c r="L43" s="13" t="n">
        <f aca="false">J43/3600/K43</f>
        <v>2.08333333333333</v>
      </c>
      <c r="M43" s="4" t="str">
        <f aca="false">IF(L43&lt;=Hypothèses!$B$3,"oui","NON")</f>
        <v>oui</v>
      </c>
      <c r="N43" s="14" t="s">
        <v>40</v>
      </c>
      <c r="O43" s="14"/>
    </row>
    <row r="44" customFormat="false" ht="15" hidden="false" customHeight="false" outlineLevel="0" collapsed="false">
      <c r="A44" s="4" t="s">
        <v>116</v>
      </c>
      <c r="B44" s="4" t="s">
        <v>9</v>
      </c>
      <c r="C44" s="4" t="s">
        <v>10</v>
      </c>
      <c r="D44" s="4" t="s">
        <v>68</v>
      </c>
      <c r="E44" s="4" t="s">
        <v>97</v>
      </c>
      <c r="F44" s="4" t="s">
        <v>98</v>
      </c>
      <c r="G44" s="4" t="s">
        <v>99</v>
      </c>
      <c r="H44" s="4" t="n">
        <v>200</v>
      </c>
      <c r="I44" s="4" t="n">
        <v>60</v>
      </c>
      <c r="J44" s="11" t="n">
        <v>90</v>
      </c>
      <c r="K44" s="12" t="n">
        <f aca="false">H44*I44/1000000</f>
        <v>0.012</v>
      </c>
      <c r="L44" s="13" t="n">
        <f aca="false">J44/3600/K44</f>
        <v>2.08333333333333</v>
      </c>
      <c r="M44" s="4" t="str">
        <f aca="false">IF(L44&lt;=Hypothèses!$B$3,"oui","NON")</f>
        <v>oui</v>
      </c>
      <c r="N44" s="14" t="s">
        <v>40</v>
      </c>
      <c r="O44" s="14"/>
    </row>
    <row r="45" customFormat="false" ht="15" hidden="false" customHeight="false" outlineLevel="0" collapsed="false">
      <c r="A45" s="4" t="s">
        <v>117</v>
      </c>
      <c r="B45" s="4" t="s">
        <v>9</v>
      </c>
      <c r="C45" s="4" t="s">
        <v>10</v>
      </c>
      <c r="D45" s="4" t="s">
        <v>68</v>
      </c>
      <c r="E45" s="4" t="s">
        <v>97</v>
      </c>
      <c r="F45" s="4" t="s">
        <v>98</v>
      </c>
      <c r="G45" s="4" t="s">
        <v>99</v>
      </c>
      <c r="H45" s="4" t="n">
        <v>200</v>
      </c>
      <c r="I45" s="4" t="n">
        <v>60</v>
      </c>
      <c r="J45" s="11" t="n">
        <v>90</v>
      </c>
      <c r="K45" s="12" t="n">
        <f aca="false">H45*I45/1000000</f>
        <v>0.012</v>
      </c>
      <c r="L45" s="13" t="n">
        <f aca="false">J45/3600/K45</f>
        <v>2.08333333333333</v>
      </c>
      <c r="M45" s="4" t="str">
        <f aca="false">IF(L45&lt;=Hypothèses!$B$3,"oui","NON")</f>
        <v>oui</v>
      </c>
      <c r="N45" s="14" t="s">
        <v>40</v>
      </c>
      <c r="O45" s="14"/>
    </row>
    <row r="46" customFormat="false" ht="15" hidden="false" customHeight="false" outlineLevel="0" collapsed="false">
      <c r="A46" s="4" t="s">
        <v>118</v>
      </c>
      <c r="B46" s="4" t="s">
        <v>9</v>
      </c>
      <c r="C46" s="4" t="s">
        <v>10</v>
      </c>
      <c r="D46" s="4" t="s">
        <v>68</v>
      </c>
      <c r="E46" s="4" t="s">
        <v>97</v>
      </c>
      <c r="F46" s="4" t="s">
        <v>102</v>
      </c>
      <c r="G46" s="4" t="s">
        <v>99</v>
      </c>
      <c r="H46" s="4" t="n">
        <v>200</v>
      </c>
      <c r="I46" s="4" t="n">
        <v>60</v>
      </c>
      <c r="J46" s="11" t="n">
        <v>90</v>
      </c>
      <c r="K46" s="12" t="n">
        <f aca="false">H46*I46/1000000</f>
        <v>0.012</v>
      </c>
      <c r="L46" s="13" t="n">
        <f aca="false">J46/3600/K46</f>
        <v>2.08333333333333</v>
      </c>
      <c r="M46" s="4" t="str">
        <f aca="false">IF(L46&lt;=Hypothèses!$B$3,"oui","NON")</f>
        <v>oui</v>
      </c>
      <c r="N46" s="14" t="s">
        <v>40</v>
      </c>
      <c r="O46" s="14"/>
    </row>
    <row r="47" customFormat="false" ht="15" hidden="false" customHeight="false" outlineLevel="0" collapsed="false">
      <c r="A47" s="4" t="s">
        <v>119</v>
      </c>
      <c r="B47" s="4" t="s">
        <v>9</v>
      </c>
      <c r="C47" s="4" t="s">
        <v>10</v>
      </c>
      <c r="D47" s="4" t="s">
        <v>68</v>
      </c>
      <c r="E47" s="4" t="s">
        <v>97</v>
      </c>
      <c r="F47" s="4" t="s">
        <v>102</v>
      </c>
      <c r="G47" s="4" t="s">
        <v>99</v>
      </c>
      <c r="H47" s="4" t="n">
        <v>200</v>
      </c>
      <c r="I47" s="4" t="n">
        <v>60</v>
      </c>
      <c r="J47" s="11" t="n">
        <v>90</v>
      </c>
      <c r="K47" s="12" t="n">
        <f aca="false">H47*I47/1000000</f>
        <v>0.012</v>
      </c>
      <c r="L47" s="13" t="n">
        <f aca="false">J47/3600/K47</f>
        <v>2.08333333333333</v>
      </c>
      <c r="M47" s="4" t="str">
        <f aca="false">IF(L47&lt;=Hypothèses!$B$3,"oui","NON")</f>
        <v>oui</v>
      </c>
      <c r="N47" s="14" t="s">
        <v>40</v>
      </c>
      <c r="O47" s="14"/>
    </row>
    <row r="48" customFormat="false" ht="15" hidden="false" customHeight="false" outlineLevel="0" collapsed="false">
      <c r="A48" s="4" t="s">
        <v>120</v>
      </c>
      <c r="B48" s="4" t="s">
        <v>9</v>
      </c>
      <c r="C48" s="4" t="s">
        <v>10</v>
      </c>
      <c r="D48" s="4" t="s">
        <v>68</v>
      </c>
      <c r="E48" s="4" t="s">
        <v>97</v>
      </c>
      <c r="F48" s="4" t="s">
        <v>102</v>
      </c>
      <c r="G48" s="4" t="s">
        <v>99</v>
      </c>
      <c r="H48" s="4" t="n">
        <v>200</v>
      </c>
      <c r="I48" s="4" t="n">
        <v>60</v>
      </c>
      <c r="J48" s="11" t="n">
        <v>90</v>
      </c>
      <c r="K48" s="12" t="n">
        <f aca="false">H48*I48/1000000</f>
        <v>0.012</v>
      </c>
      <c r="L48" s="13" t="n">
        <f aca="false">J48/3600/K48</f>
        <v>2.08333333333333</v>
      </c>
      <c r="M48" s="4" t="str">
        <f aca="false">IF(L48&lt;=Hypothèses!$B$3,"oui","NON")</f>
        <v>oui</v>
      </c>
      <c r="N48" s="14" t="s">
        <v>40</v>
      </c>
      <c r="O48" s="14"/>
    </row>
    <row r="49" customFormat="false" ht="15" hidden="false" customHeight="false" outlineLevel="0" collapsed="false">
      <c r="A49" s="4" t="s">
        <v>121</v>
      </c>
      <c r="B49" s="4" t="s">
        <v>9</v>
      </c>
      <c r="C49" s="4" t="s">
        <v>10</v>
      </c>
      <c r="D49" s="4" t="s">
        <v>68</v>
      </c>
      <c r="E49" s="4" t="s">
        <v>97</v>
      </c>
      <c r="F49" s="4" t="s">
        <v>102</v>
      </c>
      <c r="G49" s="4" t="s">
        <v>99</v>
      </c>
      <c r="H49" s="4" t="n">
        <v>200</v>
      </c>
      <c r="I49" s="4" t="n">
        <v>60</v>
      </c>
      <c r="J49" s="11" t="n">
        <v>90</v>
      </c>
      <c r="K49" s="12" t="n">
        <f aca="false">H49*I49/1000000</f>
        <v>0.012</v>
      </c>
      <c r="L49" s="13" t="n">
        <f aca="false">J49/3600/K49</f>
        <v>2.08333333333333</v>
      </c>
      <c r="M49" s="4" t="str">
        <f aca="false">IF(L49&lt;=Hypothèses!$B$3,"oui","NON")</f>
        <v>oui</v>
      </c>
      <c r="N49" s="14" t="s">
        <v>40</v>
      </c>
      <c r="O49" s="14"/>
    </row>
    <row r="50" customFormat="false" ht="15" hidden="false" customHeight="false" outlineLevel="0" collapsed="false">
      <c r="A50" s="4" t="s">
        <v>122</v>
      </c>
      <c r="B50" s="4" t="s">
        <v>9</v>
      </c>
      <c r="C50" s="4" t="s">
        <v>10</v>
      </c>
      <c r="D50" s="4" t="s">
        <v>68</v>
      </c>
      <c r="E50" s="4" t="s">
        <v>97</v>
      </c>
      <c r="F50" s="4" t="s">
        <v>102</v>
      </c>
      <c r="G50" s="4" t="s">
        <v>99</v>
      </c>
      <c r="H50" s="4" t="n">
        <v>200</v>
      </c>
      <c r="I50" s="4" t="n">
        <v>60</v>
      </c>
      <c r="J50" s="11" t="n">
        <v>90</v>
      </c>
      <c r="K50" s="12" t="n">
        <f aca="false">H50*I50/1000000</f>
        <v>0.012</v>
      </c>
      <c r="L50" s="13" t="n">
        <f aca="false">J50/3600/K50</f>
        <v>2.08333333333333</v>
      </c>
      <c r="M50" s="4" t="str">
        <f aca="false">IF(L50&lt;=Hypothèses!$B$3,"oui","NON")</f>
        <v>oui</v>
      </c>
      <c r="N50" s="14" t="s">
        <v>40</v>
      </c>
      <c r="O50" s="14"/>
    </row>
    <row r="51" customFormat="false" ht="15" hidden="false" customHeight="false" outlineLevel="0" collapsed="false">
      <c r="A51" s="4" t="s">
        <v>123</v>
      </c>
      <c r="B51" s="4" t="s">
        <v>9</v>
      </c>
      <c r="C51" s="4" t="s">
        <v>10</v>
      </c>
      <c r="D51" s="4" t="s">
        <v>68</v>
      </c>
      <c r="E51" s="4" t="s">
        <v>97</v>
      </c>
      <c r="F51" s="4" t="s">
        <v>102</v>
      </c>
      <c r="G51" s="4" t="s">
        <v>99</v>
      </c>
      <c r="H51" s="4" t="n">
        <v>200</v>
      </c>
      <c r="I51" s="4" t="n">
        <v>60</v>
      </c>
      <c r="J51" s="11" t="n">
        <v>90</v>
      </c>
      <c r="K51" s="12" t="n">
        <f aca="false">H51*I51/1000000</f>
        <v>0.012</v>
      </c>
      <c r="L51" s="13" t="n">
        <f aca="false">J51/3600/K51</f>
        <v>2.08333333333333</v>
      </c>
      <c r="M51" s="4" t="str">
        <f aca="false">IF(L51&lt;=Hypothèses!$B$3,"oui","NON")</f>
        <v>oui</v>
      </c>
      <c r="N51" s="14" t="s">
        <v>40</v>
      </c>
      <c r="O51" s="14"/>
    </row>
    <row r="52" customFormat="false" ht="15" hidden="false" customHeight="false" outlineLevel="0" collapsed="false">
      <c r="A52" s="4" t="s">
        <v>124</v>
      </c>
      <c r="B52" s="4" t="s">
        <v>9</v>
      </c>
      <c r="C52" s="4" t="s">
        <v>10</v>
      </c>
      <c r="D52" s="4" t="s">
        <v>68</v>
      </c>
      <c r="E52" s="4" t="s">
        <v>97</v>
      </c>
      <c r="F52" s="4" t="s">
        <v>102</v>
      </c>
      <c r="G52" s="4" t="s">
        <v>99</v>
      </c>
      <c r="H52" s="4" t="n">
        <v>200</v>
      </c>
      <c r="I52" s="4" t="n">
        <v>60</v>
      </c>
      <c r="J52" s="11" t="n">
        <v>90</v>
      </c>
      <c r="K52" s="12" t="n">
        <f aca="false">H52*I52/1000000</f>
        <v>0.012</v>
      </c>
      <c r="L52" s="13" t="n">
        <f aca="false">J52/3600/K52</f>
        <v>2.08333333333333</v>
      </c>
      <c r="M52" s="4" t="str">
        <f aca="false">IF(L52&lt;=Hypothèses!$B$3,"oui","NON")</f>
        <v>oui</v>
      </c>
      <c r="N52" s="14" t="s">
        <v>40</v>
      </c>
      <c r="O52" s="14"/>
    </row>
    <row r="53" customFormat="false" ht="15" hidden="false" customHeight="false" outlineLevel="0" collapsed="false">
      <c r="A53" s="4" t="s">
        <v>125</v>
      </c>
      <c r="B53" s="4" t="s">
        <v>9</v>
      </c>
      <c r="C53" s="4" t="s">
        <v>10</v>
      </c>
      <c r="D53" s="4" t="s">
        <v>68</v>
      </c>
      <c r="E53" s="4" t="s">
        <v>97</v>
      </c>
      <c r="F53" s="4" t="s">
        <v>102</v>
      </c>
      <c r="G53" s="4" t="s">
        <v>99</v>
      </c>
      <c r="H53" s="4" t="n">
        <v>200</v>
      </c>
      <c r="I53" s="4" t="n">
        <v>60</v>
      </c>
      <c r="J53" s="11" t="n">
        <v>90</v>
      </c>
      <c r="K53" s="12" t="n">
        <f aca="false">H53*I53/1000000</f>
        <v>0.012</v>
      </c>
      <c r="L53" s="13" t="n">
        <f aca="false">J53/3600/K53</f>
        <v>2.08333333333333</v>
      </c>
      <c r="M53" s="4" t="str">
        <f aca="false">IF(L53&lt;=Hypothèses!$B$3,"oui","NON")</f>
        <v>oui</v>
      </c>
      <c r="N53" s="14" t="s">
        <v>40</v>
      </c>
      <c r="O53" s="14"/>
    </row>
    <row r="54" customFormat="false" ht="15" hidden="false" customHeight="false" outlineLevel="0" collapsed="false">
      <c r="A54" s="4" t="s">
        <v>126</v>
      </c>
      <c r="B54" s="4" t="s">
        <v>9</v>
      </c>
      <c r="C54" s="4" t="s">
        <v>10</v>
      </c>
      <c r="D54" s="4" t="s">
        <v>68</v>
      </c>
      <c r="E54" s="4" t="s">
        <v>97</v>
      </c>
      <c r="F54" s="4" t="s">
        <v>102</v>
      </c>
      <c r="G54" s="4" t="s">
        <v>99</v>
      </c>
      <c r="H54" s="4" t="n">
        <v>200</v>
      </c>
      <c r="I54" s="4" t="n">
        <v>60</v>
      </c>
      <c r="J54" s="11" t="n">
        <v>90</v>
      </c>
      <c r="K54" s="12" t="n">
        <f aca="false">H54*I54/1000000</f>
        <v>0.012</v>
      </c>
      <c r="L54" s="13" t="n">
        <f aca="false">J54/3600/K54</f>
        <v>2.08333333333333</v>
      </c>
      <c r="M54" s="4" t="str">
        <f aca="false">IF(L54&lt;=Hypothèses!$B$3,"oui","NON")</f>
        <v>oui</v>
      </c>
      <c r="N54" s="14" t="s">
        <v>40</v>
      </c>
      <c r="O54" s="14"/>
    </row>
    <row r="55" customFormat="false" ht="15" hidden="false" customHeight="false" outlineLevel="0" collapsed="false">
      <c r="A55" s="4" t="s">
        <v>127</v>
      </c>
      <c r="B55" s="4" t="s">
        <v>9</v>
      </c>
      <c r="C55" s="4" t="s">
        <v>10</v>
      </c>
      <c r="D55" s="4" t="s">
        <v>68</v>
      </c>
      <c r="E55" s="4" t="s">
        <v>97</v>
      </c>
      <c r="F55" s="4" t="s">
        <v>102</v>
      </c>
      <c r="G55" s="4" t="s">
        <v>99</v>
      </c>
      <c r="H55" s="4" t="n">
        <v>200</v>
      </c>
      <c r="I55" s="4" t="n">
        <v>60</v>
      </c>
      <c r="J55" s="11" t="n">
        <v>90</v>
      </c>
      <c r="K55" s="12" t="n">
        <f aca="false">H55*I55/1000000</f>
        <v>0.012</v>
      </c>
      <c r="L55" s="13" t="n">
        <f aca="false">J55/3600/K55</f>
        <v>2.08333333333333</v>
      </c>
      <c r="M55" s="4" t="str">
        <f aca="false">IF(L55&lt;=Hypothèses!$B$3,"oui","NON")</f>
        <v>oui</v>
      </c>
      <c r="N55" s="14" t="s">
        <v>40</v>
      </c>
      <c r="O55" s="14"/>
    </row>
    <row r="56" customFormat="false" ht="15" hidden="false" customHeight="false" outlineLevel="0" collapsed="false">
      <c r="A56" s="4" t="s">
        <v>128</v>
      </c>
      <c r="B56" s="4" t="s">
        <v>9</v>
      </c>
      <c r="C56" s="4" t="s">
        <v>10</v>
      </c>
      <c r="D56" s="4" t="s">
        <v>68</v>
      </c>
      <c r="E56" s="4" t="s">
        <v>97</v>
      </c>
      <c r="F56" s="4" t="s">
        <v>102</v>
      </c>
      <c r="G56" s="4" t="s">
        <v>99</v>
      </c>
      <c r="H56" s="4" t="n">
        <v>200</v>
      </c>
      <c r="I56" s="4" t="n">
        <v>60</v>
      </c>
      <c r="J56" s="11" t="n">
        <v>90</v>
      </c>
      <c r="K56" s="12" t="n">
        <f aca="false">H56*I56/1000000</f>
        <v>0.012</v>
      </c>
      <c r="L56" s="13" t="n">
        <f aca="false">J56/3600/K56</f>
        <v>2.08333333333333</v>
      </c>
      <c r="M56" s="4" t="str">
        <f aca="false">IF(L56&lt;=Hypothèses!$B$3,"oui","NON")</f>
        <v>oui</v>
      </c>
      <c r="N56" s="15" t="s">
        <v>113</v>
      </c>
      <c r="O56" s="15" t="s">
        <v>114</v>
      </c>
    </row>
    <row r="57" customFormat="false" ht="15" hidden="false" customHeight="false" outlineLevel="0" collapsed="false">
      <c r="A57" s="4" t="s">
        <v>129</v>
      </c>
      <c r="B57" s="4" t="s">
        <v>9</v>
      </c>
      <c r="C57" s="4" t="s">
        <v>10</v>
      </c>
      <c r="D57" s="4" t="s">
        <v>68</v>
      </c>
      <c r="E57" s="4" t="s">
        <v>97</v>
      </c>
      <c r="F57" s="4" t="s">
        <v>102</v>
      </c>
      <c r="G57" s="4" t="s">
        <v>99</v>
      </c>
      <c r="H57" s="4" t="n">
        <v>200</v>
      </c>
      <c r="I57" s="4" t="n">
        <v>60</v>
      </c>
      <c r="J57" s="11" t="n">
        <v>90</v>
      </c>
      <c r="K57" s="12" t="n">
        <f aca="false">H57*I57/1000000</f>
        <v>0.012</v>
      </c>
      <c r="L57" s="13" t="n">
        <f aca="false">J57/3600/K57</f>
        <v>2.08333333333333</v>
      </c>
      <c r="M57" s="4" t="str">
        <f aca="false">IF(L57&lt;=Hypothèses!$B$3,"oui","NON")</f>
        <v>oui</v>
      </c>
      <c r="N57" s="14" t="s">
        <v>40</v>
      </c>
      <c r="O57" s="14"/>
    </row>
    <row r="58" customFormat="false" ht="15" hidden="false" customHeight="false" outlineLevel="0" collapsed="false">
      <c r="A58" s="4" t="s">
        <v>130</v>
      </c>
      <c r="B58" s="4" t="s">
        <v>12</v>
      </c>
      <c r="C58" s="4" t="s">
        <v>11</v>
      </c>
      <c r="D58" s="4" t="s">
        <v>36</v>
      </c>
      <c r="E58" s="4" t="s">
        <v>131</v>
      </c>
      <c r="F58" s="4" t="s">
        <v>38</v>
      </c>
      <c r="G58" s="4" t="s">
        <v>39</v>
      </c>
      <c r="H58" s="4" t="n">
        <v>200</v>
      </c>
      <c r="I58" s="4" t="n">
        <v>60</v>
      </c>
      <c r="J58" s="11" t="n">
        <v>90</v>
      </c>
      <c r="K58" s="12" t="n">
        <f aca="false">H58*I58/1000000</f>
        <v>0.012</v>
      </c>
      <c r="L58" s="13" t="n">
        <f aca="false">J58/3600/K58</f>
        <v>2.08333333333333</v>
      </c>
      <c r="M58" s="4" t="str">
        <f aca="false">IF(L58&lt;=Hypothèses!$B$3,"oui","NON")</f>
        <v>oui</v>
      </c>
      <c r="N58" s="14" t="s">
        <v>40</v>
      </c>
      <c r="O58" s="14"/>
    </row>
    <row r="59" customFormat="false" ht="15" hidden="false" customHeight="false" outlineLevel="0" collapsed="false">
      <c r="A59" s="4" t="s">
        <v>132</v>
      </c>
      <c r="B59" s="4" t="s">
        <v>12</v>
      </c>
      <c r="C59" s="4" t="s">
        <v>11</v>
      </c>
      <c r="D59" s="4" t="s">
        <v>36</v>
      </c>
      <c r="E59" s="4" t="s">
        <v>133</v>
      </c>
      <c r="F59" s="4" t="s">
        <v>38</v>
      </c>
      <c r="G59" s="4" t="s">
        <v>39</v>
      </c>
      <c r="H59" s="4" t="n">
        <v>200</v>
      </c>
      <c r="I59" s="4" t="n">
        <v>60</v>
      </c>
      <c r="J59" s="11" t="n">
        <v>90</v>
      </c>
      <c r="K59" s="12" t="n">
        <f aca="false">H59*I59/1000000</f>
        <v>0.012</v>
      </c>
      <c r="L59" s="13" t="n">
        <f aca="false">J59/3600/K59</f>
        <v>2.08333333333333</v>
      </c>
      <c r="M59" s="4" t="str">
        <f aca="false">IF(L59&lt;=Hypothèses!$B$3,"oui","NON")</f>
        <v>oui</v>
      </c>
      <c r="N59" s="14" t="s">
        <v>40</v>
      </c>
      <c r="O59" s="14"/>
    </row>
    <row r="60" customFormat="false" ht="15" hidden="false" customHeight="false" outlineLevel="0" collapsed="false">
      <c r="A60" s="4" t="s">
        <v>134</v>
      </c>
      <c r="B60" s="4" t="s">
        <v>12</v>
      </c>
      <c r="C60" s="4" t="s">
        <v>11</v>
      </c>
      <c r="D60" s="4" t="s">
        <v>36</v>
      </c>
      <c r="E60" s="4" t="s">
        <v>135</v>
      </c>
      <c r="F60" s="4" t="s">
        <v>38</v>
      </c>
      <c r="G60" s="4" t="s">
        <v>39</v>
      </c>
      <c r="H60" s="4" t="n">
        <v>200</v>
      </c>
      <c r="I60" s="4" t="n">
        <v>60</v>
      </c>
      <c r="J60" s="11" t="n">
        <v>90</v>
      </c>
      <c r="K60" s="12" t="n">
        <f aca="false">H60*I60/1000000</f>
        <v>0.012</v>
      </c>
      <c r="L60" s="13" t="n">
        <f aca="false">J60/3600/K60</f>
        <v>2.08333333333333</v>
      </c>
      <c r="M60" s="4" t="str">
        <f aca="false">IF(L60&lt;=Hypothèses!$B$3,"oui","NON")</f>
        <v>oui</v>
      </c>
      <c r="N60" s="14" t="s">
        <v>40</v>
      </c>
      <c r="O60" s="14"/>
    </row>
    <row r="61" customFormat="false" ht="15" hidden="false" customHeight="false" outlineLevel="0" collapsed="false">
      <c r="A61" s="4" t="s">
        <v>136</v>
      </c>
      <c r="B61" s="4" t="s">
        <v>12</v>
      </c>
      <c r="C61" s="4" t="s">
        <v>11</v>
      </c>
      <c r="D61" s="4" t="s">
        <v>36</v>
      </c>
      <c r="E61" s="4" t="s">
        <v>137</v>
      </c>
      <c r="F61" s="4" t="s">
        <v>38</v>
      </c>
      <c r="G61" s="4" t="s">
        <v>39</v>
      </c>
      <c r="H61" s="4" t="n">
        <v>200</v>
      </c>
      <c r="I61" s="4" t="n">
        <v>60</v>
      </c>
      <c r="J61" s="11" t="n">
        <v>90</v>
      </c>
      <c r="K61" s="12" t="n">
        <f aca="false">H61*I61/1000000</f>
        <v>0.012</v>
      </c>
      <c r="L61" s="13" t="n">
        <f aca="false">J61/3600/K61</f>
        <v>2.08333333333333</v>
      </c>
      <c r="M61" s="4" t="str">
        <f aca="false">IF(L61&lt;=Hypothèses!$B$3,"oui","NON")</f>
        <v>oui</v>
      </c>
      <c r="N61" s="14" t="s">
        <v>40</v>
      </c>
      <c r="O61" s="14"/>
    </row>
    <row r="62" customFormat="false" ht="15" hidden="false" customHeight="false" outlineLevel="0" collapsed="false">
      <c r="A62" s="4" t="s">
        <v>138</v>
      </c>
      <c r="B62" s="4" t="s">
        <v>12</v>
      </c>
      <c r="C62" s="4" t="s">
        <v>11</v>
      </c>
      <c r="D62" s="4" t="s">
        <v>36</v>
      </c>
      <c r="E62" s="4" t="s">
        <v>139</v>
      </c>
      <c r="F62" s="4" t="s">
        <v>38</v>
      </c>
      <c r="G62" s="4" t="s">
        <v>39</v>
      </c>
      <c r="H62" s="4" t="n">
        <v>200</v>
      </c>
      <c r="I62" s="4" t="n">
        <v>60</v>
      </c>
      <c r="J62" s="11" t="n">
        <v>90</v>
      </c>
      <c r="K62" s="12" t="n">
        <f aca="false">H62*I62/1000000</f>
        <v>0.012</v>
      </c>
      <c r="L62" s="13" t="n">
        <f aca="false">J62/3600/K62</f>
        <v>2.08333333333333</v>
      </c>
      <c r="M62" s="4" t="str">
        <f aca="false">IF(L62&lt;=Hypothèses!$B$3,"oui","NON")</f>
        <v>oui</v>
      </c>
      <c r="N62" s="14" t="s">
        <v>40</v>
      </c>
      <c r="O62" s="14"/>
    </row>
    <row r="63" customFormat="false" ht="15" hidden="false" customHeight="false" outlineLevel="0" collapsed="false">
      <c r="A63" s="4" t="s">
        <v>140</v>
      </c>
      <c r="B63" s="4" t="s">
        <v>12</v>
      </c>
      <c r="C63" s="4" t="s">
        <v>11</v>
      </c>
      <c r="D63" s="4" t="s">
        <v>36</v>
      </c>
      <c r="E63" s="4" t="s">
        <v>141</v>
      </c>
      <c r="F63" s="4" t="s">
        <v>38</v>
      </c>
      <c r="G63" s="4" t="s">
        <v>39</v>
      </c>
      <c r="H63" s="4" t="n">
        <v>200</v>
      </c>
      <c r="I63" s="4" t="n">
        <v>60</v>
      </c>
      <c r="J63" s="11" t="n">
        <v>90</v>
      </c>
      <c r="K63" s="12" t="n">
        <f aca="false">H63*I63/1000000</f>
        <v>0.012</v>
      </c>
      <c r="L63" s="13" t="n">
        <f aca="false">J63/3600/K63</f>
        <v>2.08333333333333</v>
      </c>
      <c r="M63" s="4" t="str">
        <f aca="false">IF(L63&lt;=Hypothèses!$B$3,"oui","NON")</f>
        <v>oui</v>
      </c>
      <c r="N63" s="14" t="s">
        <v>40</v>
      </c>
      <c r="O63" s="14"/>
    </row>
    <row r="64" customFormat="false" ht="15" hidden="false" customHeight="false" outlineLevel="0" collapsed="false">
      <c r="A64" s="4" t="s">
        <v>142</v>
      </c>
      <c r="B64" s="4" t="s">
        <v>12</v>
      </c>
      <c r="C64" s="4" t="s">
        <v>11</v>
      </c>
      <c r="D64" s="4" t="s">
        <v>36</v>
      </c>
      <c r="E64" s="4" t="s">
        <v>143</v>
      </c>
      <c r="F64" s="4" t="s">
        <v>38</v>
      </c>
      <c r="G64" s="4" t="s">
        <v>39</v>
      </c>
      <c r="H64" s="4" t="n">
        <v>200</v>
      </c>
      <c r="I64" s="4" t="n">
        <v>60</v>
      </c>
      <c r="J64" s="11" t="n">
        <v>90</v>
      </c>
      <c r="K64" s="12" t="n">
        <f aca="false">H64*I64/1000000</f>
        <v>0.012</v>
      </c>
      <c r="L64" s="13" t="n">
        <f aca="false">J64/3600/K64</f>
        <v>2.08333333333333</v>
      </c>
      <c r="M64" s="4" t="str">
        <f aca="false">IF(L64&lt;=Hypothèses!$B$3,"oui","NON")</f>
        <v>oui</v>
      </c>
      <c r="N64" s="14" t="s">
        <v>40</v>
      </c>
      <c r="O64" s="14"/>
    </row>
    <row r="65" customFormat="false" ht="15" hidden="false" customHeight="false" outlineLevel="0" collapsed="false">
      <c r="A65" s="4" t="s">
        <v>144</v>
      </c>
      <c r="B65" s="4" t="s">
        <v>12</v>
      </c>
      <c r="C65" s="4" t="s">
        <v>11</v>
      </c>
      <c r="D65" s="4" t="s">
        <v>36</v>
      </c>
      <c r="E65" s="4" t="s">
        <v>145</v>
      </c>
      <c r="F65" s="4" t="s">
        <v>38</v>
      </c>
      <c r="G65" s="4" t="s">
        <v>39</v>
      </c>
      <c r="H65" s="4" t="n">
        <v>200</v>
      </c>
      <c r="I65" s="4" t="n">
        <v>60</v>
      </c>
      <c r="J65" s="11" t="n">
        <v>90</v>
      </c>
      <c r="K65" s="12" t="n">
        <f aca="false">H65*I65/1000000</f>
        <v>0.012</v>
      </c>
      <c r="L65" s="13" t="n">
        <f aca="false">J65/3600/K65</f>
        <v>2.08333333333333</v>
      </c>
      <c r="M65" s="4" t="str">
        <f aca="false">IF(L65&lt;=Hypothèses!$B$3,"oui","NON")</f>
        <v>oui</v>
      </c>
      <c r="N65" s="14" t="s">
        <v>40</v>
      </c>
      <c r="O65" s="14"/>
    </row>
    <row r="66" customFormat="false" ht="15" hidden="false" customHeight="false" outlineLevel="0" collapsed="false">
      <c r="A66" s="4" t="s">
        <v>146</v>
      </c>
      <c r="B66" s="4" t="s">
        <v>12</v>
      </c>
      <c r="C66" s="4" t="s">
        <v>11</v>
      </c>
      <c r="D66" s="4" t="s">
        <v>36</v>
      </c>
      <c r="E66" s="4" t="s">
        <v>147</v>
      </c>
      <c r="F66" s="4" t="s">
        <v>38</v>
      </c>
      <c r="G66" s="4" t="s">
        <v>39</v>
      </c>
      <c r="H66" s="4" t="n">
        <v>200</v>
      </c>
      <c r="I66" s="4" t="n">
        <v>60</v>
      </c>
      <c r="J66" s="11" t="n">
        <v>90</v>
      </c>
      <c r="K66" s="12" t="n">
        <f aca="false">H66*I66/1000000</f>
        <v>0.012</v>
      </c>
      <c r="L66" s="13" t="n">
        <f aca="false">J66/3600/K66</f>
        <v>2.08333333333333</v>
      </c>
      <c r="M66" s="4" t="str">
        <f aca="false">IF(L66&lt;=Hypothèses!$B$3,"oui","NON")</f>
        <v>oui</v>
      </c>
      <c r="N66" s="14" t="s">
        <v>40</v>
      </c>
      <c r="O66" s="14"/>
    </row>
    <row r="67" customFormat="false" ht="15" hidden="false" customHeight="false" outlineLevel="0" collapsed="false">
      <c r="A67" s="4" t="s">
        <v>148</v>
      </c>
      <c r="B67" s="4" t="s">
        <v>12</v>
      </c>
      <c r="C67" s="4" t="s">
        <v>11</v>
      </c>
      <c r="D67" s="4" t="s">
        <v>36</v>
      </c>
      <c r="E67" s="4" t="s">
        <v>149</v>
      </c>
      <c r="F67" s="4" t="s">
        <v>38</v>
      </c>
      <c r="G67" s="4" t="s">
        <v>39</v>
      </c>
      <c r="H67" s="4" t="n">
        <v>200</v>
      </c>
      <c r="I67" s="4" t="n">
        <v>60</v>
      </c>
      <c r="J67" s="11" t="n">
        <v>90</v>
      </c>
      <c r="K67" s="12" t="n">
        <f aca="false">H67*I67/1000000</f>
        <v>0.012</v>
      </c>
      <c r="L67" s="13" t="n">
        <f aca="false">J67/3600/K67</f>
        <v>2.08333333333333</v>
      </c>
      <c r="M67" s="4" t="str">
        <f aca="false">IF(L67&lt;=Hypothèses!$B$3,"oui","NON")</f>
        <v>oui</v>
      </c>
      <c r="N67" s="14" t="s">
        <v>40</v>
      </c>
      <c r="O67" s="14"/>
    </row>
    <row r="68" customFormat="false" ht="15" hidden="false" customHeight="false" outlineLevel="0" collapsed="false">
      <c r="A68" s="4" t="s">
        <v>150</v>
      </c>
      <c r="B68" s="4" t="s">
        <v>12</v>
      </c>
      <c r="C68" s="4" t="s">
        <v>11</v>
      </c>
      <c r="D68" s="4" t="s">
        <v>36</v>
      </c>
      <c r="E68" s="4" t="s">
        <v>151</v>
      </c>
      <c r="F68" s="4" t="s">
        <v>38</v>
      </c>
      <c r="G68" s="4" t="s">
        <v>39</v>
      </c>
      <c r="H68" s="4" t="n">
        <v>200</v>
      </c>
      <c r="I68" s="4" t="n">
        <v>60</v>
      </c>
      <c r="J68" s="11" t="n">
        <v>90</v>
      </c>
      <c r="K68" s="12" t="n">
        <f aca="false">H68*I68/1000000</f>
        <v>0.012</v>
      </c>
      <c r="L68" s="13" t="n">
        <f aca="false">J68/3600/K68</f>
        <v>2.08333333333333</v>
      </c>
      <c r="M68" s="4" t="str">
        <f aca="false">IF(L68&lt;=Hypothèses!$B$3,"oui","NON")</f>
        <v>oui</v>
      </c>
      <c r="N68" s="14" t="s">
        <v>40</v>
      </c>
      <c r="O68" s="14"/>
    </row>
    <row r="69" customFormat="false" ht="15" hidden="false" customHeight="false" outlineLevel="0" collapsed="false">
      <c r="A69" s="4" t="s">
        <v>152</v>
      </c>
      <c r="B69" s="4" t="s">
        <v>12</v>
      </c>
      <c r="C69" s="4" t="s">
        <v>11</v>
      </c>
      <c r="D69" s="4" t="s">
        <v>36</v>
      </c>
      <c r="E69" s="4" t="s">
        <v>153</v>
      </c>
      <c r="F69" s="4" t="s">
        <v>38</v>
      </c>
      <c r="G69" s="4" t="s">
        <v>39</v>
      </c>
      <c r="H69" s="4" t="n">
        <v>200</v>
      </c>
      <c r="I69" s="4" t="n">
        <v>60</v>
      </c>
      <c r="J69" s="11" t="n">
        <v>90</v>
      </c>
      <c r="K69" s="12" t="n">
        <f aca="false">H69*I69/1000000</f>
        <v>0.012</v>
      </c>
      <c r="L69" s="13" t="n">
        <f aca="false">J69/3600/K69</f>
        <v>2.08333333333333</v>
      </c>
      <c r="M69" s="4" t="str">
        <f aca="false">IF(L69&lt;=Hypothèses!$B$3,"oui","NON")</f>
        <v>oui</v>
      </c>
      <c r="N69" s="14" t="s">
        <v>40</v>
      </c>
      <c r="O69" s="14"/>
    </row>
    <row r="70" customFormat="false" ht="15" hidden="false" customHeight="false" outlineLevel="0" collapsed="false">
      <c r="A70" s="4" t="s">
        <v>154</v>
      </c>
      <c r="B70" s="4" t="s">
        <v>12</v>
      </c>
      <c r="C70" s="4" t="s">
        <v>11</v>
      </c>
      <c r="D70" s="4" t="s">
        <v>36</v>
      </c>
      <c r="E70" s="4" t="s">
        <v>155</v>
      </c>
      <c r="F70" s="4" t="s">
        <v>38</v>
      </c>
      <c r="G70" s="4" t="s">
        <v>39</v>
      </c>
      <c r="H70" s="4" t="n">
        <v>200</v>
      </c>
      <c r="I70" s="4" t="n">
        <v>60</v>
      </c>
      <c r="J70" s="11" t="n">
        <v>90</v>
      </c>
      <c r="K70" s="12" t="n">
        <f aca="false">H70*I70/1000000</f>
        <v>0.012</v>
      </c>
      <c r="L70" s="13" t="n">
        <f aca="false">J70/3600/K70</f>
        <v>2.08333333333333</v>
      </c>
      <c r="M70" s="4" t="str">
        <f aca="false">IF(L70&lt;=Hypothèses!$B$3,"oui","NON")</f>
        <v>oui</v>
      </c>
      <c r="N70" s="14" t="s">
        <v>40</v>
      </c>
      <c r="O70" s="14"/>
    </row>
    <row r="71" customFormat="false" ht="15" hidden="false" customHeight="false" outlineLevel="0" collapsed="false">
      <c r="A71" s="4" t="s">
        <v>156</v>
      </c>
      <c r="B71" s="4" t="s">
        <v>12</v>
      </c>
      <c r="C71" s="4" t="s">
        <v>11</v>
      </c>
      <c r="D71" s="4" t="s">
        <v>36</v>
      </c>
      <c r="E71" s="4" t="s">
        <v>157</v>
      </c>
      <c r="F71" s="4" t="s">
        <v>38</v>
      </c>
      <c r="G71" s="4" t="s">
        <v>39</v>
      </c>
      <c r="H71" s="4" t="n">
        <v>200</v>
      </c>
      <c r="I71" s="4" t="n">
        <v>60</v>
      </c>
      <c r="J71" s="11" t="n">
        <v>90</v>
      </c>
      <c r="K71" s="12" t="n">
        <f aca="false">H71*I71/1000000</f>
        <v>0.012</v>
      </c>
      <c r="L71" s="13" t="n">
        <f aca="false">J71/3600/K71</f>
        <v>2.08333333333333</v>
      </c>
      <c r="M71" s="4" t="str">
        <f aca="false">IF(L71&lt;=Hypothèses!$B$3,"oui","NON")</f>
        <v>oui</v>
      </c>
      <c r="N71" s="14" t="s">
        <v>40</v>
      </c>
      <c r="O71" s="14"/>
    </row>
    <row r="72" customFormat="false" ht="15" hidden="false" customHeight="false" outlineLevel="0" collapsed="false">
      <c r="A72" s="4" t="s">
        <v>158</v>
      </c>
      <c r="B72" s="4" t="s">
        <v>12</v>
      </c>
      <c r="C72" s="4" t="s">
        <v>11</v>
      </c>
      <c r="D72" s="4" t="s">
        <v>68</v>
      </c>
      <c r="E72" s="4" t="s">
        <v>159</v>
      </c>
      <c r="F72" s="4" t="s">
        <v>38</v>
      </c>
      <c r="G72" s="4" t="s">
        <v>39</v>
      </c>
      <c r="H72" s="4" t="n">
        <v>200</v>
      </c>
      <c r="I72" s="4" t="n">
        <v>60</v>
      </c>
      <c r="J72" s="11" t="n">
        <v>90</v>
      </c>
      <c r="K72" s="12" t="n">
        <f aca="false">H72*I72/1000000</f>
        <v>0.012</v>
      </c>
      <c r="L72" s="13" t="n">
        <f aca="false">J72/3600/K72</f>
        <v>2.08333333333333</v>
      </c>
      <c r="M72" s="4" t="str">
        <f aca="false">IF(L72&lt;=Hypothèses!$B$3,"oui","NON")</f>
        <v>oui</v>
      </c>
      <c r="N72" s="14" t="s">
        <v>40</v>
      </c>
      <c r="O72" s="14"/>
    </row>
    <row r="73" customFormat="false" ht="15" hidden="false" customHeight="false" outlineLevel="0" collapsed="false">
      <c r="A73" s="4" t="s">
        <v>160</v>
      </c>
      <c r="B73" s="4" t="s">
        <v>12</v>
      </c>
      <c r="C73" s="4" t="s">
        <v>11</v>
      </c>
      <c r="D73" s="4" t="s">
        <v>68</v>
      </c>
      <c r="E73" s="4" t="s">
        <v>161</v>
      </c>
      <c r="F73" s="4" t="s">
        <v>38</v>
      </c>
      <c r="G73" s="4" t="s">
        <v>39</v>
      </c>
      <c r="H73" s="4" t="n">
        <v>200</v>
      </c>
      <c r="I73" s="4" t="n">
        <v>60</v>
      </c>
      <c r="J73" s="11" t="n">
        <v>90</v>
      </c>
      <c r="K73" s="12" t="n">
        <f aca="false">H73*I73/1000000</f>
        <v>0.012</v>
      </c>
      <c r="L73" s="13" t="n">
        <f aca="false">J73/3600/K73</f>
        <v>2.08333333333333</v>
      </c>
      <c r="M73" s="4" t="str">
        <f aca="false">IF(L73&lt;=Hypothèses!$B$3,"oui","NON")</f>
        <v>oui</v>
      </c>
      <c r="N73" s="14" t="s">
        <v>40</v>
      </c>
      <c r="O73" s="14"/>
    </row>
    <row r="74" customFormat="false" ht="15" hidden="false" customHeight="false" outlineLevel="0" collapsed="false">
      <c r="A74" s="4" t="s">
        <v>162</v>
      </c>
      <c r="B74" s="4" t="s">
        <v>12</v>
      </c>
      <c r="C74" s="4" t="s">
        <v>11</v>
      </c>
      <c r="D74" s="4" t="s">
        <v>68</v>
      </c>
      <c r="E74" s="4" t="s">
        <v>163</v>
      </c>
      <c r="F74" s="4" t="s">
        <v>38</v>
      </c>
      <c r="G74" s="4" t="s">
        <v>39</v>
      </c>
      <c r="H74" s="4" t="n">
        <v>200</v>
      </c>
      <c r="I74" s="4" t="n">
        <v>60</v>
      </c>
      <c r="J74" s="11" t="n">
        <v>90</v>
      </c>
      <c r="K74" s="12" t="n">
        <f aca="false">H74*I74/1000000</f>
        <v>0.012</v>
      </c>
      <c r="L74" s="13" t="n">
        <f aca="false">J74/3600/K74</f>
        <v>2.08333333333333</v>
      </c>
      <c r="M74" s="4" t="str">
        <f aca="false">IF(L74&lt;=Hypothèses!$B$3,"oui","NON")</f>
        <v>oui</v>
      </c>
      <c r="N74" s="14" t="s">
        <v>40</v>
      </c>
      <c r="O74" s="14"/>
    </row>
    <row r="75" customFormat="false" ht="15" hidden="false" customHeight="false" outlineLevel="0" collapsed="false">
      <c r="A75" s="4" t="s">
        <v>164</v>
      </c>
      <c r="B75" s="4" t="s">
        <v>12</v>
      </c>
      <c r="C75" s="4" t="s">
        <v>11</v>
      </c>
      <c r="D75" s="4" t="s">
        <v>68</v>
      </c>
      <c r="E75" s="4" t="s">
        <v>165</v>
      </c>
      <c r="F75" s="4" t="s">
        <v>38</v>
      </c>
      <c r="G75" s="4" t="s">
        <v>39</v>
      </c>
      <c r="H75" s="4" t="n">
        <v>200</v>
      </c>
      <c r="I75" s="4" t="n">
        <v>60</v>
      </c>
      <c r="J75" s="11" t="n">
        <v>90</v>
      </c>
      <c r="K75" s="12" t="n">
        <f aca="false">H75*I75/1000000</f>
        <v>0.012</v>
      </c>
      <c r="L75" s="13" t="n">
        <f aca="false">J75/3600/K75</f>
        <v>2.08333333333333</v>
      </c>
      <c r="M75" s="4" t="str">
        <f aca="false">IF(L75&lt;=Hypothèses!$B$3,"oui","NON")</f>
        <v>oui</v>
      </c>
      <c r="N75" s="14" t="s">
        <v>40</v>
      </c>
      <c r="O75" s="14"/>
    </row>
    <row r="76" customFormat="false" ht="15" hidden="false" customHeight="false" outlineLevel="0" collapsed="false">
      <c r="A76" s="4" t="s">
        <v>166</v>
      </c>
      <c r="B76" s="4" t="s">
        <v>12</v>
      </c>
      <c r="C76" s="4" t="s">
        <v>11</v>
      </c>
      <c r="D76" s="4" t="s">
        <v>68</v>
      </c>
      <c r="E76" s="4" t="s">
        <v>167</v>
      </c>
      <c r="F76" s="4" t="s">
        <v>38</v>
      </c>
      <c r="G76" s="4" t="s">
        <v>39</v>
      </c>
      <c r="H76" s="4" t="n">
        <v>200</v>
      </c>
      <c r="I76" s="4" t="n">
        <v>60</v>
      </c>
      <c r="J76" s="11" t="n">
        <v>90</v>
      </c>
      <c r="K76" s="12" t="n">
        <f aca="false">H76*I76/1000000</f>
        <v>0.012</v>
      </c>
      <c r="L76" s="13" t="n">
        <f aca="false">J76/3600/K76</f>
        <v>2.08333333333333</v>
      </c>
      <c r="M76" s="4" t="str">
        <f aca="false">IF(L76&lt;=Hypothèses!$B$3,"oui","NON")</f>
        <v>oui</v>
      </c>
      <c r="N76" s="14" t="s">
        <v>40</v>
      </c>
      <c r="O76" s="14"/>
    </row>
    <row r="77" customFormat="false" ht="15" hidden="false" customHeight="false" outlineLevel="0" collapsed="false">
      <c r="A77" s="4" t="s">
        <v>168</v>
      </c>
      <c r="B77" s="4" t="s">
        <v>12</v>
      </c>
      <c r="C77" s="4" t="s">
        <v>11</v>
      </c>
      <c r="D77" s="4" t="s">
        <v>68</v>
      </c>
      <c r="E77" s="4" t="s">
        <v>169</v>
      </c>
      <c r="F77" s="4" t="s">
        <v>38</v>
      </c>
      <c r="G77" s="4" t="s">
        <v>39</v>
      </c>
      <c r="H77" s="4" t="n">
        <v>200</v>
      </c>
      <c r="I77" s="4" t="n">
        <v>60</v>
      </c>
      <c r="J77" s="11" t="n">
        <v>90</v>
      </c>
      <c r="K77" s="12" t="n">
        <f aca="false">H77*I77/1000000</f>
        <v>0.012</v>
      </c>
      <c r="L77" s="13" t="n">
        <f aca="false">J77/3600/K77</f>
        <v>2.08333333333333</v>
      </c>
      <c r="M77" s="4" t="str">
        <f aca="false">IF(L77&lt;=Hypothèses!$B$3,"oui","NON")</f>
        <v>oui</v>
      </c>
      <c r="N77" s="14" t="s">
        <v>40</v>
      </c>
      <c r="O77" s="14"/>
    </row>
    <row r="78" customFormat="false" ht="15" hidden="false" customHeight="false" outlineLevel="0" collapsed="false">
      <c r="A78" s="4" t="s">
        <v>170</v>
      </c>
      <c r="B78" s="4" t="s">
        <v>12</v>
      </c>
      <c r="C78" s="4" t="s">
        <v>11</v>
      </c>
      <c r="D78" s="4" t="s">
        <v>68</v>
      </c>
      <c r="E78" s="4" t="s">
        <v>171</v>
      </c>
      <c r="F78" s="4" t="s">
        <v>38</v>
      </c>
      <c r="G78" s="4" t="s">
        <v>39</v>
      </c>
      <c r="H78" s="4" t="n">
        <v>200</v>
      </c>
      <c r="I78" s="4" t="n">
        <v>60</v>
      </c>
      <c r="J78" s="11" t="n">
        <v>90</v>
      </c>
      <c r="K78" s="12" t="n">
        <f aca="false">H78*I78/1000000</f>
        <v>0.012</v>
      </c>
      <c r="L78" s="13" t="n">
        <f aca="false">J78/3600/K78</f>
        <v>2.08333333333333</v>
      </c>
      <c r="M78" s="4" t="str">
        <f aca="false">IF(L78&lt;=Hypothèses!$B$3,"oui","NON")</f>
        <v>oui</v>
      </c>
      <c r="N78" s="14" t="s">
        <v>40</v>
      </c>
      <c r="O78" s="14"/>
    </row>
    <row r="79" customFormat="false" ht="15" hidden="false" customHeight="false" outlineLevel="0" collapsed="false">
      <c r="A79" s="4" t="s">
        <v>172</v>
      </c>
      <c r="B79" s="4" t="s">
        <v>12</v>
      </c>
      <c r="C79" s="4" t="s">
        <v>11</v>
      </c>
      <c r="D79" s="4" t="s">
        <v>68</v>
      </c>
      <c r="E79" s="4" t="s">
        <v>173</v>
      </c>
      <c r="F79" s="4" t="s">
        <v>38</v>
      </c>
      <c r="G79" s="4" t="s">
        <v>39</v>
      </c>
      <c r="H79" s="4" t="n">
        <v>200</v>
      </c>
      <c r="I79" s="4" t="n">
        <v>60</v>
      </c>
      <c r="J79" s="11" t="n">
        <v>90</v>
      </c>
      <c r="K79" s="12" t="n">
        <f aca="false">H79*I79/1000000</f>
        <v>0.012</v>
      </c>
      <c r="L79" s="13" t="n">
        <f aca="false">J79/3600/K79</f>
        <v>2.08333333333333</v>
      </c>
      <c r="M79" s="4" t="str">
        <f aca="false">IF(L79&lt;=Hypothèses!$B$3,"oui","NON")</f>
        <v>oui</v>
      </c>
      <c r="N79" s="14" t="s">
        <v>40</v>
      </c>
      <c r="O79" s="14"/>
    </row>
    <row r="80" customFormat="false" ht="15" hidden="false" customHeight="false" outlineLevel="0" collapsed="false">
      <c r="A80" s="4" t="s">
        <v>174</v>
      </c>
      <c r="B80" s="4" t="s">
        <v>12</v>
      </c>
      <c r="C80" s="4" t="s">
        <v>11</v>
      </c>
      <c r="D80" s="4" t="s">
        <v>68</v>
      </c>
      <c r="E80" s="4" t="s">
        <v>175</v>
      </c>
      <c r="F80" s="4" t="s">
        <v>38</v>
      </c>
      <c r="G80" s="4" t="s">
        <v>39</v>
      </c>
      <c r="H80" s="4" t="n">
        <v>200</v>
      </c>
      <c r="I80" s="4" t="n">
        <v>60</v>
      </c>
      <c r="J80" s="11" t="n">
        <v>90</v>
      </c>
      <c r="K80" s="12" t="n">
        <f aca="false">H80*I80/1000000</f>
        <v>0.012</v>
      </c>
      <c r="L80" s="13" t="n">
        <f aca="false">J80/3600/K80</f>
        <v>2.08333333333333</v>
      </c>
      <c r="M80" s="4" t="str">
        <f aca="false">IF(L80&lt;=Hypothèses!$B$3,"oui","NON")</f>
        <v>oui</v>
      </c>
      <c r="N80" s="14" t="s">
        <v>40</v>
      </c>
      <c r="O80" s="14"/>
    </row>
    <row r="81" customFormat="false" ht="15" hidden="false" customHeight="false" outlineLevel="0" collapsed="false">
      <c r="A81" s="4" t="s">
        <v>176</v>
      </c>
      <c r="B81" s="4" t="s">
        <v>12</v>
      </c>
      <c r="C81" s="4" t="s">
        <v>11</v>
      </c>
      <c r="D81" s="4" t="s">
        <v>68</v>
      </c>
      <c r="E81" s="4" t="s">
        <v>177</v>
      </c>
      <c r="F81" s="4" t="s">
        <v>38</v>
      </c>
      <c r="G81" s="4" t="s">
        <v>39</v>
      </c>
      <c r="H81" s="4" t="n">
        <v>200</v>
      </c>
      <c r="I81" s="4" t="n">
        <v>60</v>
      </c>
      <c r="J81" s="11" t="n">
        <v>90</v>
      </c>
      <c r="K81" s="12" t="n">
        <f aca="false">H81*I81/1000000</f>
        <v>0.012</v>
      </c>
      <c r="L81" s="13" t="n">
        <f aca="false">J81/3600/K81</f>
        <v>2.08333333333333</v>
      </c>
      <c r="M81" s="4" t="str">
        <f aca="false">IF(L81&lt;=Hypothèses!$B$3,"oui","NON")</f>
        <v>oui</v>
      </c>
      <c r="N81" s="14" t="s">
        <v>40</v>
      </c>
      <c r="O81" s="14"/>
    </row>
    <row r="82" customFormat="false" ht="15" hidden="false" customHeight="false" outlineLevel="0" collapsed="false">
      <c r="A82" s="4" t="s">
        <v>178</v>
      </c>
      <c r="B82" s="4" t="s">
        <v>12</v>
      </c>
      <c r="C82" s="4" t="s">
        <v>11</v>
      </c>
      <c r="D82" s="4" t="s">
        <v>68</v>
      </c>
      <c r="E82" s="4" t="s">
        <v>179</v>
      </c>
      <c r="F82" s="4" t="s">
        <v>38</v>
      </c>
      <c r="G82" s="4" t="s">
        <v>39</v>
      </c>
      <c r="H82" s="4" t="n">
        <v>200</v>
      </c>
      <c r="I82" s="4" t="n">
        <v>60</v>
      </c>
      <c r="J82" s="11" t="n">
        <v>90</v>
      </c>
      <c r="K82" s="12" t="n">
        <f aca="false">H82*I82/1000000</f>
        <v>0.012</v>
      </c>
      <c r="L82" s="13" t="n">
        <f aca="false">J82/3600/K82</f>
        <v>2.08333333333333</v>
      </c>
      <c r="M82" s="4" t="str">
        <f aca="false">IF(L82&lt;=Hypothèses!$B$3,"oui","NON")</f>
        <v>oui</v>
      </c>
      <c r="N82" s="14" t="s">
        <v>40</v>
      </c>
      <c r="O82" s="14"/>
    </row>
    <row r="83" customFormat="false" ht="15" hidden="false" customHeight="false" outlineLevel="0" collapsed="false">
      <c r="A83" s="4" t="s">
        <v>180</v>
      </c>
      <c r="B83" s="4" t="s">
        <v>12</v>
      </c>
      <c r="C83" s="4" t="s">
        <v>11</v>
      </c>
      <c r="D83" s="4" t="s">
        <v>68</v>
      </c>
      <c r="E83" s="4" t="s">
        <v>181</v>
      </c>
      <c r="F83" s="4" t="s">
        <v>38</v>
      </c>
      <c r="G83" s="4" t="s">
        <v>39</v>
      </c>
      <c r="H83" s="4" t="n">
        <v>200</v>
      </c>
      <c r="I83" s="4" t="n">
        <v>60</v>
      </c>
      <c r="J83" s="11" t="n">
        <v>90</v>
      </c>
      <c r="K83" s="12" t="n">
        <f aca="false">H83*I83/1000000</f>
        <v>0.012</v>
      </c>
      <c r="L83" s="13" t="n">
        <f aca="false">J83/3600/K83</f>
        <v>2.08333333333333</v>
      </c>
      <c r="M83" s="4" t="str">
        <f aca="false">IF(L83&lt;=Hypothèses!$B$3,"oui","NON")</f>
        <v>oui</v>
      </c>
      <c r="N83" s="14" t="s">
        <v>40</v>
      </c>
      <c r="O83" s="14"/>
    </row>
    <row r="84" customFormat="false" ht="15" hidden="false" customHeight="false" outlineLevel="0" collapsed="false">
      <c r="A84" s="4" t="s">
        <v>182</v>
      </c>
      <c r="B84" s="4" t="s">
        <v>12</v>
      </c>
      <c r="C84" s="4" t="s">
        <v>11</v>
      </c>
      <c r="D84" s="4" t="s">
        <v>68</v>
      </c>
      <c r="E84" s="4" t="s">
        <v>183</v>
      </c>
      <c r="F84" s="4" t="s">
        <v>38</v>
      </c>
      <c r="G84" s="4" t="s">
        <v>39</v>
      </c>
      <c r="H84" s="4" t="n">
        <v>200</v>
      </c>
      <c r="I84" s="4" t="n">
        <v>60</v>
      </c>
      <c r="J84" s="11" t="n">
        <v>90</v>
      </c>
      <c r="K84" s="12" t="n">
        <f aca="false">H84*I84/1000000</f>
        <v>0.012</v>
      </c>
      <c r="L84" s="13" t="n">
        <f aca="false">J84/3600/K84</f>
        <v>2.08333333333333</v>
      </c>
      <c r="M84" s="4" t="str">
        <f aca="false">IF(L84&lt;=Hypothèses!$B$3,"oui","NON")</f>
        <v>oui</v>
      </c>
      <c r="N84" s="15" t="s">
        <v>113</v>
      </c>
      <c r="O84" s="15" t="s">
        <v>184</v>
      </c>
    </row>
    <row r="85" customFormat="false" ht="15" hidden="false" customHeight="false" outlineLevel="0" collapsed="false">
      <c r="A85" s="4" t="s">
        <v>185</v>
      </c>
      <c r="B85" s="4" t="s">
        <v>12</v>
      </c>
      <c r="C85" s="4" t="s">
        <v>10</v>
      </c>
      <c r="D85" s="4" t="s">
        <v>36</v>
      </c>
      <c r="E85" s="4" t="s">
        <v>97</v>
      </c>
      <c r="F85" s="4" t="s">
        <v>186</v>
      </c>
      <c r="G85" s="4" t="s">
        <v>99</v>
      </c>
      <c r="H85" s="4" t="n">
        <v>200</v>
      </c>
      <c r="I85" s="4" t="n">
        <v>60</v>
      </c>
      <c r="J85" s="11" t="n">
        <v>90</v>
      </c>
      <c r="K85" s="12" t="n">
        <f aca="false">H85*I85/1000000</f>
        <v>0.012</v>
      </c>
      <c r="L85" s="13" t="n">
        <f aca="false">J85/3600/K85</f>
        <v>2.08333333333333</v>
      </c>
      <c r="M85" s="4" t="str">
        <f aca="false">IF(L85&lt;=Hypothèses!$B$3,"oui","NON")</f>
        <v>oui</v>
      </c>
      <c r="N85" s="14" t="s">
        <v>40</v>
      </c>
      <c r="O85" s="14"/>
    </row>
    <row r="86" customFormat="false" ht="15" hidden="false" customHeight="false" outlineLevel="0" collapsed="false">
      <c r="A86" s="4" t="s">
        <v>187</v>
      </c>
      <c r="B86" s="4" t="s">
        <v>12</v>
      </c>
      <c r="C86" s="4" t="s">
        <v>10</v>
      </c>
      <c r="D86" s="4" t="s">
        <v>36</v>
      </c>
      <c r="E86" s="4" t="s">
        <v>97</v>
      </c>
      <c r="F86" s="4" t="s">
        <v>186</v>
      </c>
      <c r="G86" s="4" t="s">
        <v>99</v>
      </c>
      <c r="H86" s="4" t="n">
        <v>200</v>
      </c>
      <c r="I86" s="4" t="n">
        <v>60</v>
      </c>
      <c r="J86" s="11" t="n">
        <v>90</v>
      </c>
      <c r="K86" s="12" t="n">
        <f aca="false">H86*I86/1000000</f>
        <v>0.012</v>
      </c>
      <c r="L86" s="13" t="n">
        <f aca="false">J86/3600/K86</f>
        <v>2.08333333333333</v>
      </c>
      <c r="M86" s="4" t="str">
        <f aca="false">IF(L86&lt;=Hypothèses!$B$3,"oui","NON")</f>
        <v>oui</v>
      </c>
      <c r="N86" s="14" t="s">
        <v>40</v>
      </c>
      <c r="O86" s="14"/>
    </row>
    <row r="87" customFormat="false" ht="15" hidden="false" customHeight="false" outlineLevel="0" collapsed="false">
      <c r="A87" s="4" t="s">
        <v>188</v>
      </c>
      <c r="B87" s="4" t="s">
        <v>12</v>
      </c>
      <c r="C87" s="4" t="s">
        <v>10</v>
      </c>
      <c r="D87" s="4" t="s">
        <v>36</v>
      </c>
      <c r="E87" s="4" t="s">
        <v>97</v>
      </c>
      <c r="F87" s="4" t="s">
        <v>186</v>
      </c>
      <c r="G87" s="4" t="s">
        <v>99</v>
      </c>
      <c r="H87" s="4" t="n">
        <v>200</v>
      </c>
      <c r="I87" s="4" t="n">
        <v>60</v>
      </c>
      <c r="J87" s="11" t="n">
        <v>90</v>
      </c>
      <c r="K87" s="12" t="n">
        <f aca="false">H87*I87/1000000</f>
        <v>0.012</v>
      </c>
      <c r="L87" s="13" t="n">
        <f aca="false">J87/3600/K87</f>
        <v>2.08333333333333</v>
      </c>
      <c r="M87" s="4" t="str">
        <f aca="false">IF(L87&lt;=Hypothèses!$B$3,"oui","NON")</f>
        <v>oui</v>
      </c>
      <c r="N87" s="14" t="s">
        <v>40</v>
      </c>
      <c r="O87" s="14"/>
    </row>
    <row r="88" customFormat="false" ht="15" hidden="false" customHeight="false" outlineLevel="0" collapsed="false">
      <c r="A88" s="4" t="s">
        <v>189</v>
      </c>
      <c r="B88" s="4" t="s">
        <v>12</v>
      </c>
      <c r="C88" s="4" t="s">
        <v>10</v>
      </c>
      <c r="D88" s="4" t="s">
        <v>36</v>
      </c>
      <c r="E88" s="4" t="s">
        <v>97</v>
      </c>
      <c r="F88" s="4" t="s">
        <v>186</v>
      </c>
      <c r="G88" s="4" t="s">
        <v>99</v>
      </c>
      <c r="H88" s="4" t="n">
        <v>200</v>
      </c>
      <c r="I88" s="4" t="n">
        <v>60</v>
      </c>
      <c r="J88" s="11" t="n">
        <v>90</v>
      </c>
      <c r="K88" s="12" t="n">
        <f aca="false">H88*I88/1000000</f>
        <v>0.012</v>
      </c>
      <c r="L88" s="13" t="n">
        <f aca="false">J88/3600/K88</f>
        <v>2.08333333333333</v>
      </c>
      <c r="M88" s="4" t="str">
        <f aca="false">IF(L88&lt;=Hypothèses!$B$3,"oui","NON")</f>
        <v>oui</v>
      </c>
      <c r="N88" s="14" t="s">
        <v>40</v>
      </c>
      <c r="O88" s="14"/>
    </row>
    <row r="89" customFormat="false" ht="15" hidden="false" customHeight="false" outlineLevel="0" collapsed="false">
      <c r="A89" s="4" t="s">
        <v>190</v>
      </c>
      <c r="B89" s="4" t="s">
        <v>12</v>
      </c>
      <c r="C89" s="4" t="s">
        <v>10</v>
      </c>
      <c r="D89" s="4" t="s">
        <v>36</v>
      </c>
      <c r="E89" s="4" t="s">
        <v>97</v>
      </c>
      <c r="F89" s="4" t="s">
        <v>98</v>
      </c>
      <c r="G89" s="4" t="s">
        <v>99</v>
      </c>
      <c r="H89" s="4" t="n">
        <v>200</v>
      </c>
      <c r="I89" s="4" t="n">
        <v>60</v>
      </c>
      <c r="J89" s="11" t="n">
        <v>90</v>
      </c>
      <c r="K89" s="12" t="n">
        <f aca="false">H89*I89/1000000</f>
        <v>0.012</v>
      </c>
      <c r="L89" s="13" t="n">
        <f aca="false">J89/3600/K89</f>
        <v>2.08333333333333</v>
      </c>
      <c r="M89" s="4" t="str">
        <f aca="false">IF(L89&lt;=Hypothèses!$B$3,"oui","NON")</f>
        <v>oui</v>
      </c>
      <c r="N89" s="14" t="s">
        <v>40</v>
      </c>
      <c r="O89" s="14"/>
    </row>
    <row r="90" customFormat="false" ht="15" hidden="false" customHeight="false" outlineLevel="0" collapsed="false">
      <c r="A90" s="4" t="s">
        <v>191</v>
      </c>
      <c r="B90" s="4" t="s">
        <v>12</v>
      </c>
      <c r="C90" s="4" t="s">
        <v>10</v>
      </c>
      <c r="D90" s="4" t="s">
        <v>36</v>
      </c>
      <c r="E90" s="4" t="s">
        <v>97</v>
      </c>
      <c r="F90" s="4" t="s">
        <v>98</v>
      </c>
      <c r="G90" s="4" t="s">
        <v>99</v>
      </c>
      <c r="H90" s="4" t="n">
        <v>200</v>
      </c>
      <c r="I90" s="4" t="n">
        <v>60</v>
      </c>
      <c r="J90" s="11" t="n">
        <v>90</v>
      </c>
      <c r="K90" s="12" t="n">
        <f aca="false">H90*I90/1000000</f>
        <v>0.012</v>
      </c>
      <c r="L90" s="13" t="n">
        <f aca="false">J90/3600/K90</f>
        <v>2.08333333333333</v>
      </c>
      <c r="M90" s="4" t="str">
        <f aca="false">IF(L90&lt;=Hypothèses!$B$3,"oui","NON")</f>
        <v>oui</v>
      </c>
      <c r="N90" s="14" t="s">
        <v>40</v>
      </c>
      <c r="O90" s="14"/>
    </row>
    <row r="91" customFormat="false" ht="15" hidden="false" customHeight="false" outlineLevel="0" collapsed="false">
      <c r="A91" s="4" t="s">
        <v>192</v>
      </c>
      <c r="B91" s="4" t="s">
        <v>12</v>
      </c>
      <c r="C91" s="4" t="s">
        <v>10</v>
      </c>
      <c r="D91" s="4" t="s">
        <v>36</v>
      </c>
      <c r="E91" s="4" t="s">
        <v>97</v>
      </c>
      <c r="F91" s="4" t="s">
        <v>98</v>
      </c>
      <c r="G91" s="4" t="s">
        <v>99</v>
      </c>
      <c r="H91" s="4" t="n">
        <v>200</v>
      </c>
      <c r="I91" s="4" t="n">
        <v>60</v>
      </c>
      <c r="J91" s="11" t="n">
        <v>90</v>
      </c>
      <c r="K91" s="12" t="n">
        <f aca="false">H91*I91/1000000</f>
        <v>0.012</v>
      </c>
      <c r="L91" s="13" t="n">
        <f aca="false">J91/3600/K91</f>
        <v>2.08333333333333</v>
      </c>
      <c r="M91" s="4" t="str">
        <f aca="false">IF(L91&lt;=Hypothèses!$B$3,"oui","NON")</f>
        <v>oui</v>
      </c>
      <c r="N91" s="14" t="s">
        <v>40</v>
      </c>
      <c r="O91" s="14"/>
    </row>
    <row r="92" customFormat="false" ht="15" hidden="false" customHeight="false" outlineLevel="0" collapsed="false">
      <c r="A92" s="4" t="s">
        <v>193</v>
      </c>
      <c r="B92" s="4" t="s">
        <v>12</v>
      </c>
      <c r="C92" s="4" t="s">
        <v>10</v>
      </c>
      <c r="D92" s="4" t="s">
        <v>36</v>
      </c>
      <c r="E92" s="4" t="s">
        <v>97</v>
      </c>
      <c r="F92" s="4" t="s">
        <v>98</v>
      </c>
      <c r="G92" s="4" t="s">
        <v>99</v>
      </c>
      <c r="H92" s="4" t="n">
        <v>200</v>
      </c>
      <c r="I92" s="4" t="n">
        <v>60</v>
      </c>
      <c r="J92" s="11" t="n">
        <v>90</v>
      </c>
      <c r="K92" s="12" t="n">
        <f aca="false">H92*I92/1000000</f>
        <v>0.012</v>
      </c>
      <c r="L92" s="13" t="n">
        <f aca="false">J92/3600/K92</f>
        <v>2.08333333333333</v>
      </c>
      <c r="M92" s="4" t="str">
        <f aca="false">IF(L92&lt;=Hypothèses!$B$3,"oui","NON")</f>
        <v>oui</v>
      </c>
      <c r="N92" s="14" t="s">
        <v>40</v>
      </c>
      <c r="O92" s="14"/>
    </row>
    <row r="93" customFormat="false" ht="15" hidden="false" customHeight="false" outlineLevel="0" collapsed="false">
      <c r="A93" s="4" t="s">
        <v>194</v>
      </c>
      <c r="B93" s="4" t="s">
        <v>12</v>
      </c>
      <c r="C93" s="4" t="s">
        <v>10</v>
      </c>
      <c r="D93" s="4" t="s">
        <v>36</v>
      </c>
      <c r="E93" s="4" t="s">
        <v>97</v>
      </c>
      <c r="F93" s="4" t="s">
        <v>102</v>
      </c>
      <c r="G93" s="4" t="s">
        <v>99</v>
      </c>
      <c r="H93" s="4" t="n">
        <v>200</v>
      </c>
      <c r="I93" s="4" t="n">
        <v>60</v>
      </c>
      <c r="J93" s="11" t="n">
        <v>90</v>
      </c>
      <c r="K93" s="12" t="n">
        <f aca="false">H93*I93/1000000</f>
        <v>0.012</v>
      </c>
      <c r="L93" s="13" t="n">
        <f aca="false">J93/3600/K93</f>
        <v>2.08333333333333</v>
      </c>
      <c r="M93" s="4" t="str">
        <f aca="false">IF(L93&lt;=Hypothèses!$B$3,"oui","NON")</f>
        <v>oui</v>
      </c>
      <c r="N93" s="14" t="s">
        <v>40</v>
      </c>
      <c r="O93" s="14"/>
    </row>
    <row r="94" customFormat="false" ht="15" hidden="false" customHeight="false" outlineLevel="0" collapsed="false">
      <c r="A94" s="4" t="s">
        <v>195</v>
      </c>
      <c r="B94" s="4" t="s">
        <v>12</v>
      </c>
      <c r="C94" s="4" t="s">
        <v>10</v>
      </c>
      <c r="D94" s="4" t="s">
        <v>36</v>
      </c>
      <c r="E94" s="4" t="s">
        <v>97</v>
      </c>
      <c r="F94" s="4" t="s">
        <v>102</v>
      </c>
      <c r="G94" s="4" t="s">
        <v>99</v>
      </c>
      <c r="H94" s="4" t="n">
        <v>200</v>
      </c>
      <c r="I94" s="4" t="n">
        <v>60</v>
      </c>
      <c r="J94" s="11" t="n">
        <v>90</v>
      </c>
      <c r="K94" s="12" t="n">
        <f aca="false">H94*I94/1000000</f>
        <v>0.012</v>
      </c>
      <c r="L94" s="13" t="n">
        <f aca="false">J94/3600/K94</f>
        <v>2.08333333333333</v>
      </c>
      <c r="M94" s="4" t="str">
        <f aca="false">IF(L94&lt;=Hypothèses!$B$3,"oui","NON")</f>
        <v>oui</v>
      </c>
      <c r="N94" s="14" t="s">
        <v>40</v>
      </c>
      <c r="O94" s="14"/>
    </row>
    <row r="95" customFormat="false" ht="15" hidden="false" customHeight="false" outlineLevel="0" collapsed="false">
      <c r="A95" s="4" t="s">
        <v>196</v>
      </c>
      <c r="B95" s="4" t="s">
        <v>12</v>
      </c>
      <c r="C95" s="4" t="s">
        <v>10</v>
      </c>
      <c r="D95" s="4" t="s">
        <v>36</v>
      </c>
      <c r="E95" s="4" t="s">
        <v>97</v>
      </c>
      <c r="F95" s="4" t="s">
        <v>102</v>
      </c>
      <c r="G95" s="4" t="s">
        <v>99</v>
      </c>
      <c r="H95" s="4" t="n">
        <v>200</v>
      </c>
      <c r="I95" s="4" t="n">
        <v>60</v>
      </c>
      <c r="J95" s="11" t="n">
        <v>90</v>
      </c>
      <c r="K95" s="12" t="n">
        <f aca="false">H95*I95/1000000</f>
        <v>0.012</v>
      </c>
      <c r="L95" s="13" t="n">
        <f aca="false">J95/3600/K95</f>
        <v>2.08333333333333</v>
      </c>
      <c r="M95" s="4" t="str">
        <f aca="false">IF(L95&lt;=Hypothèses!$B$3,"oui","NON")</f>
        <v>oui</v>
      </c>
      <c r="N95" s="14" t="s">
        <v>40</v>
      </c>
      <c r="O95" s="14"/>
    </row>
    <row r="96" customFormat="false" ht="15" hidden="false" customHeight="false" outlineLevel="0" collapsed="false">
      <c r="A96" s="4" t="s">
        <v>197</v>
      </c>
      <c r="B96" s="4" t="s">
        <v>12</v>
      </c>
      <c r="C96" s="4" t="s">
        <v>10</v>
      </c>
      <c r="D96" s="4" t="s">
        <v>36</v>
      </c>
      <c r="E96" s="4" t="s">
        <v>97</v>
      </c>
      <c r="F96" s="4" t="s">
        <v>102</v>
      </c>
      <c r="G96" s="4" t="s">
        <v>99</v>
      </c>
      <c r="H96" s="4" t="n">
        <v>200</v>
      </c>
      <c r="I96" s="4" t="n">
        <v>60</v>
      </c>
      <c r="J96" s="11" t="n">
        <v>90</v>
      </c>
      <c r="K96" s="12" t="n">
        <f aca="false">H96*I96/1000000</f>
        <v>0.012</v>
      </c>
      <c r="L96" s="13" t="n">
        <f aca="false">J96/3600/K96</f>
        <v>2.08333333333333</v>
      </c>
      <c r="M96" s="4" t="str">
        <f aca="false">IF(L96&lt;=Hypothèses!$B$3,"oui","NON")</f>
        <v>oui</v>
      </c>
      <c r="N96" s="14" t="s">
        <v>40</v>
      </c>
      <c r="O96" s="14"/>
    </row>
    <row r="97" customFormat="false" ht="15" hidden="false" customHeight="false" outlineLevel="0" collapsed="false">
      <c r="A97" s="4" t="s">
        <v>198</v>
      </c>
      <c r="B97" s="4" t="s">
        <v>12</v>
      </c>
      <c r="C97" s="4" t="s">
        <v>10</v>
      </c>
      <c r="D97" s="4" t="s">
        <v>36</v>
      </c>
      <c r="E97" s="4" t="s">
        <v>97</v>
      </c>
      <c r="F97" s="4" t="s">
        <v>102</v>
      </c>
      <c r="G97" s="4" t="s">
        <v>99</v>
      </c>
      <c r="H97" s="4" t="n">
        <v>200</v>
      </c>
      <c r="I97" s="4" t="n">
        <v>60</v>
      </c>
      <c r="J97" s="11" t="n">
        <v>90</v>
      </c>
      <c r="K97" s="12" t="n">
        <f aca="false">H97*I97/1000000</f>
        <v>0.012</v>
      </c>
      <c r="L97" s="13" t="n">
        <f aca="false">J97/3600/K97</f>
        <v>2.08333333333333</v>
      </c>
      <c r="M97" s="4" t="str">
        <f aca="false">IF(L97&lt;=Hypothèses!$B$3,"oui","NON")</f>
        <v>oui</v>
      </c>
      <c r="N97" s="14" t="s">
        <v>40</v>
      </c>
      <c r="O97" s="14"/>
    </row>
    <row r="98" customFormat="false" ht="15" hidden="false" customHeight="false" outlineLevel="0" collapsed="false">
      <c r="A98" s="4" t="s">
        <v>199</v>
      </c>
      <c r="B98" s="4" t="s">
        <v>12</v>
      </c>
      <c r="C98" s="4" t="s">
        <v>10</v>
      </c>
      <c r="D98" s="4" t="s">
        <v>36</v>
      </c>
      <c r="E98" s="4" t="s">
        <v>97</v>
      </c>
      <c r="F98" s="4" t="s">
        <v>102</v>
      </c>
      <c r="G98" s="4" t="s">
        <v>99</v>
      </c>
      <c r="H98" s="4" t="n">
        <v>200</v>
      </c>
      <c r="I98" s="4" t="n">
        <v>60</v>
      </c>
      <c r="J98" s="11" t="n">
        <v>90</v>
      </c>
      <c r="K98" s="12" t="n">
        <f aca="false">H98*I98/1000000</f>
        <v>0.012</v>
      </c>
      <c r="L98" s="13" t="n">
        <f aca="false">J98/3600/K98</f>
        <v>2.08333333333333</v>
      </c>
      <c r="M98" s="4" t="str">
        <f aca="false">IF(L98&lt;=Hypothèses!$B$3,"oui","NON")</f>
        <v>oui</v>
      </c>
      <c r="N98" s="14" t="s">
        <v>40</v>
      </c>
      <c r="O98" s="14"/>
    </row>
    <row r="99" customFormat="false" ht="15" hidden="false" customHeight="false" outlineLevel="0" collapsed="false">
      <c r="A99" s="4" t="s">
        <v>200</v>
      </c>
      <c r="B99" s="4" t="s">
        <v>12</v>
      </c>
      <c r="C99" s="4" t="s">
        <v>10</v>
      </c>
      <c r="D99" s="4" t="s">
        <v>68</v>
      </c>
      <c r="E99" s="4" t="s">
        <v>97</v>
      </c>
      <c r="F99" s="4" t="s">
        <v>186</v>
      </c>
      <c r="G99" s="4" t="s">
        <v>99</v>
      </c>
      <c r="H99" s="4" t="n">
        <v>200</v>
      </c>
      <c r="I99" s="4" t="n">
        <v>60</v>
      </c>
      <c r="J99" s="11" t="n">
        <v>90</v>
      </c>
      <c r="K99" s="12" t="n">
        <f aca="false">H99*I99/1000000</f>
        <v>0.012</v>
      </c>
      <c r="L99" s="13" t="n">
        <f aca="false">J99/3600/K99</f>
        <v>2.08333333333333</v>
      </c>
      <c r="M99" s="4" t="str">
        <f aca="false">IF(L99&lt;=Hypothèses!$B$3,"oui","NON")</f>
        <v>oui</v>
      </c>
      <c r="N99" s="14" t="s">
        <v>40</v>
      </c>
      <c r="O99" s="14"/>
    </row>
    <row r="100" customFormat="false" ht="15" hidden="false" customHeight="false" outlineLevel="0" collapsed="false">
      <c r="A100" s="4" t="s">
        <v>201</v>
      </c>
      <c r="B100" s="4" t="s">
        <v>12</v>
      </c>
      <c r="C100" s="4" t="s">
        <v>10</v>
      </c>
      <c r="D100" s="4" t="s">
        <v>68</v>
      </c>
      <c r="E100" s="4" t="s">
        <v>97</v>
      </c>
      <c r="F100" s="4" t="s">
        <v>186</v>
      </c>
      <c r="G100" s="4" t="s">
        <v>99</v>
      </c>
      <c r="H100" s="4" t="n">
        <v>200</v>
      </c>
      <c r="I100" s="4" t="n">
        <v>60</v>
      </c>
      <c r="J100" s="11" t="n">
        <v>90</v>
      </c>
      <c r="K100" s="12" t="n">
        <f aca="false">H100*I100/1000000</f>
        <v>0.012</v>
      </c>
      <c r="L100" s="13" t="n">
        <f aca="false">J100/3600/K100</f>
        <v>2.08333333333333</v>
      </c>
      <c r="M100" s="4" t="str">
        <f aca="false">IF(L100&lt;=Hypothèses!$B$3,"oui","NON")</f>
        <v>oui</v>
      </c>
      <c r="N100" s="14" t="s">
        <v>40</v>
      </c>
      <c r="O100" s="14"/>
    </row>
    <row r="101" customFormat="false" ht="15" hidden="false" customHeight="false" outlineLevel="0" collapsed="false">
      <c r="A101" s="4" t="s">
        <v>202</v>
      </c>
      <c r="B101" s="4" t="s">
        <v>12</v>
      </c>
      <c r="C101" s="4" t="s">
        <v>10</v>
      </c>
      <c r="D101" s="4" t="s">
        <v>68</v>
      </c>
      <c r="E101" s="4" t="s">
        <v>97</v>
      </c>
      <c r="F101" s="4" t="s">
        <v>186</v>
      </c>
      <c r="G101" s="4" t="s">
        <v>99</v>
      </c>
      <c r="H101" s="4" t="n">
        <v>200</v>
      </c>
      <c r="I101" s="4" t="n">
        <v>60</v>
      </c>
      <c r="J101" s="11" t="n">
        <v>90</v>
      </c>
      <c r="K101" s="12" t="n">
        <f aca="false">H101*I101/1000000</f>
        <v>0.012</v>
      </c>
      <c r="L101" s="13" t="n">
        <f aca="false">J101/3600/K101</f>
        <v>2.08333333333333</v>
      </c>
      <c r="M101" s="4" t="str">
        <f aca="false">IF(L101&lt;=Hypothèses!$B$3,"oui","NON")</f>
        <v>oui</v>
      </c>
      <c r="N101" s="14" t="s">
        <v>40</v>
      </c>
      <c r="O101" s="14"/>
    </row>
    <row r="102" customFormat="false" ht="15" hidden="false" customHeight="false" outlineLevel="0" collapsed="false">
      <c r="A102" s="4" t="s">
        <v>203</v>
      </c>
      <c r="B102" s="4" t="s">
        <v>12</v>
      </c>
      <c r="C102" s="4" t="s">
        <v>10</v>
      </c>
      <c r="D102" s="4" t="s">
        <v>68</v>
      </c>
      <c r="E102" s="4" t="s">
        <v>97</v>
      </c>
      <c r="F102" s="4" t="s">
        <v>186</v>
      </c>
      <c r="G102" s="4" t="s">
        <v>99</v>
      </c>
      <c r="H102" s="4" t="n">
        <v>200</v>
      </c>
      <c r="I102" s="4" t="n">
        <v>60</v>
      </c>
      <c r="J102" s="11" t="n">
        <v>90</v>
      </c>
      <c r="K102" s="12" t="n">
        <f aca="false">H102*I102/1000000</f>
        <v>0.012</v>
      </c>
      <c r="L102" s="13" t="n">
        <f aca="false">J102/3600/K102</f>
        <v>2.08333333333333</v>
      </c>
      <c r="M102" s="4" t="str">
        <f aca="false">IF(L102&lt;=Hypothèses!$B$3,"oui","NON")</f>
        <v>oui</v>
      </c>
      <c r="N102" s="14" t="s">
        <v>40</v>
      </c>
      <c r="O102" s="14"/>
    </row>
    <row r="103" customFormat="false" ht="15" hidden="false" customHeight="false" outlineLevel="0" collapsed="false">
      <c r="A103" s="4" t="s">
        <v>204</v>
      </c>
      <c r="B103" s="4" t="s">
        <v>12</v>
      </c>
      <c r="C103" s="4" t="s">
        <v>10</v>
      </c>
      <c r="D103" s="4" t="s">
        <v>68</v>
      </c>
      <c r="E103" s="4" t="s">
        <v>97</v>
      </c>
      <c r="F103" s="4" t="s">
        <v>98</v>
      </c>
      <c r="G103" s="4" t="s">
        <v>99</v>
      </c>
      <c r="H103" s="4" t="n">
        <v>200</v>
      </c>
      <c r="I103" s="4" t="n">
        <v>60</v>
      </c>
      <c r="J103" s="11" t="n">
        <v>90</v>
      </c>
      <c r="K103" s="12" t="n">
        <f aca="false">H103*I103/1000000</f>
        <v>0.012</v>
      </c>
      <c r="L103" s="13" t="n">
        <f aca="false">J103/3600/K103</f>
        <v>2.08333333333333</v>
      </c>
      <c r="M103" s="4" t="str">
        <f aca="false">IF(L103&lt;=Hypothèses!$B$3,"oui","NON")</f>
        <v>oui</v>
      </c>
      <c r="N103" s="14" t="s">
        <v>40</v>
      </c>
      <c r="O103" s="14"/>
    </row>
    <row r="104" customFormat="false" ht="15" hidden="false" customHeight="false" outlineLevel="0" collapsed="false">
      <c r="A104" s="4" t="s">
        <v>205</v>
      </c>
      <c r="B104" s="4" t="s">
        <v>12</v>
      </c>
      <c r="C104" s="4" t="s">
        <v>10</v>
      </c>
      <c r="D104" s="4" t="s">
        <v>68</v>
      </c>
      <c r="E104" s="4" t="s">
        <v>97</v>
      </c>
      <c r="F104" s="4" t="s">
        <v>98</v>
      </c>
      <c r="G104" s="4" t="s">
        <v>99</v>
      </c>
      <c r="H104" s="4" t="n">
        <v>200</v>
      </c>
      <c r="I104" s="4" t="n">
        <v>60</v>
      </c>
      <c r="J104" s="11" t="n">
        <v>90</v>
      </c>
      <c r="K104" s="12" t="n">
        <f aca="false">H104*I104/1000000</f>
        <v>0.012</v>
      </c>
      <c r="L104" s="13" t="n">
        <f aca="false">J104/3600/K104</f>
        <v>2.08333333333333</v>
      </c>
      <c r="M104" s="4" t="str">
        <f aca="false">IF(L104&lt;=Hypothèses!$B$3,"oui","NON")</f>
        <v>oui</v>
      </c>
      <c r="N104" s="14" t="s">
        <v>40</v>
      </c>
      <c r="O104" s="14"/>
    </row>
    <row r="105" customFormat="false" ht="15" hidden="false" customHeight="false" outlineLevel="0" collapsed="false">
      <c r="A105" s="4" t="s">
        <v>206</v>
      </c>
      <c r="B105" s="4" t="s">
        <v>12</v>
      </c>
      <c r="C105" s="4" t="s">
        <v>10</v>
      </c>
      <c r="D105" s="4" t="s">
        <v>68</v>
      </c>
      <c r="E105" s="4" t="s">
        <v>97</v>
      </c>
      <c r="F105" s="4" t="s">
        <v>98</v>
      </c>
      <c r="G105" s="4" t="s">
        <v>99</v>
      </c>
      <c r="H105" s="4" t="n">
        <v>200</v>
      </c>
      <c r="I105" s="4" t="n">
        <v>60</v>
      </c>
      <c r="J105" s="11" t="n">
        <v>90</v>
      </c>
      <c r="K105" s="12" t="n">
        <f aca="false">H105*I105/1000000</f>
        <v>0.012</v>
      </c>
      <c r="L105" s="13" t="n">
        <f aca="false">J105/3600/K105</f>
        <v>2.08333333333333</v>
      </c>
      <c r="M105" s="4" t="str">
        <f aca="false">IF(L105&lt;=Hypothèses!$B$3,"oui","NON")</f>
        <v>oui</v>
      </c>
      <c r="N105" s="14" t="s">
        <v>40</v>
      </c>
      <c r="O105" s="14"/>
    </row>
    <row r="106" customFormat="false" ht="15" hidden="false" customHeight="false" outlineLevel="0" collapsed="false">
      <c r="A106" s="4" t="s">
        <v>207</v>
      </c>
      <c r="B106" s="4" t="s">
        <v>12</v>
      </c>
      <c r="C106" s="4" t="s">
        <v>10</v>
      </c>
      <c r="D106" s="4" t="s">
        <v>68</v>
      </c>
      <c r="E106" s="4" t="s">
        <v>97</v>
      </c>
      <c r="F106" s="4" t="s">
        <v>102</v>
      </c>
      <c r="G106" s="4" t="s">
        <v>99</v>
      </c>
      <c r="H106" s="4" t="n">
        <v>200</v>
      </c>
      <c r="I106" s="4" t="n">
        <v>60</v>
      </c>
      <c r="J106" s="11" t="n">
        <v>90</v>
      </c>
      <c r="K106" s="12" t="n">
        <f aca="false">H106*I106/1000000</f>
        <v>0.012</v>
      </c>
      <c r="L106" s="13" t="n">
        <f aca="false">J106/3600/K106</f>
        <v>2.08333333333333</v>
      </c>
      <c r="M106" s="4" t="str">
        <f aca="false">IF(L106&lt;=Hypothèses!$B$3,"oui","NON")</f>
        <v>oui</v>
      </c>
      <c r="N106" s="14" t="s">
        <v>40</v>
      </c>
      <c r="O106" s="14"/>
    </row>
    <row r="107" customFormat="false" ht="15" hidden="false" customHeight="false" outlineLevel="0" collapsed="false">
      <c r="A107" s="4" t="s">
        <v>208</v>
      </c>
      <c r="B107" s="4" t="s">
        <v>12</v>
      </c>
      <c r="C107" s="4" t="s">
        <v>10</v>
      </c>
      <c r="D107" s="4" t="s">
        <v>68</v>
      </c>
      <c r="E107" s="4" t="s">
        <v>209</v>
      </c>
      <c r="F107" s="4" t="s">
        <v>102</v>
      </c>
      <c r="G107" s="4" t="s">
        <v>99</v>
      </c>
      <c r="H107" s="4" t="n">
        <v>200</v>
      </c>
      <c r="I107" s="4" t="n">
        <v>60</v>
      </c>
      <c r="J107" s="11" t="n">
        <v>90</v>
      </c>
      <c r="K107" s="12" t="n">
        <f aca="false">H107*I107/1000000</f>
        <v>0.012</v>
      </c>
      <c r="L107" s="13" t="n">
        <f aca="false">J107/3600/K107</f>
        <v>2.08333333333333</v>
      </c>
      <c r="M107" s="4" t="str">
        <f aca="false">IF(L107&lt;=Hypothèses!$B$3,"oui","NON")</f>
        <v>oui</v>
      </c>
      <c r="N107" s="14" t="s">
        <v>40</v>
      </c>
      <c r="O107" s="14"/>
    </row>
    <row r="108" customFormat="false" ht="15" hidden="false" customHeight="false" outlineLevel="0" collapsed="false">
      <c r="A108" s="4" t="s">
        <v>210</v>
      </c>
      <c r="B108" s="4" t="s">
        <v>12</v>
      </c>
      <c r="C108" s="4" t="s">
        <v>10</v>
      </c>
      <c r="D108" s="4" t="s">
        <v>68</v>
      </c>
      <c r="E108" s="4" t="s">
        <v>97</v>
      </c>
      <c r="F108" s="4" t="s">
        <v>102</v>
      </c>
      <c r="G108" s="4" t="s">
        <v>99</v>
      </c>
      <c r="H108" s="4" t="n">
        <v>200</v>
      </c>
      <c r="I108" s="4" t="n">
        <v>60</v>
      </c>
      <c r="J108" s="11" t="n">
        <v>90</v>
      </c>
      <c r="K108" s="12" t="n">
        <f aca="false">H108*I108/1000000</f>
        <v>0.012</v>
      </c>
      <c r="L108" s="13" t="n">
        <f aca="false">J108/3600/K108</f>
        <v>2.08333333333333</v>
      </c>
      <c r="M108" s="4" t="str">
        <f aca="false">IF(L108&lt;=Hypothèses!$B$3,"oui","NON")</f>
        <v>oui</v>
      </c>
      <c r="N108" s="14" t="s">
        <v>40</v>
      </c>
      <c r="O108" s="14"/>
    </row>
    <row r="109" customFormat="false" ht="15" hidden="false" customHeight="false" outlineLevel="0" collapsed="false">
      <c r="A109" s="4" t="s">
        <v>211</v>
      </c>
      <c r="B109" s="4" t="s">
        <v>12</v>
      </c>
      <c r="C109" s="4" t="s">
        <v>10</v>
      </c>
      <c r="D109" s="4" t="s">
        <v>68</v>
      </c>
      <c r="E109" s="4" t="s">
        <v>97</v>
      </c>
      <c r="F109" s="4" t="s">
        <v>102</v>
      </c>
      <c r="G109" s="4" t="s">
        <v>99</v>
      </c>
      <c r="H109" s="4" t="n">
        <v>200</v>
      </c>
      <c r="I109" s="4" t="n">
        <v>60</v>
      </c>
      <c r="J109" s="11" t="n">
        <v>90</v>
      </c>
      <c r="K109" s="12" t="n">
        <f aca="false">H109*I109/1000000</f>
        <v>0.012</v>
      </c>
      <c r="L109" s="13" t="n">
        <f aca="false">J109/3600/K109</f>
        <v>2.08333333333333</v>
      </c>
      <c r="M109" s="4" t="str">
        <f aca="false">IF(L109&lt;=Hypothèses!$B$3,"oui","NON")</f>
        <v>oui</v>
      </c>
      <c r="N109" s="14" t="s">
        <v>40</v>
      </c>
      <c r="O109" s="14"/>
    </row>
    <row r="110" customFormat="false" ht="15" hidden="false" customHeight="false" outlineLevel="0" collapsed="false">
      <c r="A110" s="4" t="s">
        <v>212</v>
      </c>
      <c r="B110" s="4" t="s">
        <v>12</v>
      </c>
      <c r="C110" s="4" t="s">
        <v>10</v>
      </c>
      <c r="D110" s="4" t="s">
        <v>68</v>
      </c>
      <c r="E110" s="4" t="s">
        <v>97</v>
      </c>
      <c r="F110" s="4" t="s">
        <v>102</v>
      </c>
      <c r="G110" s="4" t="s">
        <v>99</v>
      </c>
      <c r="H110" s="4" t="n">
        <v>200</v>
      </c>
      <c r="I110" s="4" t="n">
        <v>60</v>
      </c>
      <c r="J110" s="11" t="n">
        <v>90</v>
      </c>
      <c r="K110" s="12" t="n">
        <f aca="false">H110*I110/1000000</f>
        <v>0.012</v>
      </c>
      <c r="L110" s="13" t="n">
        <f aca="false">J110/3600/K110</f>
        <v>2.08333333333333</v>
      </c>
      <c r="M110" s="4" t="str">
        <f aca="false">IF(L110&lt;=Hypothèses!$B$3,"oui","NON")</f>
        <v>oui</v>
      </c>
      <c r="N110" s="14" t="s">
        <v>40</v>
      </c>
      <c r="O110" s="14"/>
    </row>
    <row r="111" customFormat="false" ht="15" hidden="false" customHeight="false" outlineLevel="0" collapsed="false">
      <c r="A111" s="4" t="s">
        <v>213</v>
      </c>
      <c r="B111" s="4" t="s">
        <v>12</v>
      </c>
      <c r="C111" s="4" t="s">
        <v>10</v>
      </c>
      <c r="D111" s="4" t="s">
        <v>68</v>
      </c>
      <c r="E111" s="4" t="s">
        <v>97</v>
      </c>
      <c r="F111" s="4" t="s">
        <v>102</v>
      </c>
      <c r="G111" s="4" t="s">
        <v>99</v>
      </c>
      <c r="H111" s="4" t="n">
        <v>200</v>
      </c>
      <c r="I111" s="4" t="n">
        <v>60</v>
      </c>
      <c r="J111" s="11" t="n">
        <v>90</v>
      </c>
      <c r="K111" s="12" t="n">
        <f aca="false">H111*I111/1000000</f>
        <v>0.012</v>
      </c>
      <c r="L111" s="13" t="n">
        <f aca="false">J111/3600/K111</f>
        <v>2.08333333333333</v>
      </c>
      <c r="M111" s="4" t="str">
        <f aca="false">IF(L111&lt;=Hypothèses!$B$3,"oui","NON")</f>
        <v>oui</v>
      </c>
      <c r="N111" s="14" t="s">
        <v>40</v>
      </c>
      <c r="O111" s="14"/>
    </row>
    <row r="112" customFormat="false" ht="15" hidden="false" customHeight="false" outlineLevel="0" collapsed="false">
      <c r="A112" s="4" t="s">
        <v>214</v>
      </c>
      <c r="B112" s="4" t="s">
        <v>13</v>
      </c>
      <c r="C112" s="4" t="s">
        <v>11</v>
      </c>
      <c r="D112" s="4" t="s">
        <v>68</v>
      </c>
      <c r="E112" s="4" t="s">
        <v>215</v>
      </c>
      <c r="F112" s="4" t="s">
        <v>38</v>
      </c>
      <c r="G112" s="4" t="s">
        <v>39</v>
      </c>
      <c r="H112" s="4" t="n">
        <v>200</v>
      </c>
      <c r="I112" s="4" t="n">
        <v>60</v>
      </c>
      <c r="J112" s="11" t="n">
        <v>90</v>
      </c>
      <c r="K112" s="12" t="n">
        <f aca="false">H112*I112/1000000</f>
        <v>0.012</v>
      </c>
      <c r="L112" s="13" t="n">
        <f aca="false">J112/3600/K112</f>
        <v>2.08333333333333</v>
      </c>
      <c r="M112" s="4" t="str">
        <f aca="false">IF(L112&lt;=Hypothèses!$B$3,"oui","NON")</f>
        <v>oui</v>
      </c>
      <c r="N112" s="14" t="s">
        <v>40</v>
      </c>
      <c r="O112" s="14"/>
    </row>
    <row r="113" customFormat="false" ht="15" hidden="false" customHeight="false" outlineLevel="0" collapsed="false">
      <c r="A113" s="4" t="s">
        <v>216</v>
      </c>
      <c r="B113" s="4" t="s">
        <v>13</v>
      </c>
      <c r="C113" s="4" t="s">
        <v>11</v>
      </c>
      <c r="D113" s="4" t="s">
        <v>68</v>
      </c>
      <c r="E113" s="4" t="s">
        <v>217</v>
      </c>
      <c r="F113" s="4" t="s">
        <v>38</v>
      </c>
      <c r="G113" s="4" t="s">
        <v>39</v>
      </c>
      <c r="H113" s="4" t="n">
        <v>200</v>
      </c>
      <c r="I113" s="4" t="n">
        <v>60</v>
      </c>
      <c r="J113" s="11" t="n">
        <v>90</v>
      </c>
      <c r="K113" s="12" t="n">
        <f aca="false">H113*I113/1000000</f>
        <v>0.012</v>
      </c>
      <c r="L113" s="13" t="n">
        <f aca="false">J113/3600/K113</f>
        <v>2.08333333333333</v>
      </c>
      <c r="M113" s="4" t="str">
        <f aca="false">IF(L113&lt;=Hypothèses!$B$3,"oui","NON")</f>
        <v>oui</v>
      </c>
      <c r="N113" s="14" t="s">
        <v>40</v>
      </c>
      <c r="O113" s="14"/>
    </row>
    <row r="114" customFormat="false" ht="15" hidden="false" customHeight="false" outlineLevel="0" collapsed="false">
      <c r="A114" s="4" t="s">
        <v>218</v>
      </c>
      <c r="B114" s="4" t="s">
        <v>13</v>
      </c>
      <c r="C114" s="4" t="s">
        <v>11</v>
      </c>
      <c r="D114" s="4" t="s">
        <v>68</v>
      </c>
      <c r="E114" s="4" t="s">
        <v>219</v>
      </c>
      <c r="F114" s="4" t="s">
        <v>38</v>
      </c>
      <c r="G114" s="4" t="s">
        <v>39</v>
      </c>
      <c r="H114" s="4" t="n">
        <v>200</v>
      </c>
      <c r="I114" s="4" t="n">
        <v>60</v>
      </c>
      <c r="J114" s="11" t="n">
        <v>90</v>
      </c>
      <c r="K114" s="12" t="n">
        <f aca="false">H114*I114/1000000</f>
        <v>0.012</v>
      </c>
      <c r="L114" s="13" t="n">
        <f aca="false">J114/3600/K114</f>
        <v>2.08333333333333</v>
      </c>
      <c r="M114" s="4" t="str">
        <f aca="false">IF(L114&lt;=Hypothèses!$B$3,"oui","NON")</f>
        <v>oui</v>
      </c>
      <c r="N114" s="14" t="s">
        <v>40</v>
      </c>
      <c r="O114" s="14"/>
    </row>
    <row r="115" customFormat="false" ht="15" hidden="false" customHeight="false" outlineLevel="0" collapsed="false">
      <c r="A115" s="4" t="s">
        <v>220</v>
      </c>
      <c r="B115" s="4" t="s">
        <v>13</v>
      </c>
      <c r="C115" s="4" t="s">
        <v>11</v>
      </c>
      <c r="D115" s="4" t="s">
        <v>68</v>
      </c>
      <c r="E115" s="4" t="s">
        <v>221</v>
      </c>
      <c r="F115" s="4" t="s">
        <v>38</v>
      </c>
      <c r="G115" s="4" t="s">
        <v>39</v>
      </c>
      <c r="H115" s="4" t="n">
        <v>200</v>
      </c>
      <c r="I115" s="4" t="n">
        <v>60</v>
      </c>
      <c r="J115" s="11" t="n">
        <v>90</v>
      </c>
      <c r="K115" s="12" t="n">
        <f aca="false">H115*I115/1000000</f>
        <v>0.012</v>
      </c>
      <c r="L115" s="13" t="n">
        <f aca="false">J115/3600/K115</f>
        <v>2.08333333333333</v>
      </c>
      <c r="M115" s="4" t="str">
        <f aca="false">IF(L115&lt;=Hypothèses!$B$3,"oui","NON")</f>
        <v>oui</v>
      </c>
      <c r="N115" s="14" t="s">
        <v>40</v>
      </c>
      <c r="O115" s="14"/>
    </row>
    <row r="116" customFormat="false" ht="15" hidden="false" customHeight="false" outlineLevel="0" collapsed="false">
      <c r="A116" s="4" t="s">
        <v>222</v>
      </c>
      <c r="B116" s="4" t="s">
        <v>13</v>
      </c>
      <c r="C116" s="4" t="s">
        <v>11</v>
      </c>
      <c r="D116" s="4" t="s">
        <v>68</v>
      </c>
      <c r="E116" s="4" t="s">
        <v>223</v>
      </c>
      <c r="F116" s="4" t="s">
        <v>38</v>
      </c>
      <c r="G116" s="4" t="s">
        <v>39</v>
      </c>
      <c r="H116" s="4" t="n">
        <v>200</v>
      </c>
      <c r="I116" s="4" t="n">
        <v>60</v>
      </c>
      <c r="J116" s="11" t="n">
        <v>90</v>
      </c>
      <c r="K116" s="12" t="n">
        <f aca="false">H116*I116/1000000</f>
        <v>0.012</v>
      </c>
      <c r="L116" s="13" t="n">
        <f aca="false">J116/3600/K116</f>
        <v>2.08333333333333</v>
      </c>
      <c r="M116" s="4" t="str">
        <f aca="false">IF(L116&lt;=Hypothèses!$B$3,"oui","NON")</f>
        <v>oui</v>
      </c>
      <c r="N116" s="14" t="s">
        <v>40</v>
      </c>
      <c r="O116" s="14"/>
    </row>
    <row r="117" customFormat="false" ht="15" hidden="false" customHeight="false" outlineLevel="0" collapsed="false">
      <c r="A117" s="4" t="s">
        <v>224</v>
      </c>
      <c r="B117" s="4" t="s">
        <v>13</v>
      </c>
      <c r="C117" s="4" t="s">
        <v>11</v>
      </c>
      <c r="D117" s="4" t="s">
        <v>68</v>
      </c>
      <c r="E117" s="4" t="s">
        <v>225</v>
      </c>
      <c r="F117" s="4" t="s">
        <v>38</v>
      </c>
      <c r="G117" s="4" t="s">
        <v>39</v>
      </c>
      <c r="H117" s="4" t="n">
        <v>200</v>
      </c>
      <c r="I117" s="4" t="n">
        <v>60</v>
      </c>
      <c r="J117" s="11" t="n">
        <v>90</v>
      </c>
      <c r="K117" s="12" t="n">
        <f aca="false">H117*I117/1000000</f>
        <v>0.012</v>
      </c>
      <c r="L117" s="13" t="n">
        <f aca="false">J117/3600/K117</f>
        <v>2.08333333333333</v>
      </c>
      <c r="M117" s="4" t="str">
        <f aca="false">IF(L117&lt;=Hypothèses!$B$3,"oui","NON")</f>
        <v>oui</v>
      </c>
      <c r="N117" s="14" t="s">
        <v>40</v>
      </c>
      <c r="O117" s="14"/>
    </row>
    <row r="118" customFormat="false" ht="15" hidden="false" customHeight="false" outlineLevel="0" collapsed="false">
      <c r="A118" s="4" t="s">
        <v>226</v>
      </c>
      <c r="B118" s="4" t="s">
        <v>13</v>
      </c>
      <c r="C118" s="4" t="s">
        <v>11</v>
      </c>
      <c r="D118" s="4" t="s">
        <v>68</v>
      </c>
      <c r="E118" s="4" t="s">
        <v>227</v>
      </c>
      <c r="F118" s="4" t="s">
        <v>38</v>
      </c>
      <c r="G118" s="4" t="s">
        <v>39</v>
      </c>
      <c r="H118" s="4" t="n">
        <v>200</v>
      </c>
      <c r="I118" s="4" t="n">
        <v>60</v>
      </c>
      <c r="J118" s="11" t="n">
        <v>90</v>
      </c>
      <c r="K118" s="12" t="n">
        <f aca="false">H118*I118/1000000</f>
        <v>0.012</v>
      </c>
      <c r="L118" s="13" t="n">
        <f aca="false">J118/3600/K118</f>
        <v>2.08333333333333</v>
      </c>
      <c r="M118" s="4" t="str">
        <f aca="false">IF(L118&lt;=Hypothèses!$B$3,"oui","NON")</f>
        <v>oui</v>
      </c>
      <c r="N118" s="14" t="s">
        <v>40</v>
      </c>
      <c r="O118" s="14"/>
    </row>
    <row r="119" customFormat="false" ht="15" hidden="false" customHeight="false" outlineLevel="0" collapsed="false">
      <c r="A119" s="4" t="s">
        <v>228</v>
      </c>
      <c r="B119" s="4" t="s">
        <v>13</v>
      </c>
      <c r="C119" s="4" t="s">
        <v>11</v>
      </c>
      <c r="D119" s="4" t="s">
        <v>68</v>
      </c>
      <c r="E119" s="4" t="s">
        <v>229</v>
      </c>
      <c r="F119" s="4" t="s">
        <v>38</v>
      </c>
      <c r="G119" s="4" t="s">
        <v>39</v>
      </c>
      <c r="H119" s="4" t="n">
        <v>200</v>
      </c>
      <c r="I119" s="4" t="n">
        <v>60</v>
      </c>
      <c r="J119" s="11" t="n">
        <v>90</v>
      </c>
      <c r="K119" s="12" t="n">
        <f aca="false">H119*I119/1000000</f>
        <v>0.012</v>
      </c>
      <c r="L119" s="13" t="n">
        <f aca="false">J119/3600/K119</f>
        <v>2.08333333333333</v>
      </c>
      <c r="M119" s="4" t="str">
        <f aca="false">IF(L119&lt;=Hypothèses!$B$3,"oui","NON")</f>
        <v>oui</v>
      </c>
      <c r="N119" s="14" t="s">
        <v>40</v>
      </c>
      <c r="O119" s="14"/>
    </row>
    <row r="120" customFormat="false" ht="15" hidden="false" customHeight="false" outlineLevel="0" collapsed="false">
      <c r="A120" s="4" t="s">
        <v>230</v>
      </c>
      <c r="B120" s="4" t="s">
        <v>13</v>
      </c>
      <c r="C120" s="4" t="s">
        <v>11</v>
      </c>
      <c r="D120" s="4" t="s">
        <v>68</v>
      </c>
      <c r="E120" s="4" t="s">
        <v>231</v>
      </c>
      <c r="F120" s="4" t="s">
        <v>38</v>
      </c>
      <c r="G120" s="4" t="s">
        <v>39</v>
      </c>
      <c r="H120" s="4" t="n">
        <v>200</v>
      </c>
      <c r="I120" s="4" t="n">
        <v>60</v>
      </c>
      <c r="J120" s="11" t="n">
        <v>90</v>
      </c>
      <c r="K120" s="12" t="n">
        <f aca="false">H120*I120/1000000</f>
        <v>0.012</v>
      </c>
      <c r="L120" s="13" t="n">
        <f aca="false">J120/3600/K120</f>
        <v>2.08333333333333</v>
      </c>
      <c r="M120" s="4" t="str">
        <f aca="false">IF(L120&lt;=Hypothèses!$B$3,"oui","NON")</f>
        <v>oui</v>
      </c>
      <c r="N120" s="14" t="s">
        <v>40</v>
      </c>
      <c r="O120" s="14"/>
    </row>
    <row r="121" customFormat="false" ht="15" hidden="false" customHeight="false" outlineLevel="0" collapsed="false">
      <c r="A121" s="4" t="s">
        <v>232</v>
      </c>
      <c r="B121" s="4" t="s">
        <v>13</v>
      </c>
      <c r="C121" s="4" t="s">
        <v>11</v>
      </c>
      <c r="D121" s="4" t="s">
        <v>68</v>
      </c>
      <c r="E121" s="4" t="s">
        <v>233</v>
      </c>
      <c r="F121" s="4" t="s">
        <v>38</v>
      </c>
      <c r="G121" s="4" t="s">
        <v>39</v>
      </c>
      <c r="H121" s="4" t="n">
        <v>200</v>
      </c>
      <c r="I121" s="4" t="n">
        <v>60</v>
      </c>
      <c r="J121" s="11" t="n">
        <v>90</v>
      </c>
      <c r="K121" s="12" t="n">
        <f aca="false">H121*I121/1000000</f>
        <v>0.012</v>
      </c>
      <c r="L121" s="13" t="n">
        <f aca="false">J121/3600/K121</f>
        <v>2.08333333333333</v>
      </c>
      <c r="M121" s="4" t="str">
        <f aca="false">IF(L121&lt;=Hypothèses!$B$3,"oui","NON")</f>
        <v>oui</v>
      </c>
      <c r="N121" s="14" t="s">
        <v>40</v>
      </c>
      <c r="O121" s="14"/>
    </row>
    <row r="122" customFormat="false" ht="15" hidden="false" customHeight="false" outlineLevel="0" collapsed="false">
      <c r="A122" s="4" t="s">
        <v>234</v>
      </c>
      <c r="B122" s="4" t="s">
        <v>13</v>
      </c>
      <c r="C122" s="4" t="s">
        <v>11</v>
      </c>
      <c r="D122" s="4" t="s">
        <v>68</v>
      </c>
      <c r="E122" s="4" t="s">
        <v>235</v>
      </c>
      <c r="F122" s="4" t="s">
        <v>38</v>
      </c>
      <c r="G122" s="4" t="s">
        <v>39</v>
      </c>
      <c r="H122" s="4" t="n">
        <v>200</v>
      </c>
      <c r="I122" s="4" t="n">
        <v>60</v>
      </c>
      <c r="J122" s="11" t="n">
        <v>90</v>
      </c>
      <c r="K122" s="12" t="n">
        <f aca="false">H122*I122/1000000</f>
        <v>0.012</v>
      </c>
      <c r="L122" s="13" t="n">
        <f aca="false">J122/3600/K122</f>
        <v>2.08333333333333</v>
      </c>
      <c r="M122" s="4" t="str">
        <f aca="false">IF(L122&lt;=Hypothèses!$B$3,"oui","NON")</f>
        <v>oui</v>
      </c>
      <c r="N122" s="14" t="s">
        <v>40</v>
      </c>
      <c r="O122" s="14"/>
    </row>
    <row r="123" customFormat="false" ht="15" hidden="false" customHeight="false" outlineLevel="0" collapsed="false">
      <c r="A123" s="4" t="s">
        <v>236</v>
      </c>
      <c r="B123" s="4" t="s">
        <v>13</v>
      </c>
      <c r="C123" s="4" t="s">
        <v>11</v>
      </c>
      <c r="D123" s="4" t="s">
        <v>68</v>
      </c>
      <c r="E123" s="4" t="s">
        <v>237</v>
      </c>
      <c r="F123" s="4" t="s">
        <v>38</v>
      </c>
      <c r="G123" s="4" t="s">
        <v>39</v>
      </c>
      <c r="H123" s="4" t="n">
        <v>200</v>
      </c>
      <c r="I123" s="4" t="n">
        <v>60</v>
      </c>
      <c r="J123" s="11" t="n">
        <v>90</v>
      </c>
      <c r="K123" s="12" t="n">
        <f aca="false">H123*I123/1000000</f>
        <v>0.012</v>
      </c>
      <c r="L123" s="13" t="n">
        <f aca="false">J123/3600/K123</f>
        <v>2.08333333333333</v>
      </c>
      <c r="M123" s="4" t="str">
        <f aca="false">IF(L123&lt;=Hypothèses!$B$3,"oui","NON")</f>
        <v>oui</v>
      </c>
      <c r="N123" s="14" t="s">
        <v>40</v>
      </c>
      <c r="O123" s="14"/>
    </row>
    <row r="124" customFormat="false" ht="15" hidden="false" customHeight="false" outlineLevel="0" collapsed="false">
      <c r="A124" s="4" t="s">
        <v>238</v>
      </c>
      <c r="B124" s="4" t="s">
        <v>13</v>
      </c>
      <c r="C124" s="4" t="s">
        <v>11</v>
      </c>
      <c r="D124" s="4" t="s">
        <v>68</v>
      </c>
      <c r="E124" s="4" t="s">
        <v>239</v>
      </c>
      <c r="F124" s="4" t="s">
        <v>38</v>
      </c>
      <c r="G124" s="4" t="s">
        <v>39</v>
      </c>
      <c r="H124" s="4" t="n">
        <v>200</v>
      </c>
      <c r="I124" s="4" t="n">
        <v>60</v>
      </c>
      <c r="J124" s="11" t="n">
        <v>90</v>
      </c>
      <c r="K124" s="12" t="n">
        <f aca="false">H124*I124/1000000</f>
        <v>0.012</v>
      </c>
      <c r="L124" s="13" t="n">
        <f aca="false">J124/3600/K124</f>
        <v>2.08333333333333</v>
      </c>
      <c r="M124" s="4" t="str">
        <f aca="false">IF(L124&lt;=Hypothèses!$B$3,"oui","NON")</f>
        <v>oui</v>
      </c>
      <c r="N124" s="14" t="s">
        <v>40</v>
      </c>
      <c r="O124" s="14"/>
    </row>
    <row r="125" customFormat="false" ht="15" hidden="false" customHeight="false" outlineLevel="0" collapsed="false">
      <c r="A125" s="4" t="s">
        <v>240</v>
      </c>
      <c r="B125" s="4" t="s">
        <v>13</v>
      </c>
      <c r="C125" s="4" t="s">
        <v>10</v>
      </c>
      <c r="D125" s="4" t="s">
        <v>68</v>
      </c>
      <c r="E125" s="4" t="s">
        <v>97</v>
      </c>
      <c r="F125" s="4" t="s">
        <v>102</v>
      </c>
      <c r="G125" s="4" t="s">
        <v>99</v>
      </c>
      <c r="H125" s="4" t="n">
        <v>200</v>
      </c>
      <c r="I125" s="4" t="n">
        <v>60</v>
      </c>
      <c r="J125" s="11" t="n">
        <v>90</v>
      </c>
      <c r="K125" s="12" t="n">
        <f aca="false">H125*I125/1000000</f>
        <v>0.012</v>
      </c>
      <c r="L125" s="13" t="n">
        <f aca="false">J125/3600/K125</f>
        <v>2.08333333333333</v>
      </c>
      <c r="M125" s="4" t="str">
        <f aca="false">IF(L125&lt;=Hypothèses!$B$3,"oui","NON")</f>
        <v>oui</v>
      </c>
      <c r="N125" s="14" t="s">
        <v>40</v>
      </c>
      <c r="O125" s="14"/>
    </row>
    <row r="126" customFormat="false" ht="15" hidden="false" customHeight="false" outlineLevel="0" collapsed="false">
      <c r="A126" s="4" t="s">
        <v>241</v>
      </c>
      <c r="B126" s="4" t="s">
        <v>13</v>
      </c>
      <c r="C126" s="4" t="s">
        <v>10</v>
      </c>
      <c r="D126" s="4" t="s">
        <v>68</v>
      </c>
      <c r="E126" s="4" t="s">
        <v>97</v>
      </c>
      <c r="F126" s="4" t="s">
        <v>102</v>
      </c>
      <c r="G126" s="4" t="s">
        <v>99</v>
      </c>
      <c r="H126" s="4" t="n">
        <v>200</v>
      </c>
      <c r="I126" s="4" t="n">
        <v>60</v>
      </c>
      <c r="J126" s="11" t="n">
        <v>90</v>
      </c>
      <c r="K126" s="12" t="n">
        <f aca="false">H126*I126/1000000</f>
        <v>0.012</v>
      </c>
      <c r="L126" s="13" t="n">
        <f aca="false">J126/3600/K126</f>
        <v>2.08333333333333</v>
      </c>
      <c r="M126" s="4" t="str">
        <f aca="false">IF(L126&lt;=Hypothèses!$B$3,"oui","NON")</f>
        <v>oui</v>
      </c>
      <c r="N126" s="14" t="s">
        <v>40</v>
      </c>
      <c r="O126" s="14"/>
    </row>
    <row r="127" customFormat="false" ht="15" hidden="false" customHeight="false" outlineLevel="0" collapsed="false">
      <c r="A127" s="4" t="s">
        <v>242</v>
      </c>
      <c r="B127" s="4" t="s">
        <v>13</v>
      </c>
      <c r="C127" s="4" t="s">
        <v>10</v>
      </c>
      <c r="D127" s="4" t="s">
        <v>68</v>
      </c>
      <c r="E127" s="4" t="s">
        <v>97</v>
      </c>
      <c r="F127" s="4" t="s">
        <v>102</v>
      </c>
      <c r="G127" s="4" t="s">
        <v>99</v>
      </c>
      <c r="H127" s="4" t="n">
        <v>200</v>
      </c>
      <c r="I127" s="4" t="n">
        <v>60</v>
      </c>
      <c r="J127" s="11" t="n">
        <v>90</v>
      </c>
      <c r="K127" s="12" t="n">
        <f aca="false">H127*I127/1000000</f>
        <v>0.012</v>
      </c>
      <c r="L127" s="13" t="n">
        <f aca="false">J127/3600/K127</f>
        <v>2.08333333333333</v>
      </c>
      <c r="M127" s="4" t="str">
        <f aca="false">IF(L127&lt;=Hypothèses!$B$3,"oui","NON")</f>
        <v>oui</v>
      </c>
      <c r="N127" s="14" t="s">
        <v>40</v>
      </c>
      <c r="O127" s="14"/>
    </row>
    <row r="128" customFormat="false" ht="15" hidden="false" customHeight="false" outlineLevel="0" collapsed="false">
      <c r="A128" s="4" t="s">
        <v>243</v>
      </c>
      <c r="B128" s="4" t="s">
        <v>13</v>
      </c>
      <c r="C128" s="4" t="s">
        <v>10</v>
      </c>
      <c r="D128" s="4" t="s">
        <v>68</v>
      </c>
      <c r="E128" s="4" t="s">
        <v>97</v>
      </c>
      <c r="F128" s="4" t="s">
        <v>102</v>
      </c>
      <c r="G128" s="4" t="s">
        <v>99</v>
      </c>
      <c r="H128" s="4" t="n">
        <v>200</v>
      </c>
      <c r="I128" s="4" t="n">
        <v>60</v>
      </c>
      <c r="J128" s="11" t="n">
        <v>90</v>
      </c>
      <c r="K128" s="12" t="n">
        <f aca="false">H128*I128/1000000</f>
        <v>0.012</v>
      </c>
      <c r="L128" s="13" t="n">
        <f aca="false">J128/3600/K128</f>
        <v>2.08333333333333</v>
      </c>
      <c r="M128" s="4" t="str">
        <f aca="false">IF(L128&lt;=Hypothèses!$B$3,"oui","NON")</f>
        <v>oui</v>
      </c>
      <c r="N128" s="14" t="s">
        <v>40</v>
      </c>
      <c r="O128" s="14"/>
    </row>
    <row r="129" customFormat="false" ht="15" hidden="false" customHeight="false" outlineLevel="0" collapsed="false">
      <c r="A129" s="4" t="s">
        <v>244</v>
      </c>
      <c r="B129" s="4" t="s">
        <v>13</v>
      </c>
      <c r="C129" s="4" t="s">
        <v>10</v>
      </c>
      <c r="D129" s="4" t="s">
        <v>68</v>
      </c>
      <c r="E129" s="4" t="s">
        <v>97</v>
      </c>
      <c r="F129" s="4" t="s">
        <v>102</v>
      </c>
      <c r="G129" s="4" t="s">
        <v>99</v>
      </c>
      <c r="H129" s="4" t="n">
        <v>200</v>
      </c>
      <c r="I129" s="4" t="n">
        <v>60</v>
      </c>
      <c r="J129" s="11" t="n">
        <v>90</v>
      </c>
      <c r="K129" s="12" t="n">
        <f aca="false">H129*I129/1000000</f>
        <v>0.012</v>
      </c>
      <c r="L129" s="13" t="n">
        <f aca="false">J129/3600/K129</f>
        <v>2.08333333333333</v>
      </c>
      <c r="M129" s="4" t="str">
        <f aca="false">IF(L129&lt;=Hypothèses!$B$3,"oui","NON")</f>
        <v>oui</v>
      </c>
      <c r="N129" s="14" t="s">
        <v>40</v>
      </c>
      <c r="O129" s="14"/>
    </row>
    <row r="130" customFormat="false" ht="15" hidden="false" customHeight="false" outlineLevel="0" collapsed="false">
      <c r="A130" s="4" t="s">
        <v>245</v>
      </c>
      <c r="B130" s="4" t="s">
        <v>13</v>
      </c>
      <c r="C130" s="4" t="s">
        <v>10</v>
      </c>
      <c r="D130" s="4" t="s">
        <v>68</v>
      </c>
      <c r="E130" s="4" t="s">
        <v>97</v>
      </c>
      <c r="F130" s="4" t="s">
        <v>102</v>
      </c>
      <c r="G130" s="4" t="s">
        <v>99</v>
      </c>
      <c r="H130" s="4" t="n">
        <v>200</v>
      </c>
      <c r="I130" s="4" t="n">
        <v>60</v>
      </c>
      <c r="J130" s="11" t="n">
        <v>90</v>
      </c>
      <c r="K130" s="12" t="n">
        <f aca="false">H130*I130/1000000</f>
        <v>0.012</v>
      </c>
      <c r="L130" s="13" t="n">
        <f aca="false">J130/3600/K130</f>
        <v>2.08333333333333</v>
      </c>
      <c r="M130" s="4" t="str">
        <f aca="false">IF(L130&lt;=Hypothèses!$B$3,"oui","NON")</f>
        <v>oui</v>
      </c>
      <c r="N130" s="14" t="s">
        <v>40</v>
      </c>
      <c r="O130" s="14"/>
    </row>
    <row r="131" customFormat="false" ht="15" hidden="false" customHeight="false" outlineLevel="0" collapsed="false">
      <c r="A131" s="4" t="s">
        <v>246</v>
      </c>
      <c r="B131" s="4" t="s">
        <v>13</v>
      </c>
      <c r="C131" s="4" t="s">
        <v>10</v>
      </c>
      <c r="D131" s="4" t="s">
        <v>68</v>
      </c>
      <c r="E131" s="4" t="s">
        <v>97</v>
      </c>
      <c r="F131" s="4" t="s">
        <v>102</v>
      </c>
      <c r="G131" s="4" t="s">
        <v>99</v>
      </c>
      <c r="H131" s="4" t="n">
        <v>200</v>
      </c>
      <c r="I131" s="4" t="n">
        <v>60</v>
      </c>
      <c r="J131" s="11" t="n">
        <v>90</v>
      </c>
      <c r="K131" s="12" t="n">
        <f aca="false">H131*I131/1000000</f>
        <v>0.012</v>
      </c>
      <c r="L131" s="13" t="n">
        <f aca="false">J131/3600/K131</f>
        <v>2.08333333333333</v>
      </c>
      <c r="M131" s="4" t="str">
        <f aca="false">IF(L131&lt;=Hypothèses!$B$3,"oui","NON")</f>
        <v>oui</v>
      </c>
      <c r="N131" s="14" t="s">
        <v>40</v>
      </c>
      <c r="O131" s="14"/>
    </row>
    <row r="132" customFormat="false" ht="15" hidden="false" customHeight="false" outlineLevel="0" collapsed="false">
      <c r="A132" s="4" t="s">
        <v>247</v>
      </c>
      <c r="B132" s="4" t="s">
        <v>13</v>
      </c>
      <c r="C132" s="4" t="s">
        <v>10</v>
      </c>
      <c r="D132" s="4" t="s">
        <v>68</v>
      </c>
      <c r="E132" s="4" t="s">
        <v>97</v>
      </c>
      <c r="F132" s="4" t="s">
        <v>102</v>
      </c>
      <c r="G132" s="4" t="s">
        <v>99</v>
      </c>
      <c r="H132" s="4" t="n">
        <v>200</v>
      </c>
      <c r="I132" s="4" t="n">
        <v>60</v>
      </c>
      <c r="J132" s="11" t="n">
        <v>90</v>
      </c>
      <c r="K132" s="12" t="n">
        <f aca="false">H132*I132/1000000</f>
        <v>0.012</v>
      </c>
      <c r="L132" s="13" t="n">
        <f aca="false">J132/3600/K132</f>
        <v>2.08333333333333</v>
      </c>
      <c r="M132" s="4" t="str">
        <f aca="false">IF(L132&lt;=Hypothèses!$B$3,"oui","NON")</f>
        <v>oui</v>
      </c>
      <c r="N132" s="14" t="s">
        <v>40</v>
      </c>
      <c r="O132" s="14"/>
    </row>
    <row r="133" customFormat="false" ht="15" hidden="false" customHeight="false" outlineLevel="0" collapsed="false">
      <c r="A133" s="4" t="s">
        <v>248</v>
      </c>
      <c r="B133" s="4" t="s">
        <v>13</v>
      </c>
      <c r="C133" s="4" t="s">
        <v>10</v>
      </c>
      <c r="D133" s="4" t="s">
        <v>68</v>
      </c>
      <c r="E133" s="4" t="s">
        <v>97</v>
      </c>
      <c r="F133" s="4" t="s">
        <v>102</v>
      </c>
      <c r="G133" s="4" t="s">
        <v>99</v>
      </c>
      <c r="H133" s="4" t="n">
        <v>200</v>
      </c>
      <c r="I133" s="4" t="n">
        <v>60</v>
      </c>
      <c r="J133" s="11" t="n">
        <v>90</v>
      </c>
      <c r="K133" s="12" t="n">
        <f aca="false">H133*I133/1000000</f>
        <v>0.012</v>
      </c>
      <c r="L133" s="13" t="n">
        <f aca="false">J133/3600/K133</f>
        <v>2.08333333333333</v>
      </c>
      <c r="M133" s="4" t="str">
        <f aca="false">IF(L133&lt;=Hypothèses!$B$3,"oui","NON")</f>
        <v>oui</v>
      </c>
      <c r="N133" s="14" t="s">
        <v>40</v>
      </c>
      <c r="O133" s="14"/>
    </row>
    <row r="134" customFormat="false" ht="15" hidden="false" customHeight="false" outlineLevel="0" collapsed="false">
      <c r="A134" s="4" t="s">
        <v>249</v>
      </c>
      <c r="B134" s="4" t="s">
        <v>13</v>
      </c>
      <c r="C134" s="4" t="s">
        <v>10</v>
      </c>
      <c r="D134" s="4" t="s">
        <v>68</v>
      </c>
      <c r="E134" s="4" t="s">
        <v>97</v>
      </c>
      <c r="F134" s="4" t="s">
        <v>102</v>
      </c>
      <c r="G134" s="4" t="s">
        <v>99</v>
      </c>
      <c r="H134" s="4" t="n">
        <v>200</v>
      </c>
      <c r="I134" s="4" t="n">
        <v>60</v>
      </c>
      <c r="J134" s="11" t="n">
        <v>90</v>
      </c>
      <c r="K134" s="12" t="n">
        <f aca="false">H134*I134/1000000</f>
        <v>0.012</v>
      </c>
      <c r="L134" s="13" t="n">
        <f aca="false">J134/3600/K134</f>
        <v>2.08333333333333</v>
      </c>
      <c r="M134" s="4" t="str">
        <f aca="false">IF(L134&lt;=Hypothèses!$B$3,"oui","NON")</f>
        <v>oui</v>
      </c>
      <c r="N134" s="14" t="s">
        <v>40</v>
      </c>
      <c r="O134" s="14"/>
    </row>
    <row r="135" customFormat="false" ht="15" hidden="false" customHeight="false" outlineLevel="0" collapsed="false">
      <c r="A135" s="4" t="s">
        <v>250</v>
      </c>
      <c r="B135" s="4" t="s">
        <v>13</v>
      </c>
      <c r="C135" s="4" t="s">
        <v>10</v>
      </c>
      <c r="D135" s="4" t="s">
        <v>68</v>
      </c>
      <c r="E135" s="4" t="s">
        <v>97</v>
      </c>
      <c r="F135" s="4" t="s">
        <v>102</v>
      </c>
      <c r="G135" s="4" t="s">
        <v>99</v>
      </c>
      <c r="H135" s="4" t="n">
        <v>200</v>
      </c>
      <c r="I135" s="4" t="n">
        <v>60</v>
      </c>
      <c r="J135" s="11" t="n">
        <v>90</v>
      </c>
      <c r="K135" s="12" t="n">
        <f aca="false">H135*I135/1000000</f>
        <v>0.012</v>
      </c>
      <c r="L135" s="13" t="n">
        <f aca="false">J135/3600/K135</f>
        <v>2.08333333333333</v>
      </c>
      <c r="M135" s="4" t="str">
        <f aca="false">IF(L135&lt;=Hypothèses!$B$3,"oui","NON")</f>
        <v>oui</v>
      </c>
      <c r="N135" s="14" t="s">
        <v>40</v>
      </c>
      <c r="O135" s="14"/>
    </row>
    <row r="136" customFormat="false" ht="15" hidden="false" customHeight="false" outlineLevel="0" collapsed="false">
      <c r="A136" s="4" t="s">
        <v>251</v>
      </c>
      <c r="B136" s="4" t="s">
        <v>13</v>
      </c>
      <c r="C136" s="4" t="s">
        <v>10</v>
      </c>
      <c r="D136" s="4" t="s">
        <v>68</v>
      </c>
      <c r="E136" s="4" t="s">
        <v>97</v>
      </c>
      <c r="F136" s="4" t="s">
        <v>102</v>
      </c>
      <c r="G136" s="4" t="s">
        <v>99</v>
      </c>
      <c r="H136" s="4" t="n">
        <v>200</v>
      </c>
      <c r="I136" s="4" t="n">
        <v>60</v>
      </c>
      <c r="J136" s="11" t="n">
        <v>90</v>
      </c>
      <c r="K136" s="12" t="n">
        <f aca="false">H136*I136/1000000</f>
        <v>0.012</v>
      </c>
      <c r="L136" s="13" t="n">
        <f aca="false">J136/3600/K136</f>
        <v>2.08333333333333</v>
      </c>
      <c r="M136" s="4" t="str">
        <f aca="false">IF(L136&lt;=Hypothèses!$B$3,"oui","NON")</f>
        <v>oui</v>
      </c>
      <c r="N136" s="14" t="s">
        <v>40</v>
      </c>
      <c r="O136" s="14"/>
    </row>
    <row r="137" customFormat="false" ht="15" hidden="false" customHeight="false" outlineLevel="0" collapsed="false">
      <c r="A137" s="4" t="s">
        <v>252</v>
      </c>
      <c r="B137" s="4" t="s">
        <v>13</v>
      </c>
      <c r="C137" s="4" t="s">
        <v>10</v>
      </c>
      <c r="D137" s="4" t="s">
        <v>68</v>
      </c>
      <c r="E137" s="4" t="s">
        <v>97</v>
      </c>
      <c r="F137" s="4" t="s">
        <v>102</v>
      </c>
      <c r="G137" s="4" t="s">
        <v>99</v>
      </c>
      <c r="H137" s="4" t="n">
        <v>200</v>
      </c>
      <c r="I137" s="4" t="n">
        <v>60</v>
      </c>
      <c r="J137" s="11" t="n">
        <v>90</v>
      </c>
      <c r="K137" s="12" t="n">
        <f aca="false">H137*I137/1000000</f>
        <v>0.012</v>
      </c>
      <c r="L137" s="13" t="n">
        <f aca="false">J137/3600/K137</f>
        <v>2.08333333333333</v>
      </c>
      <c r="M137" s="4" t="str">
        <f aca="false">IF(L137&lt;=Hypothèses!$B$3,"oui","NON")</f>
        <v>oui</v>
      </c>
      <c r="N137" s="15" t="s">
        <v>113</v>
      </c>
      <c r="O137" s="15" t="s">
        <v>184</v>
      </c>
    </row>
    <row r="138" customFormat="false" ht="15" hidden="false" customHeight="false" outlineLevel="0" collapsed="false">
      <c r="A138" s="4" t="s">
        <v>253</v>
      </c>
      <c r="B138" s="4" t="s">
        <v>14</v>
      </c>
      <c r="C138" s="4" t="s">
        <v>11</v>
      </c>
      <c r="D138" s="4" t="s">
        <v>68</v>
      </c>
      <c r="E138" s="4" t="s">
        <v>254</v>
      </c>
      <c r="F138" s="4" t="s">
        <v>38</v>
      </c>
      <c r="G138" s="4" t="s">
        <v>39</v>
      </c>
      <c r="H138" s="4" t="n">
        <v>200</v>
      </c>
      <c r="I138" s="4" t="n">
        <v>60</v>
      </c>
      <c r="J138" s="11" t="n">
        <v>90</v>
      </c>
      <c r="K138" s="12" t="n">
        <f aca="false">H138*I138/1000000</f>
        <v>0.012</v>
      </c>
      <c r="L138" s="13" t="n">
        <f aca="false">J138/3600/K138</f>
        <v>2.08333333333333</v>
      </c>
      <c r="M138" s="4" t="str">
        <f aca="false">IF(L138&lt;=Hypothèses!$B$3,"oui","NON")</f>
        <v>oui</v>
      </c>
      <c r="N138" s="14" t="s">
        <v>40</v>
      </c>
      <c r="O138" s="14"/>
    </row>
    <row r="139" customFormat="false" ht="15" hidden="false" customHeight="false" outlineLevel="0" collapsed="false">
      <c r="A139" s="4" t="s">
        <v>255</v>
      </c>
      <c r="B139" s="4" t="s">
        <v>14</v>
      </c>
      <c r="C139" s="4" t="s">
        <v>11</v>
      </c>
      <c r="D139" s="4" t="s">
        <v>68</v>
      </c>
      <c r="E139" s="4" t="s">
        <v>256</v>
      </c>
      <c r="F139" s="4" t="s">
        <v>38</v>
      </c>
      <c r="G139" s="4" t="s">
        <v>39</v>
      </c>
      <c r="H139" s="4" t="n">
        <v>200</v>
      </c>
      <c r="I139" s="4" t="n">
        <v>60</v>
      </c>
      <c r="J139" s="11" t="n">
        <v>90</v>
      </c>
      <c r="K139" s="12" t="n">
        <f aca="false">H139*I139/1000000</f>
        <v>0.012</v>
      </c>
      <c r="L139" s="13" t="n">
        <f aca="false">J139/3600/K139</f>
        <v>2.08333333333333</v>
      </c>
      <c r="M139" s="4" t="str">
        <f aca="false">IF(L139&lt;=Hypothèses!$B$3,"oui","NON")</f>
        <v>oui</v>
      </c>
      <c r="N139" s="14" t="s">
        <v>40</v>
      </c>
      <c r="O139" s="14"/>
    </row>
    <row r="140" customFormat="false" ht="15" hidden="false" customHeight="false" outlineLevel="0" collapsed="false">
      <c r="A140" s="4" t="s">
        <v>257</v>
      </c>
      <c r="B140" s="4" t="s">
        <v>14</v>
      </c>
      <c r="C140" s="4" t="s">
        <v>11</v>
      </c>
      <c r="D140" s="4" t="s">
        <v>68</v>
      </c>
      <c r="E140" s="4" t="s">
        <v>258</v>
      </c>
      <c r="F140" s="4" t="s">
        <v>38</v>
      </c>
      <c r="G140" s="4" t="s">
        <v>39</v>
      </c>
      <c r="H140" s="4" t="n">
        <v>200</v>
      </c>
      <c r="I140" s="4" t="n">
        <v>60</v>
      </c>
      <c r="J140" s="11" t="n">
        <v>90</v>
      </c>
      <c r="K140" s="12" t="n">
        <f aca="false">H140*I140/1000000</f>
        <v>0.012</v>
      </c>
      <c r="L140" s="13" t="n">
        <f aca="false">J140/3600/K140</f>
        <v>2.08333333333333</v>
      </c>
      <c r="M140" s="4" t="str">
        <f aca="false">IF(L140&lt;=Hypothèses!$B$3,"oui","NON")</f>
        <v>oui</v>
      </c>
      <c r="N140" s="14" t="s">
        <v>40</v>
      </c>
      <c r="O140" s="14"/>
    </row>
    <row r="141" customFormat="false" ht="15" hidden="false" customHeight="false" outlineLevel="0" collapsed="false">
      <c r="A141" s="4" t="s">
        <v>259</v>
      </c>
      <c r="B141" s="4" t="s">
        <v>14</v>
      </c>
      <c r="C141" s="4" t="s">
        <v>11</v>
      </c>
      <c r="D141" s="4" t="s">
        <v>68</v>
      </c>
      <c r="E141" s="4" t="s">
        <v>260</v>
      </c>
      <c r="F141" s="4" t="s">
        <v>38</v>
      </c>
      <c r="G141" s="4" t="s">
        <v>39</v>
      </c>
      <c r="H141" s="4" t="n">
        <v>200</v>
      </c>
      <c r="I141" s="4" t="n">
        <v>60</v>
      </c>
      <c r="J141" s="11" t="n">
        <v>90</v>
      </c>
      <c r="K141" s="12" t="n">
        <f aca="false">H141*I141/1000000</f>
        <v>0.012</v>
      </c>
      <c r="L141" s="13" t="n">
        <f aca="false">J141/3600/K141</f>
        <v>2.08333333333333</v>
      </c>
      <c r="M141" s="4" t="str">
        <f aca="false">IF(L141&lt;=Hypothèses!$B$3,"oui","NON")</f>
        <v>oui</v>
      </c>
      <c r="N141" s="14" t="s">
        <v>40</v>
      </c>
      <c r="O141" s="14"/>
    </row>
    <row r="142" customFormat="false" ht="15" hidden="false" customHeight="false" outlineLevel="0" collapsed="false">
      <c r="A142" s="4" t="s">
        <v>261</v>
      </c>
      <c r="B142" s="4" t="s">
        <v>14</v>
      </c>
      <c r="C142" s="4" t="s">
        <v>11</v>
      </c>
      <c r="D142" s="4" t="s">
        <v>68</v>
      </c>
      <c r="E142" s="4" t="s">
        <v>262</v>
      </c>
      <c r="F142" s="4" t="s">
        <v>38</v>
      </c>
      <c r="G142" s="4" t="s">
        <v>39</v>
      </c>
      <c r="H142" s="4" t="n">
        <v>200</v>
      </c>
      <c r="I142" s="4" t="n">
        <v>60</v>
      </c>
      <c r="J142" s="11" t="n">
        <v>90</v>
      </c>
      <c r="K142" s="12" t="n">
        <f aca="false">H142*I142/1000000</f>
        <v>0.012</v>
      </c>
      <c r="L142" s="13" t="n">
        <f aca="false">J142/3600/K142</f>
        <v>2.08333333333333</v>
      </c>
      <c r="M142" s="4" t="str">
        <f aca="false">IF(L142&lt;=Hypothèses!$B$3,"oui","NON")</f>
        <v>oui</v>
      </c>
      <c r="N142" s="14" t="s">
        <v>40</v>
      </c>
      <c r="O142" s="14"/>
    </row>
    <row r="143" customFormat="false" ht="15" hidden="false" customHeight="false" outlineLevel="0" collapsed="false">
      <c r="A143" s="4" t="s">
        <v>263</v>
      </c>
      <c r="B143" s="4" t="s">
        <v>14</v>
      </c>
      <c r="C143" s="4" t="s">
        <v>11</v>
      </c>
      <c r="D143" s="4" t="s">
        <v>68</v>
      </c>
      <c r="E143" s="4" t="s">
        <v>264</v>
      </c>
      <c r="F143" s="4" t="s">
        <v>38</v>
      </c>
      <c r="G143" s="4" t="s">
        <v>39</v>
      </c>
      <c r="H143" s="4" t="n">
        <v>200</v>
      </c>
      <c r="I143" s="4" t="n">
        <v>60</v>
      </c>
      <c r="J143" s="11" t="n">
        <v>90</v>
      </c>
      <c r="K143" s="12" t="n">
        <f aca="false">H143*I143/1000000</f>
        <v>0.012</v>
      </c>
      <c r="L143" s="13" t="n">
        <f aca="false">J143/3600/K143</f>
        <v>2.08333333333333</v>
      </c>
      <c r="M143" s="4" t="str">
        <f aca="false">IF(L143&lt;=Hypothèses!$B$3,"oui","NON")</f>
        <v>oui</v>
      </c>
      <c r="N143" s="14" t="s">
        <v>40</v>
      </c>
      <c r="O143" s="14"/>
    </row>
    <row r="144" customFormat="false" ht="15" hidden="false" customHeight="false" outlineLevel="0" collapsed="false">
      <c r="A144" s="4" t="s">
        <v>265</v>
      </c>
      <c r="B144" s="4" t="s">
        <v>14</v>
      </c>
      <c r="C144" s="4" t="s">
        <v>11</v>
      </c>
      <c r="D144" s="4" t="s">
        <v>68</v>
      </c>
      <c r="E144" s="4" t="s">
        <v>266</v>
      </c>
      <c r="F144" s="4" t="s">
        <v>38</v>
      </c>
      <c r="G144" s="4" t="s">
        <v>39</v>
      </c>
      <c r="H144" s="4" t="n">
        <v>200</v>
      </c>
      <c r="I144" s="4" t="n">
        <v>60</v>
      </c>
      <c r="J144" s="11" t="n">
        <v>90</v>
      </c>
      <c r="K144" s="12" t="n">
        <f aca="false">H144*I144/1000000</f>
        <v>0.012</v>
      </c>
      <c r="L144" s="13" t="n">
        <f aca="false">J144/3600/K144</f>
        <v>2.08333333333333</v>
      </c>
      <c r="M144" s="4" t="str">
        <f aca="false">IF(L144&lt;=Hypothèses!$B$3,"oui","NON")</f>
        <v>oui</v>
      </c>
      <c r="N144" s="14" t="s">
        <v>40</v>
      </c>
      <c r="O144" s="14"/>
    </row>
    <row r="145" customFormat="false" ht="15" hidden="false" customHeight="false" outlineLevel="0" collapsed="false">
      <c r="A145" s="4" t="s">
        <v>267</v>
      </c>
      <c r="B145" s="4" t="s">
        <v>14</v>
      </c>
      <c r="C145" s="4" t="s">
        <v>11</v>
      </c>
      <c r="D145" s="4" t="s">
        <v>68</v>
      </c>
      <c r="E145" s="4" t="s">
        <v>268</v>
      </c>
      <c r="F145" s="4" t="s">
        <v>38</v>
      </c>
      <c r="G145" s="4" t="s">
        <v>39</v>
      </c>
      <c r="H145" s="4" t="n">
        <v>200</v>
      </c>
      <c r="I145" s="4" t="n">
        <v>60</v>
      </c>
      <c r="J145" s="11" t="n">
        <v>90</v>
      </c>
      <c r="K145" s="12" t="n">
        <f aca="false">H145*I145/1000000</f>
        <v>0.012</v>
      </c>
      <c r="L145" s="13" t="n">
        <f aca="false">J145/3600/K145</f>
        <v>2.08333333333333</v>
      </c>
      <c r="M145" s="4" t="str">
        <f aca="false">IF(L145&lt;=Hypothèses!$B$3,"oui","NON")</f>
        <v>oui</v>
      </c>
      <c r="N145" s="14" t="s">
        <v>40</v>
      </c>
      <c r="O145" s="14"/>
    </row>
    <row r="146" customFormat="false" ht="15" hidden="false" customHeight="false" outlineLevel="0" collapsed="false">
      <c r="A146" s="4" t="s">
        <v>269</v>
      </c>
      <c r="B146" s="4" t="s">
        <v>14</v>
      </c>
      <c r="C146" s="4" t="s">
        <v>11</v>
      </c>
      <c r="D146" s="4" t="s">
        <v>68</v>
      </c>
      <c r="E146" s="4" t="s">
        <v>270</v>
      </c>
      <c r="F146" s="4" t="s">
        <v>38</v>
      </c>
      <c r="G146" s="4" t="s">
        <v>39</v>
      </c>
      <c r="H146" s="4" t="n">
        <v>200</v>
      </c>
      <c r="I146" s="4" t="n">
        <v>60</v>
      </c>
      <c r="J146" s="11" t="n">
        <v>90</v>
      </c>
      <c r="K146" s="12" t="n">
        <f aca="false">H146*I146/1000000</f>
        <v>0.012</v>
      </c>
      <c r="L146" s="13" t="n">
        <f aca="false">J146/3600/K146</f>
        <v>2.08333333333333</v>
      </c>
      <c r="M146" s="4" t="str">
        <f aca="false">IF(L146&lt;=Hypothèses!$B$3,"oui","NON")</f>
        <v>oui</v>
      </c>
      <c r="N146" s="14" t="s">
        <v>40</v>
      </c>
      <c r="O146" s="14"/>
    </row>
    <row r="147" customFormat="false" ht="15" hidden="false" customHeight="false" outlineLevel="0" collapsed="false">
      <c r="A147" s="4" t="s">
        <v>271</v>
      </c>
      <c r="B147" s="4" t="s">
        <v>14</v>
      </c>
      <c r="C147" s="4" t="s">
        <v>11</v>
      </c>
      <c r="D147" s="4" t="s">
        <v>68</v>
      </c>
      <c r="E147" s="4" t="s">
        <v>272</v>
      </c>
      <c r="F147" s="4" t="s">
        <v>38</v>
      </c>
      <c r="G147" s="4" t="s">
        <v>39</v>
      </c>
      <c r="H147" s="4" t="n">
        <v>200</v>
      </c>
      <c r="I147" s="4" t="n">
        <v>60</v>
      </c>
      <c r="J147" s="11" t="n">
        <v>90</v>
      </c>
      <c r="K147" s="12" t="n">
        <f aca="false">H147*I147/1000000</f>
        <v>0.012</v>
      </c>
      <c r="L147" s="13" t="n">
        <f aca="false">J147/3600/K147</f>
        <v>2.08333333333333</v>
      </c>
      <c r="M147" s="4" t="str">
        <f aca="false">IF(L147&lt;=Hypothèses!$B$3,"oui","NON")</f>
        <v>oui</v>
      </c>
      <c r="N147" s="14" t="s">
        <v>40</v>
      </c>
      <c r="O147" s="14"/>
    </row>
    <row r="148" customFormat="false" ht="15" hidden="false" customHeight="false" outlineLevel="0" collapsed="false">
      <c r="A148" s="4" t="s">
        <v>273</v>
      </c>
      <c r="B148" s="4" t="s">
        <v>14</v>
      </c>
      <c r="C148" s="4" t="s">
        <v>11</v>
      </c>
      <c r="D148" s="4" t="s">
        <v>68</v>
      </c>
      <c r="E148" s="4" t="s">
        <v>274</v>
      </c>
      <c r="F148" s="4" t="s">
        <v>38</v>
      </c>
      <c r="G148" s="4" t="s">
        <v>39</v>
      </c>
      <c r="H148" s="4" t="n">
        <v>200</v>
      </c>
      <c r="I148" s="4" t="n">
        <v>60</v>
      </c>
      <c r="J148" s="11" t="n">
        <v>90</v>
      </c>
      <c r="K148" s="12" t="n">
        <f aca="false">H148*I148/1000000</f>
        <v>0.012</v>
      </c>
      <c r="L148" s="13" t="n">
        <f aca="false">J148/3600/K148</f>
        <v>2.08333333333333</v>
      </c>
      <c r="M148" s="4" t="str">
        <f aca="false">IF(L148&lt;=Hypothèses!$B$3,"oui","NON")</f>
        <v>oui</v>
      </c>
      <c r="N148" s="14" t="s">
        <v>40</v>
      </c>
      <c r="O148" s="14"/>
    </row>
    <row r="149" customFormat="false" ht="15" hidden="false" customHeight="false" outlineLevel="0" collapsed="false">
      <c r="A149" s="4" t="s">
        <v>275</v>
      </c>
      <c r="B149" s="4" t="s">
        <v>14</v>
      </c>
      <c r="C149" s="4" t="s">
        <v>11</v>
      </c>
      <c r="D149" s="4" t="s">
        <v>68</v>
      </c>
      <c r="E149" s="4" t="s">
        <v>276</v>
      </c>
      <c r="F149" s="4" t="s">
        <v>38</v>
      </c>
      <c r="G149" s="4" t="s">
        <v>39</v>
      </c>
      <c r="H149" s="4" t="n">
        <v>200</v>
      </c>
      <c r="I149" s="4" t="n">
        <v>60</v>
      </c>
      <c r="J149" s="11" t="n">
        <v>90</v>
      </c>
      <c r="K149" s="12" t="n">
        <f aca="false">H149*I149/1000000</f>
        <v>0.012</v>
      </c>
      <c r="L149" s="13" t="n">
        <f aca="false">J149/3600/K149</f>
        <v>2.08333333333333</v>
      </c>
      <c r="M149" s="4" t="str">
        <f aca="false">IF(L149&lt;=Hypothèses!$B$3,"oui","NON")</f>
        <v>oui</v>
      </c>
      <c r="N149" s="14" t="s">
        <v>40</v>
      </c>
      <c r="O149" s="14"/>
    </row>
    <row r="150" customFormat="false" ht="15" hidden="false" customHeight="false" outlineLevel="0" collapsed="false">
      <c r="A150" s="4" t="s">
        <v>277</v>
      </c>
      <c r="B150" s="4" t="s">
        <v>14</v>
      </c>
      <c r="C150" s="4" t="s">
        <v>11</v>
      </c>
      <c r="D150" s="4" t="s">
        <v>68</v>
      </c>
      <c r="E150" s="4" t="s">
        <v>278</v>
      </c>
      <c r="F150" s="4" t="s">
        <v>38</v>
      </c>
      <c r="G150" s="4" t="s">
        <v>39</v>
      </c>
      <c r="H150" s="4" t="n">
        <v>200</v>
      </c>
      <c r="I150" s="4" t="n">
        <v>60</v>
      </c>
      <c r="J150" s="11" t="n">
        <v>90</v>
      </c>
      <c r="K150" s="12" t="n">
        <f aca="false">H150*I150/1000000</f>
        <v>0.012</v>
      </c>
      <c r="L150" s="13" t="n">
        <f aca="false">J150/3600/K150</f>
        <v>2.08333333333333</v>
      </c>
      <c r="M150" s="4" t="str">
        <f aca="false">IF(L150&lt;=Hypothèses!$B$3,"oui","NON")</f>
        <v>oui</v>
      </c>
      <c r="N150" s="15" t="s">
        <v>113</v>
      </c>
      <c r="O150" s="15" t="s">
        <v>279</v>
      </c>
    </row>
    <row r="151" customFormat="false" ht="15" hidden="false" customHeight="false" outlineLevel="0" collapsed="false">
      <c r="A151" s="4" t="s">
        <v>280</v>
      </c>
      <c r="B151" s="4" t="s">
        <v>14</v>
      </c>
      <c r="C151" s="4" t="s">
        <v>10</v>
      </c>
      <c r="D151" s="4" t="s">
        <v>68</v>
      </c>
      <c r="E151" s="4" t="s">
        <v>97</v>
      </c>
      <c r="F151" s="4" t="s">
        <v>102</v>
      </c>
      <c r="G151" s="4" t="s">
        <v>99</v>
      </c>
      <c r="H151" s="4" t="n">
        <v>200</v>
      </c>
      <c r="I151" s="4" t="n">
        <v>60</v>
      </c>
      <c r="J151" s="11" t="n">
        <v>90</v>
      </c>
      <c r="K151" s="12" t="n">
        <f aca="false">H151*I151/1000000</f>
        <v>0.012</v>
      </c>
      <c r="L151" s="13" t="n">
        <f aca="false">J151/3600/K151</f>
        <v>2.08333333333333</v>
      </c>
      <c r="M151" s="4" t="str">
        <f aca="false">IF(L151&lt;=Hypothèses!$B$3,"oui","NON")</f>
        <v>oui</v>
      </c>
      <c r="N151" s="14" t="s">
        <v>40</v>
      </c>
      <c r="O151" s="14"/>
    </row>
    <row r="152" customFormat="false" ht="15" hidden="false" customHeight="false" outlineLevel="0" collapsed="false">
      <c r="A152" s="4" t="s">
        <v>281</v>
      </c>
      <c r="B152" s="4" t="s">
        <v>14</v>
      </c>
      <c r="C152" s="4" t="s">
        <v>10</v>
      </c>
      <c r="D152" s="4" t="s">
        <v>68</v>
      </c>
      <c r="E152" s="4" t="s">
        <v>97</v>
      </c>
      <c r="F152" s="4" t="s">
        <v>102</v>
      </c>
      <c r="G152" s="4" t="s">
        <v>99</v>
      </c>
      <c r="H152" s="4" t="n">
        <v>200</v>
      </c>
      <c r="I152" s="4" t="n">
        <v>60</v>
      </c>
      <c r="J152" s="11" t="n">
        <v>90</v>
      </c>
      <c r="K152" s="12" t="n">
        <f aca="false">H152*I152/1000000</f>
        <v>0.012</v>
      </c>
      <c r="L152" s="13" t="n">
        <f aca="false">J152/3600/K152</f>
        <v>2.08333333333333</v>
      </c>
      <c r="M152" s="4" t="str">
        <f aca="false">IF(L152&lt;=Hypothèses!$B$3,"oui","NON")</f>
        <v>oui</v>
      </c>
      <c r="N152" s="14" t="s">
        <v>40</v>
      </c>
      <c r="O152" s="14"/>
    </row>
    <row r="153" customFormat="false" ht="15" hidden="false" customHeight="false" outlineLevel="0" collapsed="false">
      <c r="A153" s="4" t="s">
        <v>282</v>
      </c>
      <c r="B153" s="4" t="s">
        <v>14</v>
      </c>
      <c r="C153" s="4" t="s">
        <v>10</v>
      </c>
      <c r="D153" s="4" t="s">
        <v>68</v>
      </c>
      <c r="E153" s="4" t="s">
        <v>97</v>
      </c>
      <c r="F153" s="4" t="s">
        <v>102</v>
      </c>
      <c r="G153" s="4" t="s">
        <v>99</v>
      </c>
      <c r="H153" s="4" t="n">
        <v>200</v>
      </c>
      <c r="I153" s="4" t="n">
        <v>60</v>
      </c>
      <c r="J153" s="11" t="n">
        <v>90</v>
      </c>
      <c r="K153" s="12" t="n">
        <f aca="false">H153*I153/1000000</f>
        <v>0.012</v>
      </c>
      <c r="L153" s="13" t="n">
        <f aca="false">J153/3600/K153</f>
        <v>2.08333333333333</v>
      </c>
      <c r="M153" s="4" t="str">
        <f aca="false">IF(L153&lt;=Hypothèses!$B$3,"oui","NON")</f>
        <v>oui</v>
      </c>
      <c r="N153" s="14" t="s">
        <v>40</v>
      </c>
      <c r="O153" s="14"/>
    </row>
    <row r="154" customFormat="false" ht="15" hidden="false" customHeight="false" outlineLevel="0" collapsed="false">
      <c r="A154" s="4" t="s">
        <v>283</v>
      </c>
      <c r="B154" s="4" t="s">
        <v>14</v>
      </c>
      <c r="C154" s="4" t="s">
        <v>10</v>
      </c>
      <c r="D154" s="4" t="s">
        <v>68</v>
      </c>
      <c r="E154" s="4" t="s">
        <v>97</v>
      </c>
      <c r="F154" s="4" t="s">
        <v>102</v>
      </c>
      <c r="G154" s="4" t="s">
        <v>99</v>
      </c>
      <c r="H154" s="4" t="n">
        <v>200</v>
      </c>
      <c r="I154" s="4" t="n">
        <v>60</v>
      </c>
      <c r="J154" s="11" t="n">
        <v>90</v>
      </c>
      <c r="K154" s="12" t="n">
        <f aca="false">H154*I154/1000000</f>
        <v>0.012</v>
      </c>
      <c r="L154" s="13" t="n">
        <f aca="false">J154/3600/K154</f>
        <v>2.08333333333333</v>
      </c>
      <c r="M154" s="4" t="str">
        <f aca="false">IF(L154&lt;=Hypothèses!$B$3,"oui","NON")</f>
        <v>oui</v>
      </c>
      <c r="N154" s="14" t="s">
        <v>40</v>
      </c>
      <c r="O154" s="14"/>
    </row>
    <row r="155" customFormat="false" ht="15" hidden="false" customHeight="false" outlineLevel="0" collapsed="false">
      <c r="A155" s="4" t="s">
        <v>284</v>
      </c>
      <c r="B155" s="4" t="s">
        <v>14</v>
      </c>
      <c r="C155" s="4" t="s">
        <v>10</v>
      </c>
      <c r="D155" s="4" t="s">
        <v>68</v>
      </c>
      <c r="E155" s="4" t="s">
        <v>97</v>
      </c>
      <c r="F155" s="4" t="s">
        <v>102</v>
      </c>
      <c r="G155" s="4" t="s">
        <v>99</v>
      </c>
      <c r="H155" s="4" t="n">
        <v>200</v>
      </c>
      <c r="I155" s="4" t="n">
        <v>60</v>
      </c>
      <c r="J155" s="11" t="n">
        <v>90</v>
      </c>
      <c r="K155" s="12" t="n">
        <f aca="false">H155*I155/1000000</f>
        <v>0.012</v>
      </c>
      <c r="L155" s="13" t="n">
        <f aca="false">J155/3600/K155</f>
        <v>2.08333333333333</v>
      </c>
      <c r="M155" s="4" t="str">
        <f aca="false">IF(L155&lt;=Hypothèses!$B$3,"oui","NON")</f>
        <v>oui</v>
      </c>
      <c r="N155" s="14" t="s">
        <v>40</v>
      </c>
      <c r="O155" s="14"/>
    </row>
    <row r="156" customFormat="false" ht="15" hidden="false" customHeight="false" outlineLevel="0" collapsed="false">
      <c r="A156" s="4" t="s">
        <v>285</v>
      </c>
      <c r="B156" s="4" t="s">
        <v>14</v>
      </c>
      <c r="C156" s="4" t="s">
        <v>10</v>
      </c>
      <c r="D156" s="4" t="s">
        <v>68</v>
      </c>
      <c r="E156" s="4" t="s">
        <v>97</v>
      </c>
      <c r="F156" s="4" t="s">
        <v>102</v>
      </c>
      <c r="G156" s="4" t="s">
        <v>99</v>
      </c>
      <c r="H156" s="4" t="n">
        <v>200</v>
      </c>
      <c r="I156" s="4" t="n">
        <v>60</v>
      </c>
      <c r="J156" s="11" t="n">
        <v>90</v>
      </c>
      <c r="K156" s="12" t="n">
        <f aca="false">H156*I156/1000000</f>
        <v>0.012</v>
      </c>
      <c r="L156" s="13" t="n">
        <f aca="false">J156/3600/K156</f>
        <v>2.08333333333333</v>
      </c>
      <c r="M156" s="4" t="str">
        <f aca="false">IF(L156&lt;=Hypothèses!$B$3,"oui","NON")</f>
        <v>oui</v>
      </c>
      <c r="N156" s="14" t="s">
        <v>40</v>
      </c>
      <c r="O156" s="14"/>
    </row>
    <row r="157" customFormat="false" ht="15" hidden="false" customHeight="false" outlineLevel="0" collapsed="false">
      <c r="A157" s="4" t="s">
        <v>286</v>
      </c>
      <c r="B157" s="4" t="s">
        <v>14</v>
      </c>
      <c r="C157" s="4" t="s">
        <v>10</v>
      </c>
      <c r="D157" s="4" t="s">
        <v>68</v>
      </c>
      <c r="E157" s="4" t="s">
        <v>97</v>
      </c>
      <c r="F157" s="4" t="s">
        <v>102</v>
      </c>
      <c r="G157" s="4" t="s">
        <v>99</v>
      </c>
      <c r="H157" s="4" t="n">
        <v>200</v>
      </c>
      <c r="I157" s="4" t="n">
        <v>60</v>
      </c>
      <c r="J157" s="11" t="n">
        <v>90</v>
      </c>
      <c r="K157" s="12" t="n">
        <f aca="false">H157*I157/1000000</f>
        <v>0.012</v>
      </c>
      <c r="L157" s="13" t="n">
        <f aca="false">J157/3600/K157</f>
        <v>2.08333333333333</v>
      </c>
      <c r="M157" s="4" t="str">
        <f aca="false">IF(L157&lt;=Hypothèses!$B$3,"oui","NON")</f>
        <v>oui</v>
      </c>
      <c r="N157" s="14" t="s">
        <v>40</v>
      </c>
      <c r="O157" s="14"/>
    </row>
    <row r="158" customFormat="false" ht="15" hidden="false" customHeight="false" outlineLevel="0" collapsed="false">
      <c r="A158" s="4" t="s">
        <v>287</v>
      </c>
      <c r="B158" s="4" t="s">
        <v>14</v>
      </c>
      <c r="C158" s="4" t="s">
        <v>10</v>
      </c>
      <c r="D158" s="4" t="s">
        <v>68</v>
      </c>
      <c r="E158" s="4" t="s">
        <v>97</v>
      </c>
      <c r="F158" s="4" t="s">
        <v>102</v>
      </c>
      <c r="G158" s="4" t="s">
        <v>99</v>
      </c>
      <c r="H158" s="4" t="n">
        <v>200</v>
      </c>
      <c r="I158" s="4" t="n">
        <v>60</v>
      </c>
      <c r="J158" s="11" t="n">
        <v>90</v>
      </c>
      <c r="K158" s="12" t="n">
        <f aca="false">H158*I158/1000000</f>
        <v>0.012</v>
      </c>
      <c r="L158" s="13" t="n">
        <f aca="false">J158/3600/K158</f>
        <v>2.08333333333333</v>
      </c>
      <c r="M158" s="4" t="str">
        <f aca="false">IF(L158&lt;=Hypothèses!$B$3,"oui","NON")</f>
        <v>oui</v>
      </c>
      <c r="N158" s="14" t="s">
        <v>40</v>
      </c>
      <c r="O158" s="14"/>
    </row>
    <row r="159" customFormat="false" ht="15" hidden="false" customHeight="false" outlineLevel="0" collapsed="false">
      <c r="A159" s="4" t="s">
        <v>288</v>
      </c>
      <c r="B159" s="4" t="s">
        <v>14</v>
      </c>
      <c r="C159" s="4" t="s">
        <v>10</v>
      </c>
      <c r="D159" s="4" t="s">
        <v>68</v>
      </c>
      <c r="E159" s="4" t="s">
        <v>97</v>
      </c>
      <c r="F159" s="4" t="s">
        <v>102</v>
      </c>
      <c r="G159" s="4" t="s">
        <v>99</v>
      </c>
      <c r="H159" s="4" t="n">
        <v>200</v>
      </c>
      <c r="I159" s="4" t="n">
        <v>60</v>
      </c>
      <c r="J159" s="11" t="n">
        <v>90</v>
      </c>
      <c r="K159" s="12" t="n">
        <f aca="false">H159*I159/1000000</f>
        <v>0.012</v>
      </c>
      <c r="L159" s="13" t="n">
        <f aca="false">J159/3600/K159</f>
        <v>2.08333333333333</v>
      </c>
      <c r="M159" s="4" t="str">
        <f aca="false">IF(L159&lt;=Hypothèses!$B$3,"oui","NON")</f>
        <v>oui</v>
      </c>
      <c r="N159" s="14" t="s">
        <v>40</v>
      </c>
      <c r="O159" s="14"/>
    </row>
    <row r="160" customFormat="false" ht="15" hidden="false" customHeight="false" outlineLevel="0" collapsed="false">
      <c r="A160" s="4" t="s">
        <v>289</v>
      </c>
      <c r="B160" s="4" t="s">
        <v>14</v>
      </c>
      <c r="C160" s="4" t="s">
        <v>10</v>
      </c>
      <c r="D160" s="4" t="s">
        <v>68</v>
      </c>
      <c r="E160" s="4" t="s">
        <v>97</v>
      </c>
      <c r="F160" s="4" t="s">
        <v>102</v>
      </c>
      <c r="G160" s="4" t="s">
        <v>99</v>
      </c>
      <c r="H160" s="4" t="n">
        <v>200</v>
      </c>
      <c r="I160" s="4" t="n">
        <v>60</v>
      </c>
      <c r="J160" s="11" t="n">
        <v>90</v>
      </c>
      <c r="K160" s="12" t="n">
        <f aca="false">H160*I160/1000000</f>
        <v>0.012</v>
      </c>
      <c r="L160" s="13" t="n">
        <f aca="false">J160/3600/K160</f>
        <v>2.08333333333333</v>
      </c>
      <c r="M160" s="4" t="str">
        <f aca="false">IF(L160&lt;=Hypothèses!$B$3,"oui","NON")</f>
        <v>oui</v>
      </c>
      <c r="N160" s="14" t="s">
        <v>40</v>
      </c>
      <c r="O160" s="14"/>
    </row>
    <row r="161" customFormat="false" ht="15" hidden="false" customHeight="false" outlineLevel="0" collapsed="false">
      <c r="A161" s="4" t="s">
        <v>290</v>
      </c>
      <c r="B161" s="4" t="s">
        <v>14</v>
      </c>
      <c r="C161" s="4" t="s">
        <v>10</v>
      </c>
      <c r="D161" s="4" t="s">
        <v>68</v>
      </c>
      <c r="E161" s="4" t="s">
        <v>97</v>
      </c>
      <c r="F161" s="4" t="s">
        <v>102</v>
      </c>
      <c r="G161" s="4" t="s">
        <v>99</v>
      </c>
      <c r="H161" s="4" t="n">
        <v>200</v>
      </c>
      <c r="I161" s="4" t="n">
        <v>60</v>
      </c>
      <c r="J161" s="11" t="n">
        <v>90</v>
      </c>
      <c r="K161" s="12" t="n">
        <f aca="false">H161*I161/1000000</f>
        <v>0.012</v>
      </c>
      <c r="L161" s="13" t="n">
        <f aca="false">J161/3600/K161</f>
        <v>2.08333333333333</v>
      </c>
      <c r="M161" s="4" t="str">
        <f aca="false">IF(L161&lt;=Hypothèses!$B$3,"oui","NON")</f>
        <v>oui</v>
      </c>
      <c r="N161" s="14" t="s">
        <v>40</v>
      </c>
      <c r="O161" s="14"/>
    </row>
    <row r="162" customFormat="false" ht="15" hidden="false" customHeight="false" outlineLevel="0" collapsed="false">
      <c r="A162" s="4" t="s">
        <v>291</v>
      </c>
      <c r="B162" s="4" t="s">
        <v>14</v>
      </c>
      <c r="C162" s="4" t="s">
        <v>10</v>
      </c>
      <c r="D162" s="4" t="s">
        <v>68</v>
      </c>
      <c r="E162" s="4" t="s">
        <v>97</v>
      </c>
      <c r="F162" s="4" t="s">
        <v>102</v>
      </c>
      <c r="G162" s="4" t="s">
        <v>99</v>
      </c>
      <c r="H162" s="4" t="n">
        <v>200</v>
      </c>
      <c r="I162" s="4" t="n">
        <v>60</v>
      </c>
      <c r="J162" s="11" t="n">
        <v>90</v>
      </c>
      <c r="K162" s="12" t="n">
        <f aca="false">H162*I162/1000000</f>
        <v>0.012</v>
      </c>
      <c r="L162" s="13" t="n">
        <f aca="false">J162/3600/K162</f>
        <v>2.08333333333333</v>
      </c>
      <c r="M162" s="4" t="str">
        <f aca="false">IF(L162&lt;=Hypothèses!$B$3,"oui","NON")</f>
        <v>oui</v>
      </c>
      <c r="N162" s="14" t="s">
        <v>40</v>
      </c>
      <c r="O162" s="14"/>
    </row>
    <row r="163" customFormat="false" ht="15" hidden="false" customHeight="false" outlineLevel="0" collapsed="false">
      <c r="A163" s="4" t="s">
        <v>292</v>
      </c>
      <c r="B163" s="4" t="s">
        <v>14</v>
      </c>
      <c r="C163" s="4" t="s">
        <v>10</v>
      </c>
      <c r="D163" s="4" t="s">
        <v>68</v>
      </c>
      <c r="E163" s="4" t="s">
        <v>97</v>
      </c>
      <c r="F163" s="4" t="s">
        <v>102</v>
      </c>
      <c r="G163" s="4" t="s">
        <v>99</v>
      </c>
      <c r="H163" s="4" t="n">
        <v>200</v>
      </c>
      <c r="I163" s="4" t="n">
        <v>60</v>
      </c>
      <c r="J163" s="11" t="n">
        <v>90</v>
      </c>
      <c r="K163" s="12" t="n">
        <f aca="false">H163*I163/1000000</f>
        <v>0.012</v>
      </c>
      <c r="L163" s="13" t="n">
        <f aca="false">J163/3600/K163</f>
        <v>2.08333333333333</v>
      </c>
      <c r="M163" s="4" t="str">
        <f aca="false">IF(L163&lt;=Hypothèses!$B$3,"oui","NON")</f>
        <v>oui</v>
      </c>
      <c r="N163" s="14" t="s">
        <v>40</v>
      </c>
      <c r="O163" s="14"/>
    </row>
    <row r="164" customFormat="false" ht="15" hidden="false" customHeight="false" outlineLevel="0" collapsed="false">
      <c r="A164" s="4" t="s">
        <v>293</v>
      </c>
      <c r="B164" s="4" t="s">
        <v>15</v>
      </c>
      <c r="C164" s="4" t="s">
        <v>16</v>
      </c>
      <c r="D164" s="4" t="s">
        <v>36</v>
      </c>
      <c r="E164" s="4" t="s">
        <v>294</v>
      </c>
      <c r="F164" s="4" t="s">
        <v>295</v>
      </c>
      <c r="G164" s="4" t="s">
        <v>39</v>
      </c>
      <c r="H164" s="4" t="n">
        <v>200</v>
      </c>
      <c r="I164" s="4" t="n">
        <v>60</v>
      </c>
      <c r="J164" s="11" t="n">
        <v>50</v>
      </c>
      <c r="K164" s="12" t="n">
        <f aca="false">H164*I164/1000000</f>
        <v>0.012</v>
      </c>
      <c r="L164" s="13" t="n">
        <f aca="false">J164/3600/K164</f>
        <v>1.15740740740741</v>
      </c>
      <c r="M164" s="4" t="str">
        <f aca="false">IF(L164&lt;=Hypothèses!$B$3,"oui","NON")</f>
        <v>oui</v>
      </c>
      <c r="N164" s="15" t="s">
        <v>113</v>
      </c>
      <c r="O164" s="15" t="s">
        <v>279</v>
      </c>
    </row>
    <row r="165" customFormat="false" ht="15" hidden="false" customHeight="false" outlineLevel="0" collapsed="false">
      <c r="A165" s="4" t="s">
        <v>296</v>
      </c>
      <c r="B165" s="4" t="s">
        <v>15</v>
      </c>
      <c r="C165" s="4" t="s">
        <v>16</v>
      </c>
      <c r="D165" s="4" t="s">
        <v>36</v>
      </c>
      <c r="E165" s="4" t="s">
        <v>297</v>
      </c>
      <c r="F165" s="4" t="s">
        <v>298</v>
      </c>
      <c r="G165" s="4" t="s">
        <v>39</v>
      </c>
      <c r="H165" s="4" t="n">
        <v>200</v>
      </c>
      <c r="I165" s="4" t="n">
        <v>60</v>
      </c>
      <c r="J165" s="11" t="n">
        <v>90</v>
      </c>
      <c r="K165" s="12" t="n">
        <f aca="false">H165*I165/1000000</f>
        <v>0.012</v>
      </c>
      <c r="L165" s="13" t="n">
        <f aca="false">J165/3600/K165</f>
        <v>2.08333333333333</v>
      </c>
      <c r="M165" s="4" t="str">
        <f aca="false">IF(L165&lt;=Hypothèses!$B$3,"oui","NON")</f>
        <v>oui</v>
      </c>
      <c r="N165" s="15" t="s">
        <v>113</v>
      </c>
      <c r="O165" s="15" t="s">
        <v>279</v>
      </c>
    </row>
    <row r="166" customFormat="false" ht="15" hidden="false" customHeight="false" outlineLevel="0" collapsed="false">
      <c r="A166" s="4" t="s">
        <v>299</v>
      </c>
      <c r="B166" s="4" t="s">
        <v>15</v>
      </c>
      <c r="C166" s="4" t="s">
        <v>16</v>
      </c>
      <c r="D166" s="4" t="s">
        <v>36</v>
      </c>
      <c r="E166" s="4" t="s">
        <v>300</v>
      </c>
      <c r="F166" s="4" t="s">
        <v>301</v>
      </c>
      <c r="G166" s="4" t="s">
        <v>39</v>
      </c>
      <c r="H166" s="4" t="n">
        <v>200</v>
      </c>
      <c r="I166" s="4" t="n">
        <v>60</v>
      </c>
      <c r="J166" s="11" t="n">
        <v>72</v>
      </c>
      <c r="K166" s="12" t="n">
        <f aca="false">H166*I166/1000000</f>
        <v>0.012</v>
      </c>
      <c r="L166" s="13" t="n">
        <f aca="false">J166/3600/K166</f>
        <v>1.66666666666667</v>
      </c>
      <c r="M166" s="4" t="str">
        <f aca="false">IF(L166&lt;=Hypothèses!$B$3,"oui","NON")</f>
        <v>oui</v>
      </c>
      <c r="N166" s="15" t="s">
        <v>113</v>
      </c>
      <c r="O166" s="15" t="s">
        <v>279</v>
      </c>
    </row>
    <row r="167" customFormat="false" ht="15" hidden="false" customHeight="false" outlineLevel="0" collapsed="false">
      <c r="A167" s="4" t="s">
        <v>302</v>
      </c>
      <c r="B167" s="4" t="s">
        <v>15</v>
      </c>
      <c r="C167" s="4" t="s">
        <v>16</v>
      </c>
      <c r="D167" s="4" t="s">
        <v>36</v>
      </c>
      <c r="E167" s="4" t="s">
        <v>303</v>
      </c>
      <c r="F167" s="4" t="s">
        <v>304</v>
      </c>
      <c r="G167" s="4" t="s">
        <v>39</v>
      </c>
      <c r="H167" s="4" t="n">
        <v>200</v>
      </c>
      <c r="I167" s="4" t="n">
        <v>60</v>
      </c>
      <c r="J167" s="11" t="n">
        <v>75</v>
      </c>
      <c r="K167" s="12" t="n">
        <f aca="false">H167*I167/1000000</f>
        <v>0.012</v>
      </c>
      <c r="L167" s="13" t="n">
        <f aca="false">J167/3600/K167</f>
        <v>1.73611111111111</v>
      </c>
      <c r="M167" s="4" t="str">
        <f aca="false">IF(L167&lt;=Hypothèses!$B$3,"oui","NON")</f>
        <v>oui</v>
      </c>
      <c r="N167" s="15" t="s">
        <v>113</v>
      </c>
      <c r="O167" s="15" t="s">
        <v>305</v>
      </c>
    </row>
    <row r="168" customFormat="false" ht="15" hidden="false" customHeight="false" outlineLevel="0" collapsed="false">
      <c r="A168" s="4" t="s">
        <v>306</v>
      </c>
      <c r="B168" s="4" t="s">
        <v>15</v>
      </c>
      <c r="C168" s="4" t="s">
        <v>16</v>
      </c>
      <c r="D168" s="4" t="s">
        <v>36</v>
      </c>
      <c r="E168" s="4" t="s">
        <v>303</v>
      </c>
      <c r="F168" s="4" t="s">
        <v>307</v>
      </c>
      <c r="G168" s="4" t="s">
        <v>39</v>
      </c>
      <c r="H168" s="4" t="n">
        <v>200</v>
      </c>
      <c r="I168" s="4" t="n">
        <v>60</v>
      </c>
      <c r="J168" s="11" t="n">
        <v>50</v>
      </c>
      <c r="K168" s="12" t="n">
        <f aca="false">H168*I168/1000000</f>
        <v>0.012</v>
      </c>
      <c r="L168" s="13" t="n">
        <f aca="false">J168/3600/K168</f>
        <v>1.15740740740741</v>
      </c>
      <c r="M168" s="4" t="str">
        <f aca="false">IF(L168&lt;=Hypothèses!$B$3,"oui","NON")</f>
        <v>oui</v>
      </c>
      <c r="N168" s="15" t="s">
        <v>113</v>
      </c>
      <c r="O168" s="15" t="s">
        <v>279</v>
      </c>
    </row>
    <row r="169" customFormat="false" ht="15" hidden="false" customHeight="false" outlineLevel="0" collapsed="false">
      <c r="A169" s="4" t="s">
        <v>308</v>
      </c>
      <c r="B169" s="4" t="s">
        <v>15</v>
      </c>
      <c r="C169" s="4" t="s">
        <v>16</v>
      </c>
      <c r="D169" s="4" t="s">
        <v>36</v>
      </c>
      <c r="E169" s="4" t="s">
        <v>303</v>
      </c>
      <c r="F169" s="4" t="s">
        <v>309</v>
      </c>
      <c r="G169" s="4" t="s">
        <v>39</v>
      </c>
      <c r="H169" s="4" t="n">
        <v>200</v>
      </c>
      <c r="I169" s="4" t="n">
        <v>60</v>
      </c>
      <c r="J169" s="11" t="n">
        <v>50</v>
      </c>
      <c r="K169" s="12" t="n">
        <f aca="false">H169*I169/1000000</f>
        <v>0.012</v>
      </c>
      <c r="L169" s="13" t="n">
        <f aca="false">J169/3600/K169</f>
        <v>1.15740740740741</v>
      </c>
      <c r="M169" s="4" t="str">
        <f aca="false">IF(L169&lt;=Hypothèses!$B$3,"oui","NON")</f>
        <v>oui</v>
      </c>
      <c r="N169" s="14" t="s">
        <v>40</v>
      </c>
      <c r="O169" s="14"/>
    </row>
    <row r="170" customFormat="false" ht="15" hidden="false" customHeight="false" outlineLevel="0" collapsed="false">
      <c r="A170" s="4" t="s">
        <v>310</v>
      </c>
      <c r="B170" s="4" t="s">
        <v>15</v>
      </c>
      <c r="C170" s="4" t="s">
        <v>16</v>
      </c>
      <c r="D170" s="4" t="s">
        <v>36</v>
      </c>
      <c r="E170" s="4" t="s">
        <v>303</v>
      </c>
      <c r="F170" s="4" t="s">
        <v>311</v>
      </c>
      <c r="G170" s="4" t="s">
        <v>39</v>
      </c>
      <c r="H170" s="4" t="n">
        <v>200</v>
      </c>
      <c r="I170" s="4" t="n">
        <v>60</v>
      </c>
      <c r="J170" s="11" t="n">
        <v>75</v>
      </c>
      <c r="K170" s="12" t="n">
        <f aca="false">H170*I170/1000000</f>
        <v>0.012</v>
      </c>
      <c r="L170" s="13" t="n">
        <f aca="false">J170/3600/K170</f>
        <v>1.73611111111111</v>
      </c>
      <c r="M170" s="4" t="str">
        <f aca="false">IF(L170&lt;=Hypothèses!$B$3,"oui","NON")</f>
        <v>oui</v>
      </c>
      <c r="N170" s="14" t="s">
        <v>40</v>
      </c>
      <c r="O170" s="14"/>
    </row>
    <row r="171" customFormat="false" ht="15" hidden="false" customHeight="false" outlineLevel="0" collapsed="false">
      <c r="A171" s="4" t="s">
        <v>312</v>
      </c>
      <c r="B171" s="4" t="s">
        <v>15</v>
      </c>
      <c r="C171" s="4" t="s">
        <v>16</v>
      </c>
      <c r="D171" s="4" t="s">
        <v>36</v>
      </c>
      <c r="E171" s="4" t="s">
        <v>303</v>
      </c>
      <c r="F171" s="4" t="s">
        <v>313</v>
      </c>
      <c r="G171" s="4" t="s">
        <v>39</v>
      </c>
      <c r="H171" s="4" t="n">
        <v>200</v>
      </c>
      <c r="I171" s="4" t="n">
        <v>60</v>
      </c>
      <c r="J171" s="11" t="n">
        <v>108</v>
      </c>
      <c r="K171" s="12" t="n">
        <f aca="false">H171*I171/1000000</f>
        <v>0.012</v>
      </c>
      <c r="L171" s="13" t="n">
        <f aca="false">J171/3600/K171</f>
        <v>2.5</v>
      </c>
      <c r="M171" s="4" t="str">
        <f aca="false">IF(L171&lt;=Hypothèses!$B$3,"oui","NON")</f>
        <v>oui</v>
      </c>
      <c r="N171" s="14" t="s">
        <v>40</v>
      </c>
      <c r="O171" s="14"/>
    </row>
    <row r="172" customFormat="false" ht="15" hidden="false" customHeight="false" outlineLevel="0" collapsed="false">
      <c r="A172" s="4" t="s">
        <v>314</v>
      </c>
      <c r="B172" s="4" t="s">
        <v>15</v>
      </c>
      <c r="C172" s="4" t="s">
        <v>16</v>
      </c>
      <c r="D172" s="4" t="s">
        <v>36</v>
      </c>
      <c r="E172" s="4" t="s">
        <v>315</v>
      </c>
      <c r="F172" s="4" t="s">
        <v>316</v>
      </c>
      <c r="G172" s="4" t="s">
        <v>39</v>
      </c>
      <c r="H172" s="4" t="n">
        <v>450</v>
      </c>
      <c r="I172" s="4" t="n">
        <v>60</v>
      </c>
      <c r="J172" s="11" t="n">
        <v>234</v>
      </c>
      <c r="K172" s="12" t="n">
        <f aca="false">H172*I172/1000000</f>
        <v>0.027</v>
      </c>
      <c r="L172" s="13" t="n">
        <f aca="false">J172/3600/K172</f>
        <v>2.40740740740741</v>
      </c>
      <c r="M172" s="4" t="str">
        <f aca="false">IF(L172&lt;=Hypothèses!$B$3,"oui","NON")</f>
        <v>oui</v>
      </c>
      <c r="N172" s="14" t="s">
        <v>40</v>
      </c>
      <c r="O172" s="14"/>
    </row>
    <row r="173" customFormat="false" ht="15" hidden="false" customHeight="false" outlineLevel="0" collapsed="false">
      <c r="A173" s="4" t="s">
        <v>317</v>
      </c>
      <c r="B173" s="4" t="s">
        <v>15</v>
      </c>
      <c r="C173" s="4" t="s">
        <v>16</v>
      </c>
      <c r="D173" s="4" t="s">
        <v>36</v>
      </c>
      <c r="E173" s="4" t="s">
        <v>318</v>
      </c>
      <c r="F173" s="4" t="s">
        <v>319</v>
      </c>
      <c r="G173" s="4" t="s">
        <v>39</v>
      </c>
      <c r="H173" s="4" t="n">
        <v>200</v>
      </c>
      <c r="I173" s="4" t="n">
        <v>60</v>
      </c>
      <c r="J173" s="11" t="n">
        <v>50</v>
      </c>
      <c r="K173" s="12" t="n">
        <f aca="false">H173*I173/1000000</f>
        <v>0.012</v>
      </c>
      <c r="L173" s="13" t="n">
        <f aca="false">J173/3600/K173</f>
        <v>1.15740740740741</v>
      </c>
      <c r="M173" s="4" t="str">
        <f aca="false">IF(L173&lt;=Hypothèses!$B$3,"oui","NON")</f>
        <v>oui</v>
      </c>
      <c r="N173" s="15" t="s">
        <v>113</v>
      </c>
      <c r="O173" s="15" t="s">
        <v>305</v>
      </c>
    </row>
    <row r="174" customFormat="false" ht="15" hidden="false" customHeight="false" outlineLevel="0" collapsed="false">
      <c r="A174" s="4" t="s">
        <v>320</v>
      </c>
      <c r="B174" s="4" t="s">
        <v>15</v>
      </c>
      <c r="C174" s="4" t="s">
        <v>16</v>
      </c>
      <c r="D174" s="4" t="s">
        <v>36</v>
      </c>
      <c r="E174" s="4" t="s">
        <v>294</v>
      </c>
      <c r="F174" s="4" t="s">
        <v>321</v>
      </c>
      <c r="G174" s="4" t="s">
        <v>39</v>
      </c>
      <c r="H174" s="4" t="n">
        <v>200</v>
      </c>
      <c r="I174" s="4" t="n">
        <v>60</v>
      </c>
      <c r="J174" s="11" t="n">
        <v>75</v>
      </c>
      <c r="K174" s="12" t="n">
        <f aca="false">H174*I174/1000000</f>
        <v>0.012</v>
      </c>
      <c r="L174" s="13" t="n">
        <f aca="false">J174/3600/K174</f>
        <v>1.73611111111111</v>
      </c>
      <c r="M174" s="4" t="str">
        <f aca="false">IF(L174&lt;=Hypothèses!$B$3,"oui","NON")</f>
        <v>oui</v>
      </c>
      <c r="N174" s="14" t="s">
        <v>40</v>
      </c>
      <c r="O174" s="14"/>
    </row>
    <row r="175" customFormat="false" ht="15" hidden="false" customHeight="false" outlineLevel="0" collapsed="false">
      <c r="A175" s="4" t="s">
        <v>322</v>
      </c>
      <c r="B175" s="4" t="s">
        <v>15</v>
      </c>
      <c r="C175" s="4" t="s">
        <v>16</v>
      </c>
      <c r="D175" s="4" t="s">
        <v>36</v>
      </c>
      <c r="E175" s="4" t="s">
        <v>323</v>
      </c>
      <c r="F175" s="4" t="s">
        <v>324</v>
      </c>
      <c r="G175" s="4" t="s">
        <v>39</v>
      </c>
      <c r="H175" s="4" t="n">
        <v>200</v>
      </c>
      <c r="I175" s="4" t="n">
        <v>60</v>
      </c>
      <c r="J175" s="11" t="n">
        <v>75</v>
      </c>
      <c r="K175" s="12" t="n">
        <f aca="false">H175*I175/1000000</f>
        <v>0.012</v>
      </c>
      <c r="L175" s="13" t="n">
        <f aca="false">J175/3600/K175</f>
        <v>1.73611111111111</v>
      </c>
      <c r="M175" s="4" t="str">
        <f aca="false">IF(L175&lt;=Hypothèses!$B$3,"oui","NON")</f>
        <v>oui</v>
      </c>
      <c r="N175" s="14" t="s">
        <v>40</v>
      </c>
      <c r="O175" s="14"/>
    </row>
    <row r="176" customFormat="false" ht="15" hidden="false" customHeight="false" outlineLevel="0" collapsed="false">
      <c r="A176" s="4" t="s">
        <v>325</v>
      </c>
      <c r="B176" s="4" t="s">
        <v>15</v>
      </c>
      <c r="C176" s="4" t="s">
        <v>16</v>
      </c>
      <c r="D176" s="4" t="s">
        <v>36</v>
      </c>
      <c r="E176" s="4" t="s">
        <v>326</v>
      </c>
      <c r="F176" s="4" t="s">
        <v>327</v>
      </c>
      <c r="G176" s="4" t="s">
        <v>39</v>
      </c>
      <c r="H176" s="4" t="n">
        <v>450</v>
      </c>
      <c r="I176" s="4" t="n">
        <v>60</v>
      </c>
      <c r="J176" s="11" t="n">
        <v>234</v>
      </c>
      <c r="K176" s="12" t="n">
        <f aca="false">H176*I176/1000000</f>
        <v>0.027</v>
      </c>
      <c r="L176" s="13" t="n">
        <f aca="false">J176/3600/K176</f>
        <v>2.40740740740741</v>
      </c>
      <c r="M176" s="4" t="str">
        <f aca="false">IF(L176&lt;=Hypothèses!$B$3,"oui","NON")</f>
        <v>oui</v>
      </c>
      <c r="N176" s="15" t="s">
        <v>113</v>
      </c>
      <c r="O176" s="15" t="s">
        <v>305</v>
      </c>
    </row>
    <row r="177" customFormat="false" ht="15" hidden="false" customHeight="false" outlineLevel="0" collapsed="false">
      <c r="A177" s="4" t="s">
        <v>328</v>
      </c>
      <c r="B177" s="4" t="s">
        <v>15</v>
      </c>
      <c r="C177" s="4" t="s">
        <v>16</v>
      </c>
      <c r="D177" s="4" t="s">
        <v>36</v>
      </c>
      <c r="E177" s="4" t="s">
        <v>329</v>
      </c>
      <c r="F177" s="4" t="s">
        <v>330</v>
      </c>
      <c r="G177" s="4" t="s">
        <v>39</v>
      </c>
      <c r="H177" s="4" t="n">
        <v>700</v>
      </c>
      <c r="I177" s="4" t="n">
        <v>60</v>
      </c>
      <c r="J177" s="11" t="n">
        <v>355</v>
      </c>
      <c r="K177" s="12" t="n">
        <f aca="false">H177*I177/1000000</f>
        <v>0.042</v>
      </c>
      <c r="L177" s="13" t="n">
        <f aca="false">J177/3600/K177</f>
        <v>2.3478835978836</v>
      </c>
      <c r="M177" s="4" t="str">
        <f aca="false">IF(L177&lt;=Hypothèses!$B$3,"oui","NON")</f>
        <v>oui</v>
      </c>
      <c r="N177" s="15" t="s">
        <v>113</v>
      </c>
      <c r="O177" s="15" t="s">
        <v>279</v>
      </c>
    </row>
    <row r="178" customFormat="false" ht="15" hidden="false" customHeight="false" outlineLevel="0" collapsed="false">
      <c r="A178" s="4" t="s">
        <v>331</v>
      </c>
      <c r="B178" s="4" t="s">
        <v>15</v>
      </c>
      <c r="C178" s="4" t="s">
        <v>16</v>
      </c>
      <c r="D178" s="4" t="s">
        <v>36</v>
      </c>
      <c r="E178" s="4" t="s">
        <v>329</v>
      </c>
      <c r="F178" s="4" t="s">
        <v>330</v>
      </c>
      <c r="G178" s="4" t="s">
        <v>39</v>
      </c>
      <c r="H178" s="4" t="n">
        <v>700</v>
      </c>
      <c r="I178" s="4" t="n">
        <v>60</v>
      </c>
      <c r="J178" s="11" t="n">
        <v>355</v>
      </c>
      <c r="K178" s="12" t="n">
        <f aca="false">H178*I178/1000000</f>
        <v>0.042</v>
      </c>
      <c r="L178" s="13" t="n">
        <f aca="false">J178/3600/K178</f>
        <v>2.3478835978836</v>
      </c>
      <c r="M178" s="4" t="str">
        <f aca="false">IF(L178&lt;=Hypothèses!$B$3,"oui","NON")</f>
        <v>oui</v>
      </c>
      <c r="N178" s="15" t="s">
        <v>113</v>
      </c>
      <c r="O178" s="15" t="s">
        <v>279</v>
      </c>
    </row>
    <row r="179" customFormat="false" ht="15" hidden="false" customHeight="false" outlineLevel="0" collapsed="false">
      <c r="A179" s="4" t="s">
        <v>332</v>
      </c>
      <c r="B179" s="4" t="s">
        <v>15</v>
      </c>
      <c r="C179" s="4" t="s">
        <v>16</v>
      </c>
      <c r="D179" s="4" t="s">
        <v>36</v>
      </c>
      <c r="E179" s="4" t="s">
        <v>329</v>
      </c>
      <c r="F179" s="4" t="s">
        <v>330</v>
      </c>
      <c r="G179" s="4" t="s">
        <v>39</v>
      </c>
      <c r="H179" s="4" t="n">
        <v>700</v>
      </c>
      <c r="I179" s="4" t="n">
        <v>60</v>
      </c>
      <c r="J179" s="11" t="n">
        <v>355</v>
      </c>
      <c r="K179" s="12" t="n">
        <f aca="false">H179*I179/1000000</f>
        <v>0.042</v>
      </c>
      <c r="L179" s="13" t="n">
        <f aca="false">J179/3600/K179</f>
        <v>2.3478835978836</v>
      </c>
      <c r="M179" s="4" t="str">
        <f aca="false">IF(L179&lt;=Hypothèses!$B$3,"oui","NON")</f>
        <v>oui</v>
      </c>
      <c r="N179" s="15" t="s">
        <v>113</v>
      </c>
      <c r="O179" s="15" t="s">
        <v>279</v>
      </c>
    </row>
    <row r="180" customFormat="false" ht="15" hidden="false" customHeight="false" outlineLevel="0" collapsed="false">
      <c r="A180" s="4" t="s">
        <v>333</v>
      </c>
      <c r="B180" s="4" t="s">
        <v>15</v>
      </c>
      <c r="C180" s="4" t="s">
        <v>16</v>
      </c>
      <c r="D180" s="4" t="s">
        <v>36</v>
      </c>
      <c r="E180" s="4" t="s">
        <v>329</v>
      </c>
      <c r="F180" s="4" t="s">
        <v>330</v>
      </c>
      <c r="G180" s="4" t="s">
        <v>39</v>
      </c>
      <c r="H180" s="4" t="n">
        <v>700</v>
      </c>
      <c r="I180" s="4" t="n">
        <v>60</v>
      </c>
      <c r="J180" s="11" t="n">
        <v>355</v>
      </c>
      <c r="K180" s="12" t="n">
        <f aca="false">H180*I180/1000000</f>
        <v>0.042</v>
      </c>
      <c r="L180" s="13" t="n">
        <f aca="false">J180/3600/K180</f>
        <v>2.3478835978836</v>
      </c>
      <c r="M180" s="4" t="str">
        <f aca="false">IF(L180&lt;=Hypothèses!$B$3,"oui","NON")</f>
        <v>oui</v>
      </c>
      <c r="N180" s="15" t="s">
        <v>113</v>
      </c>
      <c r="O180" s="15" t="s">
        <v>305</v>
      </c>
    </row>
    <row r="181" customFormat="false" ht="15" hidden="false" customHeight="false" outlineLevel="0" collapsed="false">
      <c r="A181" s="4" t="s">
        <v>334</v>
      </c>
      <c r="B181" s="4" t="s">
        <v>15</v>
      </c>
      <c r="C181" s="4" t="s">
        <v>16</v>
      </c>
      <c r="D181" s="4" t="s">
        <v>36</v>
      </c>
      <c r="E181" s="4" t="s">
        <v>329</v>
      </c>
      <c r="F181" s="4" t="s">
        <v>330</v>
      </c>
      <c r="G181" s="4" t="s">
        <v>39</v>
      </c>
      <c r="H181" s="4" t="n">
        <v>700</v>
      </c>
      <c r="I181" s="4" t="n">
        <v>60</v>
      </c>
      <c r="J181" s="11" t="n">
        <v>355</v>
      </c>
      <c r="K181" s="12" t="n">
        <f aca="false">H181*I181/1000000</f>
        <v>0.042</v>
      </c>
      <c r="L181" s="13" t="n">
        <f aca="false">J181/3600/K181</f>
        <v>2.3478835978836</v>
      </c>
      <c r="M181" s="4" t="str">
        <f aca="false">IF(L181&lt;=Hypothèses!$B$3,"oui","NON")</f>
        <v>oui</v>
      </c>
      <c r="N181" s="15" t="s">
        <v>113</v>
      </c>
      <c r="O181" s="15" t="s">
        <v>279</v>
      </c>
    </row>
    <row r="182" customFormat="false" ht="15" hidden="false" customHeight="false" outlineLevel="0" collapsed="false">
      <c r="A182" s="4" t="s">
        <v>335</v>
      </c>
      <c r="B182" s="4" t="s">
        <v>15</v>
      </c>
      <c r="C182" s="4" t="s">
        <v>16</v>
      </c>
      <c r="D182" s="4" t="s">
        <v>36</v>
      </c>
      <c r="E182" s="4" t="s">
        <v>329</v>
      </c>
      <c r="F182" s="4" t="s">
        <v>330</v>
      </c>
      <c r="G182" s="4" t="s">
        <v>39</v>
      </c>
      <c r="H182" s="4" t="n">
        <v>700</v>
      </c>
      <c r="I182" s="4" t="n">
        <v>60</v>
      </c>
      <c r="J182" s="11" t="n">
        <v>355</v>
      </c>
      <c r="K182" s="12" t="n">
        <f aca="false">H182*I182/1000000</f>
        <v>0.042</v>
      </c>
      <c r="L182" s="13" t="n">
        <f aca="false">J182/3600/K182</f>
        <v>2.3478835978836</v>
      </c>
      <c r="M182" s="4" t="str">
        <f aca="false">IF(L182&lt;=Hypothèses!$B$3,"oui","NON")</f>
        <v>oui</v>
      </c>
      <c r="N182" s="15" t="s">
        <v>113</v>
      </c>
      <c r="O182" s="15" t="s">
        <v>279</v>
      </c>
    </row>
    <row r="183" customFormat="false" ht="15" hidden="false" customHeight="false" outlineLevel="0" collapsed="false">
      <c r="A183" s="4" t="s">
        <v>336</v>
      </c>
      <c r="B183" s="4" t="s">
        <v>15</v>
      </c>
      <c r="C183" s="4" t="s">
        <v>16</v>
      </c>
      <c r="D183" s="4" t="s">
        <v>36</v>
      </c>
      <c r="E183" s="4" t="s">
        <v>329</v>
      </c>
      <c r="F183" s="4" t="s">
        <v>330</v>
      </c>
      <c r="G183" s="4" t="s">
        <v>39</v>
      </c>
      <c r="H183" s="4" t="n">
        <v>700</v>
      </c>
      <c r="I183" s="4" t="n">
        <v>60</v>
      </c>
      <c r="J183" s="11" t="n">
        <v>355</v>
      </c>
      <c r="K183" s="12" t="n">
        <f aca="false">H183*I183/1000000</f>
        <v>0.042</v>
      </c>
      <c r="L183" s="13" t="n">
        <f aca="false">J183/3600/K183</f>
        <v>2.3478835978836</v>
      </c>
      <c r="M183" s="4" t="str">
        <f aca="false">IF(L183&lt;=Hypothèses!$B$3,"oui","NON")</f>
        <v>oui</v>
      </c>
      <c r="N183" s="15" t="s">
        <v>113</v>
      </c>
      <c r="O183" s="15" t="s">
        <v>279</v>
      </c>
    </row>
    <row r="184" customFormat="false" ht="15" hidden="false" customHeight="false" outlineLevel="0" collapsed="false">
      <c r="A184" s="4" t="s">
        <v>337</v>
      </c>
      <c r="B184" s="4" t="s">
        <v>15</v>
      </c>
      <c r="C184" s="4" t="s">
        <v>16</v>
      </c>
      <c r="D184" s="4" t="s">
        <v>36</v>
      </c>
      <c r="E184" s="4" t="s">
        <v>338</v>
      </c>
      <c r="F184" s="4" t="s">
        <v>339</v>
      </c>
      <c r="G184" s="4" t="s">
        <v>39</v>
      </c>
      <c r="H184" s="4" t="n">
        <v>200</v>
      </c>
      <c r="I184" s="4" t="n">
        <v>60</v>
      </c>
      <c r="J184" s="11" t="n">
        <v>75</v>
      </c>
      <c r="K184" s="12" t="n">
        <f aca="false">H184*I184/1000000</f>
        <v>0.012</v>
      </c>
      <c r="L184" s="13" t="n">
        <f aca="false">J184/3600/K184</f>
        <v>1.73611111111111</v>
      </c>
      <c r="M184" s="4" t="str">
        <f aca="false">IF(L184&lt;=Hypothèses!$B$3,"oui","NON")</f>
        <v>oui</v>
      </c>
      <c r="N184" s="14" t="s">
        <v>40</v>
      </c>
      <c r="O184" s="14"/>
    </row>
    <row r="185" customFormat="false" ht="15" hidden="false" customHeight="false" outlineLevel="0" collapsed="false">
      <c r="A185" s="4" t="s">
        <v>340</v>
      </c>
      <c r="B185" s="4" t="s">
        <v>15</v>
      </c>
      <c r="C185" s="4" t="s">
        <v>16</v>
      </c>
      <c r="D185" s="4" t="s">
        <v>36</v>
      </c>
      <c r="E185" s="4" t="s">
        <v>341</v>
      </c>
      <c r="F185" s="4" t="s">
        <v>342</v>
      </c>
      <c r="G185" s="4" t="s">
        <v>39</v>
      </c>
      <c r="H185" s="4" t="n">
        <v>200</v>
      </c>
      <c r="I185" s="4" t="n">
        <v>60</v>
      </c>
      <c r="J185" s="11" t="n">
        <v>100</v>
      </c>
      <c r="K185" s="12" t="n">
        <f aca="false">H185*I185/1000000</f>
        <v>0.012</v>
      </c>
      <c r="L185" s="13" t="n">
        <f aca="false">J185/3600/K185</f>
        <v>2.31481481481481</v>
      </c>
      <c r="M185" s="4" t="str">
        <f aca="false">IF(L185&lt;=Hypothèses!$B$3,"oui","NON")</f>
        <v>oui</v>
      </c>
      <c r="N185" s="14" t="s">
        <v>40</v>
      </c>
      <c r="O185" s="14"/>
    </row>
    <row r="186" customFormat="false" ht="15" hidden="false" customHeight="false" outlineLevel="0" collapsed="false">
      <c r="A186" s="4" t="s">
        <v>343</v>
      </c>
      <c r="B186" s="4" t="s">
        <v>15</v>
      </c>
      <c r="C186" s="4" t="s">
        <v>16</v>
      </c>
      <c r="D186" s="4" t="s">
        <v>68</v>
      </c>
      <c r="E186" s="4" t="s">
        <v>344</v>
      </c>
      <c r="F186" s="4" t="s">
        <v>345</v>
      </c>
      <c r="G186" s="4" t="s">
        <v>39</v>
      </c>
      <c r="H186" s="4" t="n">
        <v>200</v>
      </c>
      <c r="I186" s="4" t="n">
        <v>60</v>
      </c>
      <c r="J186" s="11" t="n">
        <v>25</v>
      </c>
      <c r="K186" s="12" t="n">
        <f aca="false">H186*I186/1000000</f>
        <v>0.012</v>
      </c>
      <c r="L186" s="13" t="n">
        <f aca="false">J186/3600/K186</f>
        <v>0.578703703703704</v>
      </c>
      <c r="M186" s="4" t="str">
        <f aca="false">IF(L186&lt;=Hypothèses!$B$3,"oui","NON")</f>
        <v>oui</v>
      </c>
      <c r="N186" s="14" t="s">
        <v>40</v>
      </c>
      <c r="O186" s="14"/>
    </row>
    <row r="187" customFormat="false" ht="15" hidden="false" customHeight="false" outlineLevel="0" collapsed="false">
      <c r="A187" s="4" t="s">
        <v>346</v>
      </c>
      <c r="B187" s="4" t="s">
        <v>15</v>
      </c>
      <c r="C187" s="4" t="s">
        <v>16</v>
      </c>
      <c r="D187" s="4" t="s">
        <v>68</v>
      </c>
      <c r="E187" s="4" t="s">
        <v>347</v>
      </c>
      <c r="F187" s="4" t="s">
        <v>348</v>
      </c>
      <c r="G187" s="4" t="s">
        <v>39</v>
      </c>
      <c r="H187" s="4" t="n">
        <v>700</v>
      </c>
      <c r="I187" s="4" t="n">
        <v>60</v>
      </c>
      <c r="J187" s="11" t="n">
        <v>363</v>
      </c>
      <c r="K187" s="12" t="n">
        <f aca="false">H187*I187/1000000</f>
        <v>0.042</v>
      </c>
      <c r="L187" s="13" t="n">
        <f aca="false">J187/3600/K187</f>
        <v>2.40079365079365</v>
      </c>
      <c r="M187" s="4" t="str">
        <f aca="false">IF(L187&lt;=Hypothèses!$B$3,"oui","NON")</f>
        <v>oui</v>
      </c>
      <c r="N187" s="14" t="s">
        <v>40</v>
      </c>
      <c r="O187" s="14"/>
    </row>
    <row r="188" customFormat="false" ht="15" hidden="false" customHeight="false" outlineLevel="0" collapsed="false">
      <c r="A188" s="4" t="s">
        <v>349</v>
      </c>
      <c r="B188" s="4" t="s">
        <v>15</v>
      </c>
      <c r="C188" s="4" t="s">
        <v>16</v>
      </c>
      <c r="D188" s="4" t="s">
        <v>68</v>
      </c>
      <c r="E188" s="4" t="s">
        <v>347</v>
      </c>
      <c r="F188" s="4" t="s">
        <v>348</v>
      </c>
      <c r="G188" s="4" t="s">
        <v>39</v>
      </c>
      <c r="H188" s="4" t="n">
        <v>700</v>
      </c>
      <c r="I188" s="4" t="n">
        <v>60</v>
      </c>
      <c r="J188" s="11" t="n">
        <v>363</v>
      </c>
      <c r="K188" s="12" t="n">
        <f aca="false">H188*I188/1000000</f>
        <v>0.042</v>
      </c>
      <c r="L188" s="13" t="n">
        <f aca="false">J188/3600/K188</f>
        <v>2.40079365079365</v>
      </c>
      <c r="M188" s="4" t="str">
        <f aca="false">IF(L188&lt;=Hypothèses!$B$3,"oui","NON")</f>
        <v>oui</v>
      </c>
      <c r="N188" s="14" t="s">
        <v>40</v>
      </c>
      <c r="O188" s="14"/>
    </row>
    <row r="189" customFormat="false" ht="15" hidden="false" customHeight="false" outlineLevel="0" collapsed="false">
      <c r="A189" s="4" t="s">
        <v>350</v>
      </c>
      <c r="B189" s="4" t="s">
        <v>15</v>
      </c>
      <c r="C189" s="4" t="s">
        <v>16</v>
      </c>
      <c r="D189" s="4" t="s">
        <v>68</v>
      </c>
      <c r="E189" s="4" t="s">
        <v>347</v>
      </c>
      <c r="F189" s="4" t="s">
        <v>348</v>
      </c>
      <c r="G189" s="4" t="s">
        <v>39</v>
      </c>
      <c r="H189" s="4" t="n">
        <v>700</v>
      </c>
      <c r="I189" s="4" t="n">
        <v>60</v>
      </c>
      <c r="J189" s="11" t="n">
        <v>352</v>
      </c>
      <c r="K189" s="12" t="n">
        <f aca="false">H189*I189/1000000</f>
        <v>0.042</v>
      </c>
      <c r="L189" s="13" t="n">
        <f aca="false">J189/3600/K189</f>
        <v>2.32804232804233</v>
      </c>
      <c r="M189" s="4" t="str">
        <f aca="false">IF(L189&lt;=Hypothèses!$B$3,"oui","NON")</f>
        <v>oui</v>
      </c>
      <c r="N189" s="15" t="s">
        <v>113</v>
      </c>
      <c r="O189" s="15" t="s">
        <v>184</v>
      </c>
    </row>
    <row r="190" customFormat="false" ht="15" hidden="false" customHeight="false" outlineLevel="0" collapsed="false">
      <c r="A190" s="4" t="s">
        <v>351</v>
      </c>
      <c r="B190" s="4" t="s">
        <v>15</v>
      </c>
      <c r="C190" s="4" t="s">
        <v>16</v>
      </c>
      <c r="D190" s="4" t="s">
        <v>68</v>
      </c>
      <c r="E190" s="4" t="s">
        <v>347</v>
      </c>
      <c r="F190" s="4" t="s">
        <v>348</v>
      </c>
      <c r="G190" s="4" t="s">
        <v>39</v>
      </c>
      <c r="H190" s="4" t="n">
        <v>700</v>
      </c>
      <c r="I190" s="4" t="n">
        <v>60</v>
      </c>
      <c r="J190" s="11" t="n">
        <v>352</v>
      </c>
      <c r="K190" s="12" t="n">
        <f aca="false">H190*I190/1000000</f>
        <v>0.042</v>
      </c>
      <c r="L190" s="13" t="n">
        <f aca="false">J190/3600/K190</f>
        <v>2.32804232804233</v>
      </c>
      <c r="M190" s="4" t="str">
        <f aca="false">IF(L190&lt;=Hypothèses!$B$3,"oui","NON")</f>
        <v>oui</v>
      </c>
      <c r="N190" s="14" t="s">
        <v>40</v>
      </c>
      <c r="O190" s="14"/>
    </row>
    <row r="191" customFormat="false" ht="15" hidden="false" customHeight="false" outlineLevel="0" collapsed="false">
      <c r="A191" s="4" t="s">
        <v>352</v>
      </c>
      <c r="B191" s="4" t="s">
        <v>15</v>
      </c>
      <c r="C191" s="4" t="s">
        <v>10</v>
      </c>
      <c r="D191" s="4" t="s">
        <v>36</v>
      </c>
      <c r="E191" s="4" t="s">
        <v>294</v>
      </c>
      <c r="F191" s="4" t="s">
        <v>295</v>
      </c>
      <c r="G191" s="4" t="s">
        <v>39</v>
      </c>
      <c r="H191" s="4" t="n">
        <v>200</v>
      </c>
      <c r="I191" s="4" t="n">
        <v>60</v>
      </c>
      <c r="J191" s="11" t="n">
        <v>50</v>
      </c>
      <c r="K191" s="12" t="n">
        <f aca="false">H191*I191/1000000</f>
        <v>0.012</v>
      </c>
      <c r="L191" s="13" t="n">
        <f aca="false">J191/3600/K191</f>
        <v>1.15740740740741</v>
      </c>
      <c r="M191" s="4" t="str">
        <f aca="false">IF(L191&lt;=Hypothèses!$B$3,"oui","NON")</f>
        <v>oui</v>
      </c>
      <c r="N191" s="14" t="s">
        <v>40</v>
      </c>
      <c r="O191" s="14"/>
    </row>
    <row r="192" customFormat="false" ht="15" hidden="false" customHeight="false" outlineLevel="0" collapsed="false">
      <c r="A192" s="4" t="s">
        <v>353</v>
      </c>
      <c r="B192" s="4" t="s">
        <v>15</v>
      </c>
      <c r="C192" s="4" t="s">
        <v>10</v>
      </c>
      <c r="D192" s="4" t="s">
        <v>36</v>
      </c>
      <c r="E192" s="4" t="s">
        <v>297</v>
      </c>
      <c r="F192" s="4" t="s">
        <v>298</v>
      </c>
      <c r="G192" s="4" t="s">
        <v>39</v>
      </c>
      <c r="H192" s="4" t="n">
        <v>200</v>
      </c>
      <c r="I192" s="4" t="n">
        <v>60</v>
      </c>
      <c r="J192" s="11" t="n">
        <v>90</v>
      </c>
      <c r="K192" s="12" t="n">
        <f aca="false">H192*I192/1000000</f>
        <v>0.012</v>
      </c>
      <c r="L192" s="13" t="n">
        <f aca="false">J192/3600/K192</f>
        <v>2.08333333333333</v>
      </c>
      <c r="M192" s="4" t="str">
        <f aca="false">IF(L192&lt;=Hypothèses!$B$3,"oui","NON")</f>
        <v>oui</v>
      </c>
      <c r="N192" s="15" t="s">
        <v>113</v>
      </c>
      <c r="O192" s="15" t="s">
        <v>279</v>
      </c>
    </row>
    <row r="193" customFormat="false" ht="15" hidden="false" customHeight="false" outlineLevel="0" collapsed="false">
      <c r="A193" s="4" t="s">
        <v>354</v>
      </c>
      <c r="B193" s="4" t="s">
        <v>15</v>
      </c>
      <c r="C193" s="4" t="s">
        <v>10</v>
      </c>
      <c r="D193" s="4" t="s">
        <v>36</v>
      </c>
      <c r="E193" s="4" t="s">
        <v>300</v>
      </c>
      <c r="F193" s="4" t="s">
        <v>301</v>
      </c>
      <c r="G193" s="4" t="s">
        <v>39</v>
      </c>
      <c r="H193" s="4" t="n">
        <v>200</v>
      </c>
      <c r="I193" s="4" t="n">
        <v>60</v>
      </c>
      <c r="J193" s="11" t="n">
        <v>72</v>
      </c>
      <c r="K193" s="12" t="n">
        <f aca="false">H193*I193/1000000</f>
        <v>0.012</v>
      </c>
      <c r="L193" s="13" t="n">
        <f aca="false">J193/3600/K193</f>
        <v>1.66666666666667</v>
      </c>
      <c r="M193" s="4" t="str">
        <f aca="false">IF(L193&lt;=Hypothèses!$B$3,"oui","NON")</f>
        <v>oui</v>
      </c>
      <c r="N193" s="14" t="s">
        <v>40</v>
      </c>
      <c r="O193" s="14"/>
    </row>
    <row r="194" customFormat="false" ht="15" hidden="false" customHeight="false" outlineLevel="0" collapsed="false">
      <c r="A194" s="4" t="s">
        <v>355</v>
      </c>
      <c r="B194" s="4" t="s">
        <v>15</v>
      </c>
      <c r="C194" s="4" t="s">
        <v>10</v>
      </c>
      <c r="D194" s="4" t="s">
        <v>36</v>
      </c>
      <c r="E194" s="4" t="s">
        <v>303</v>
      </c>
      <c r="F194" s="4" t="s">
        <v>304</v>
      </c>
      <c r="G194" s="4" t="s">
        <v>39</v>
      </c>
      <c r="H194" s="4" t="n">
        <v>200</v>
      </c>
      <c r="I194" s="4" t="n">
        <v>60</v>
      </c>
      <c r="J194" s="11" t="n">
        <v>75</v>
      </c>
      <c r="K194" s="12" t="n">
        <f aca="false">H194*I194/1000000</f>
        <v>0.012</v>
      </c>
      <c r="L194" s="13" t="n">
        <f aca="false">J194/3600/K194</f>
        <v>1.73611111111111</v>
      </c>
      <c r="M194" s="4" t="str">
        <f aca="false">IF(L194&lt;=Hypothèses!$B$3,"oui","NON")</f>
        <v>oui</v>
      </c>
      <c r="N194" s="14" t="s">
        <v>40</v>
      </c>
      <c r="O194" s="14"/>
    </row>
    <row r="195" customFormat="false" ht="15" hidden="false" customHeight="false" outlineLevel="0" collapsed="false">
      <c r="A195" s="4" t="s">
        <v>356</v>
      </c>
      <c r="B195" s="4" t="s">
        <v>15</v>
      </c>
      <c r="C195" s="4" t="s">
        <v>10</v>
      </c>
      <c r="D195" s="4" t="s">
        <v>36</v>
      </c>
      <c r="E195" s="4" t="s">
        <v>303</v>
      </c>
      <c r="F195" s="4" t="s">
        <v>307</v>
      </c>
      <c r="G195" s="4" t="s">
        <v>39</v>
      </c>
      <c r="H195" s="4" t="n">
        <v>200</v>
      </c>
      <c r="I195" s="4" t="n">
        <v>60</v>
      </c>
      <c r="J195" s="11" t="n">
        <v>50</v>
      </c>
      <c r="K195" s="12" t="n">
        <f aca="false">H195*I195/1000000</f>
        <v>0.012</v>
      </c>
      <c r="L195" s="13" t="n">
        <f aca="false">J195/3600/K195</f>
        <v>1.15740740740741</v>
      </c>
      <c r="M195" s="4" t="str">
        <f aca="false">IF(L195&lt;=Hypothèses!$B$3,"oui","NON")</f>
        <v>oui</v>
      </c>
      <c r="N195" s="14" t="s">
        <v>40</v>
      </c>
      <c r="O195" s="14"/>
    </row>
    <row r="196" customFormat="false" ht="15" hidden="false" customHeight="false" outlineLevel="0" collapsed="false">
      <c r="A196" s="4" t="s">
        <v>357</v>
      </c>
      <c r="B196" s="4" t="s">
        <v>15</v>
      </c>
      <c r="C196" s="4" t="s">
        <v>10</v>
      </c>
      <c r="D196" s="4" t="s">
        <v>36</v>
      </c>
      <c r="E196" s="4" t="s">
        <v>303</v>
      </c>
      <c r="F196" s="4" t="s">
        <v>309</v>
      </c>
      <c r="G196" s="4" t="s">
        <v>39</v>
      </c>
      <c r="H196" s="4" t="n">
        <v>200</v>
      </c>
      <c r="I196" s="4" t="n">
        <v>60</v>
      </c>
      <c r="J196" s="11" t="n">
        <v>50</v>
      </c>
      <c r="K196" s="12" t="n">
        <f aca="false">H196*I196/1000000</f>
        <v>0.012</v>
      </c>
      <c r="L196" s="13" t="n">
        <f aca="false">J196/3600/K196</f>
        <v>1.15740740740741</v>
      </c>
      <c r="M196" s="4" t="str">
        <f aca="false">IF(L196&lt;=Hypothèses!$B$3,"oui","NON")</f>
        <v>oui</v>
      </c>
      <c r="N196" s="15" t="s">
        <v>113</v>
      </c>
      <c r="O196" s="15" t="s">
        <v>184</v>
      </c>
    </row>
    <row r="197" customFormat="false" ht="15" hidden="false" customHeight="false" outlineLevel="0" collapsed="false">
      <c r="A197" s="4" t="s">
        <v>358</v>
      </c>
      <c r="B197" s="4" t="s">
        <v>15</v>
      </c>
      <c r="C197" s="4" t="s">
        <v>10</v>
      </c>
      <c r="D197" s="4" t="s">
        <v>36</v>
      </c>
      <c r="E197" s="4" t="s">
        <v>303</v>
      </c>
      <c r="F197" s="4" t="s">
        <v>311</v>
      </c>
      <c r="G197" s="4" t="s">
        <v>39</v>
      </c>
      <c r="H197" s="4" t="n">
        <v>200</v>
      </c>
      <c r="I197" s="4" t="n">
        <v>60</v>
      </c>
      <c r="J197" s="11" t="n">
        <v>75</v>
      </c>
      <c r="K197" s="12" t="n">
        <f aca="false">H197*I197/1000000</f>
        <v>0.012</v>
      </c>
      <c r="L197" s="13" t="n">
        <f aca="false">J197/3600/K197</f>
        <v>1.73611111111111</v>
      </c>
      <c r="M197" s="4" t="str">
        <f aca="false">IF(L197&lt;=Hypothèses!$B$3,"oui","NON")</f>
        <v>oui</v>
      </c>
      <c r="N197" s="14" t="s">
        <v>40</v>
      </c>
      <c r="O197" s="14"/>
    </row>
    <row r="198" customFormat="false" ht="15" hidden="false" customHeight="false" outlineLevel="0" collapsed="false">
      <c r="A198" s="4" t="s">
        <v>359</v>
      </c>
      <c r="B198" s="4" t="s">
        <v>15</v>
      </c>
      <c r="C198" s="4" t="s">
        <v>10</v>
      </c>
      <c r="D198" s="4" t="s">
        <v>36</v>
      </c>
      <c r="E198" s="4" t="s">
        <v>360</v>
      </c>
      <c r="F198" s="4" t="s">
        <v>361</v>
      </c>
      <c r="G198" s="4" t="s">
        <v>39</v>
      </c>
      <c r="H198" s="4" t="n">
        <v>250</v>
      </c>
      <c r="I198" s="4" t="n">
        <v>60</v>
      </c>
      <c r="J198" s="11" t="n">
        <v>126</v>
      </c>
      <c r="K198" s="12" t="n">
        <f aca="false">H198*I198/1000000</f>
        <v>0.015</v>
      </c>
      <c r="L198" s="13" t="n">
        <f aca="false">J198/3600/K198</f>
        <v>2.33333333333333</v>
      </c>
      <c r="M198" s="4" t="str">
        <f aca="false">IF(L198&lt;=Hypothèses!$B$3,"oui","NON")</f>
        <v>oui</v>
      </c>
      <c r="N198" s="14" t="s">
        <v>40</v>
      </c>
      <c r="O198" s="14"/>
    </row>
    <row r="199" customFormat="false" ht="15" hidden="false" customHeight="false" outlineLevel="0" collapsed="false">
      <c r="A199" s="4" t="s">
        <v>362</v>
      </c>
      <c r="B199" s="4" t="s">
        <v>15</v>
      </c>
      <c r="C199" s="4" t="s">
        <v>10</v>
      </c>
      <c r="D199" s="4" t="s">
        <v>36</v>
      </c>
      <c r="E199" s="4" t="s">
        <v>303</v>
      </c>
      <c r="F199" s="4" t="s">
        <v>313</v>
      </c>
      <c r="G199" s="4" t="s">
        <v>39</v>
      </c>
      <c r="H199" s="4" t="n">
        <v>200</v>
      </c>
      <c r="I199" s="4" t="n">
        <v>60</v>
      </c>
      <c r="J199" s="11" t="n">
        <v>108</v>
      </c>
      <c r="K199" s="12" t="n">
        <f aca="false">H199*I199/1000000</f>
        <v>0.012</v>
      </c>
      <c r="L199" s="13" t="n">
        <f aca="false">J199/3600/K199</f>
        <v>2.5</v>
      </c>
      <c r="M199" s="4" t="str">
        <f aca="false">IF(L199&lt;=Hypothèses!$B$3,"oui","NON")</f>
        <v>oui</v>
      </c>
      <c r="N199" s="14" t="s">
        <v>40</v>
      </c>
      <c r="O199" s="14"/>
    </row>
    <row r="200" customFormat="false" ht="15" hidden="false" customHeight="false" outlineLevel="0" collapsed="false">
      <c r="A200" s="4" t="s">
        <v>363</v>
      </c>
      <c r="B200" s="4" t="s">
        <v>15</v>
      </c>
      <c r="C200" s="4" t="s">
        <v>10</v>
      </c>
      <c r="D200" s="4" t="s">
        <v>36</v>
      </c>
      <c r="E200" s="4" t="s">
        <v>315</v>
      </c>
      <c r="F200" s="4" t="s">
        <v>316</v>
      </c>
      <c r="G200" s="4" t="s">
        <v>39</v>
      </c>
      <c r="H200" s="4" t="n">
        <v>450</v>
      </c>
      <c r="I200" s="4" t="n">
        <v>60</v>
      </c>
      <c r="J200" s="11" t="n">
        <v>234</v>
      </c>
      <c r="K200" s="12" t="n">
        <f aca="false">H200*I200/1000000</f>
        <v>0.027</v>
      </c>
      <c r="L200" s="13" t="n">
        <f aca="false">J200/3600/K200</f>
        <v>2.40740740740741</v>
      </c>
      <c r="M200" s="4" t="str">
        <f aca="false">IF(L200&lt;=Hypothèses!$B$3,"oui","NON")</f>
        <v>oui</v>
      </c>
      <c r="N200" s="15" t="s">
        <v>113</v>
      </c>
      <c r="O200" s="15" t="s">
        <v>184</v>
      </c>
    </row>
    <row r="201" customFormat="false" ht="15" hidden="false" customHeight="false" outlineLevel="0" collapsed="false">
      <c r="A201" s="4" t="s">
        <v>364</v>
      </c>
      <c r="B201" s="4" t="s">
        <v>15</v>
      </c>
      <c r="C201" s="4" t="s">
        <v>10</v>
      </c>
      <c r="D201" s="4" t="s">
        <v>36</v>
      </c>
      <c r="E201" s="4" t="s">
        <v>318</v>
      </c>
      <c r="F201" s="4" t="s">
        <v>319</v>
      </c>
      <c r="G201" s="4" t="s">
        <v>39</v>
      </c>
      <c r="H201" s="4" t="n">
        <v>200</v>
      </c>
      <c r="I201" s="4" t="n">
        <v>60</v>
      </c>
      <c r="J201" s="11" t="n">
        <v>50</v>
      </c>
      <c r="K201" s="12" t="n">
        <f aca="false">H201*I201/1000000</f>
        <v>0.012</v>
      </c>
      <c r="L201" s="13" t="n">
        <f aca="false">J201/3600/K201</f>
        <v>1.15740740740741</v>
      </c>
      <c r="M201" s="4" t="str">
        <f aca="false">IF(L201&lt;=Hypothèses!$B$3,"oui","NON")</f>
        <v>oui</v>
      </c>
      <c r="N201" s="14" t="s">
        <v>40</v>
      </c>
      <c r="O201" s="14"/>
    </row>
    <row r="202" customFormat="false" ht="15" hidden="false" customHeight="false" outlineLevel="0" collapsed="false">
      <c r="A202" s="4" t="s">
        <v>365</v>
      </c>
      <c r="B202" s="4" t="s">
        <v>15</v>
      </c>
      <c r="C202" s="4" t="s">
        <v>10</v>
      </c>
      <c r="D202" s="4" t="s">
        <v>36</v>
      </c>
      <c r="E202" s="4" t="s">
        <v>294</v>
      </c>
      <c r="F202" s="4" t="s">
        <v>321</v>
      </c>
      <c r="G202" s="4" t="s">
        <v>39</v>
      </c>
      <c r="H202" s="4" t="n">
        <v>200</v>
      </c>
      <c r="I202" s="4" t="n">
        <v>60</v>
      </c>
      <c r="J202" s="11" t="n">
        <v>75</v>
      </c>
      <c r="K202" s="12" t="n">
        <f aca="false">H202*I202/1000000</f>
        <v>0.012</v>
      </c>
      <c r="L202" s="13" t="n">
        <f aca="false">J202/3600/K202</f>
        <v>1.73611111111111</v>
      </c>
      <c r="M202" s="4" t="str">
        <f aca="false">IF(L202&lt;=Hypothèses!$B$3,"oui","NON")</f>
        <v>oui</v>
      </c>
      <c r="N202" s="14" t="s">
        <v>40</v>
      </c>
      <c r="O202" s="14"/>
    </row>
    <row r="203" customFormat="false" ht="15" hidden="false" customHeight="false" outlineLevel="0" collapsed="false">
      <c r="A203" s="4" t="s">
        <v>366</v>
      </c>
      <c r="B203" s="4" t="s">
        <v>15</v>
      </c>
      <c r="C203" s="4" t="s">
        <v>10</v>
      </c>
      <c r="D203" s="4" t="s">
        <v>36</v>
      </c>
      <c r="E203" s="4" t="s">
        <v>323</v>
      </c>
      <c r="F203" s="4" t="s">
        <v>324</v>
      </c>
      <c r="G203" s="4" t="s">
        <v>39</v>
      </c>
      <c r="H203" s="4" t="n">
        <v>200</v>
      </c>
      <c r="I203" s="4" t="n">
        <v>60</v>
      </c>
      <c r="J203" s="11" t="n">
        <v>75</v>
      </c>
      <c r="K203" s="12" t="n">
        <f aca="false">H203*I203/1000000</f>
        <v>0.012</v>
      </c>
      <c r="L203" s="13" t="n">
        <f aca="false">J203/3600/K203</f>
        <v>1.73611111111111</v>
      </c>
      <c r="M203" s="4" t="str">
        <f aca="false">IF(L203&lt;=Hypothèses!$B$3,"oui","NON")</f>
        <v>oui</v>
      </c>
      <c r="N203" s="14" t="s">
        <v>40</v>
      </c>
      <c r="O203" s="14"/>
    </row>
    <row r="204" customFormat="false" ht="15" hidden="false" customHeight="false" outlineLevel="0" collapsed="false">
      <c r="A204" s="4" t="s">
        <v>367</v>
      </c>
      <c r="B204" s="4" t="s">
        <v>15</v>
      </c>
      <c r="C204" s="4" t="s">
        <v>10</v>
      </c>
      <c r="D204" s="4" t="s">
        <v>36</v>
      </c>
      <c r="E204" s="4" t="s">
        <v>326</v>
      </c>
      <c r="F204" s="4" t="s">
        <v>327</v>
      </c>
      <c r="G204" s="4" t="s">
        <v>39</v>
      </c>
      <c r="H204" s="4" t="n">
        <v>450</v>
      </c>
      <c r="I204" s="4" t="n">
        <v>60</v>
      </c>
      <c r="J204" s="11" t="n">
        <v>234</v>
      </c>
      <c r="K204" s="12" t="n">
        <f aca="false">H204*I204/1000000</f>
        <v>0.027</v>
      </c>
      <c r="L204" s="13" t="n">
        <f aca="false">J204/3600/K204</f>
        <v>2.40740740740741</v>
      </c>
      <c r="M204" s="4" t="str">
        <f aca="false">IF(L204&lt;=Hypothèses!$B$3,"oui","NON")</f>
        <v>oui</v>
      </c>
      <c r="N204" s="14" t="s">
        <v>40</v>
      </c>
      <c r="O204" s="14"/>
    </row>
    <row r="205" customFormat="false" ht="15" hidden="false" customHeight="false" outlineLevel="0" collapsed="false">
      <c r="A205" s="4" t="s">
        <v>368</v>
      </c>
      <c r="B205" s="4" t="s">
        <v>15</v>
      </c>
      <c r="C205" s="4" t="s">
        <v>10</v>
      </c>
      <c r="D205" s="4" t="s">
        <v>36</v>
      </c>
      <c r="E205" s="4" t="s">
        <v>329</v>
      </c>
      <c r="F205" s="4" t="s">
        <v>330</v>
      </c>
      <c r="G205" s="4" t="s">
        <v>39</v>
      </c>
      <c r="H205" s="4" t="n">
        <v>700</v>
      </c>
      <c r="I205" s="4" t="n">
        <v>60</v>
      </c>
      <c r="J205" s="11" t="n">
        <v>355</v>
      </c>
      <c r="K205" s="12" t="n">
        <f aca="false">H205*I205/1000000</f>
        <v>0.042</v>
      </c>
      <c r="L205" s="13" t="n">
        <f aca="false">J205/3600/K205</f>
        <v>2.3478835978836</v>
      </c>
      <c r="M205" s="4" t="str">
        <f aca="false">IF(L205&lt;=Hypothèses!$B$3,"oui","NON")</f>
        <v>oui</v>
      </c>
      <c r="N205" s="14" t="s">
        <v>40</v>
      </c>
      <c r="O205" s="14"/>
    </row>
    <row r="206" customFormat="false" ht="15" hidden="false" customHeight="false" outlineLevel="0" collapsed="false">
      <c r="A206" s="4" t="s">
        <v>369</v>
      </c>
      <c r="B206" s="4" t="s">
        <v>15</v>
      </c>
      <c r="C206" s="4" t="s">
        <v>10</v>
      </c>
      <c r="D206" s="4" t="s">
        <v>36</v>
      </c>
      <c r="E206" s="4" t="s">
        <v>329</v>
      </c>
      <c r="F206" s="4" t="s">
        <v>330</v>
      </c>
      <c r="G206" s="4" t="s">
        <v>39</v>
      </c>
      <c r="H206" s="4" t="n">
        <v>700</v>
      </c>
      <c r="I206" s="4" t="n">
        <v>60</v>
      </c>
      <c r="J206" s="11" t="n">
        <v>355</v>
      </c>
      <c r="K206" s="12" t="n">
        <f aca="false">H206*I206/1000000</f>
        <v>0.042</v>
      </c>
      <c r="L206" s="13" t="n">
        <f aca="false">J206/3600/K206</f>
        <v>2.3478835978836</v>
      </c>
      <c r="M206" s="4" t="str">
        <f aca="false">IF(L206&lt;=Hypothèses!$B$3,"oui","NON")</f>
        <v>oui</v>
      </c>
      <c r="N206" s="14" t="s">
        <v>40</v>
      </c>
      <c r="O206" s="14"/>
    </row>
    <row r="207" customFormat="false" ht="15" hidden="false" customHeight="false" outlineLevel="0" collapsed="false">
      <c r="A207" s="4" t="s">
        <v>370</v>
      </c>
      <c r="B207" s="4" t="s">
        <v>15</v>
      </c>
      <c r="C207" s="4" t="s">
        <v>10</v>
      </c>
      <c r="D207" s="4" t="s">
        <v>36</v>
      </c>
      <c r="E207" s="4" t="s">
        <v>329</v>
      </c>
      <c r="F207" s="4" t="s">
        <v>330</v>
      </c>
      <c r="G207" s="4" t="s">
        <v>39</v>
      </c>
      <c r="H207" s="4" t="n">
        <v>700</v>
      </c>
      <c r="I207" s="4" t="n">
        <v>60</v>
      </c>
      <c r="J207" s="11" t="n">
        <v>355</v>
      </c>
      <c r="K207" s="12" t="n">
        <f aca="false">H207*I207/1000000</f>
        <v>0.042</v>
      </c>
      <c r="L207" s="13" t="n">
        <f aca="false">J207/3600/K207</f>
        <v>2.3478835978836</v>
      </c>
      <c r="M207" s="4" t="str">
        <f aca="false">IF(L207&lt;=Hypothèses!$B$3,"oui","NON")</f>
        <v>oui</v>
      </c>
      <c r="N207" s="14" t="s">
        <v>40</v>
      </c>
      <c r="O207" s="14"/>
    </row>
    <row r="208" customFormat="false" ht="15" hidden="false" customHeight="false" outlineLevel="0" collapsed="false">
      <c r="A208" s="4" t="s">
        <v>371</v>
      </c>
      <c r="B208" s="4" t="s">
        <v>15</v>
      </c>
      <c r="C208" s="4" t="s">
        <v>10</v>
      </c>
      <c r="D208" s="4" t="s">
        <v>36</v>
      </c>
      <c r="E208" s="4" t="s">
        <v>329</v>
      </c>
      <c r="F208" s="4" t="s">
        <v>330</v>
      </c>
      <c r="G208" s="4" t="s">
        <v>39</v>
      </c>
      <c r="H208" s="4" t="n">
        <v>700</v>
      </c>
      <c r="I208" s="4" t="n">
        <v>60</v>
      </c>
      <c r="J208" s="11" t="n">
        <v>355</v>
      </c>
      <c r="K208" s="12" t="n">
        <f aca="false">H208*I208/1000000</f>
        <v>0.042</v>
      </c>
      <c r="L208" s="13" t="n">
        <f aca="false">J208/3600/K208</f>
        <v>2.3478835978836</v>
      </c>
      <c r="M208" s="4" t="str">
        <f aca="false">IF(L208&lt;=Hypothèses!$B$3,"oui","NON")</f>
        <v>oui</v>
      </c>
      <c r="N208" s="14" t="s">
        <v>40</v>
      </c>
      <c r="O208" s="14"/>
    </row>
    <row r="209" customFormat="false" ht="15" hidden="false" customHeight="false" outlineLevel="0" collapsed="false">
      <c r="A209" s="4" t="s">
        <v>372</v>
      </c>
      <c r="B209" s="4" t="s">
        <v>15</v>
      </c>
      <c r="C209" s="4" t="s">
        <v>10</v>
      </c>
      <c r="D209" s="4" t="s">
        <v>36</v>
      </c>
      <c r="E209" s="4" t="s">
        <v>329</v>
      </c>
      <c r="F209" s="4" t="s">
        <v>330</v>
      </c>
      <c r="G209" s="4" t="s">
        <v>39</v>
      </c>
      <c r="H209" s="4" t="n">
        <v>700</v>
      </c>
      <c r="I209" s="4" t="n">
        <v>60</v>
      </c>
      <c r="J209" s="11" t="n">
        <v>355</v>
      </c>
      <c r="K209" s="12" t="n">
        <f aca="false">H209*I209/1000000</f>
        <v>0.042</v>
      </c>
      <c r="L209" s="13" t="n">
        <f aca="false">J209/3600/K209</f>
        <v>2.3478835978836</v>
      </c>
      <c r="M209" s="4" t="str">
        <f aca="false">IF(L209&lt;=Hypothèses!$B$3,"oui","NON")</f>
        <v>oui</v>
      </c>
      <c r="N209" s="14" t="s">
        <v>40</v>
      </c>
      <c r="O209" s="14"/>
    </row>
    <row r="210" customFormat="false" ht="15" hidden="false" customHeight="false" outlineLevel="0" collapsed="false">
      <c r="A210" s="4" t="s">
        <v>373</v>
      </c>
      <c r="B210" s="4" t="s">
        <v>15</v>
      </c>
      <c r="C210" s="4" t="s">
        <v>10</v>
      </c>
      <c r="D210" s="4" t="s">
        <v>36</v>
      </c>
      <c r="E210" s="4" t="s">
        <v>329</v>
      </c>
      <c r="F210" s="4" t="s">
        <v>330</v>
      </c>
      <c r="G210" s="4" t="s">
        <v>39</v>
      </c>
      <c r="H210" s="4" t="n">
        <v>700</v>
      </c>
      <c r="I210" s="4" t="n">
        <v>60</v>
      </c>
      <c r="J210" s="11" t="n">
        <v>355</v>
      </c>
      <c r="K210" s="12" t="n">
        <f aca="false">H210*I210/1000000</f>
        <v>0.042</v>
      </c>
      <c r="L210" s="13" t="n">
        <f aca="false">J210/3600/K210</f>
        <v>2.3478835978836</v>
      </c>
      <c r="M210" s="4" t="str">
        <f aca="false">IF(L210&lt;=Hypothèses!$B$3,"oui","NON")</f>
        <v>oui</v>
      </c>
      <c r="N210" s="15" t="s">
        <v>113</v>
      </c>
      <c r="O210" s="15" t="s">
        <v>279</v>
      </c>
    </row>
    <row r="211" customFormat="false" ht="15" hidden="false" customHeight="false" outlineLevel="0" collapsed="false">
      <c r="A211" s="4" t="s">
        <v>374</v>
      </c>
      <c r="B211" s="4" t="s">
        <v>15</v>
      </c>
      <c r="C211" s="4" t="s">
        <v>10</v>
      </c>
      <c r="D211" s="4" t="s">
        <v>36</v>
      </c>
      <c r="E211" s="4" t="s">
        <v>329</v>
      </c>
      <c r="F211" s="4" t="s">
        <v>330</v>
      </c>
      <c r="G211" s="4" t="s">
        <v>39</v>
      </c>
      <c r="H211" s="4" t="n">
        <v>700</v>
      </c>
      <c r="I211" s="4" t="n">
        <v>60</v>
      </c>
      <c r="J211" s="11" t="n">
        <v>355</v>
      </c>
      <c r="K211" s="12" t="n">
        <f aca="false">H211*I211/1000000</f>
        <v>0.042</v>
      </c>
      <c r="L211" s="13" t="n">
        <f aca="false">J211/3600/K211</f>
        <v>2.3478835978836</v>
      </c>
      <c r="M211" s="4" t="str">
        <f aca="false">IF(L211&lt;=Hypothèses!$B$3,"oui","NON")</f>
        <v>oui</v>
      </c>
      <c r="N211" s="15" t="s">
        <v>113</v>
      </c>
      <c r="O211" s="15" t="s">
        <v>279</v>
      </c>
    </row>
    <row r="212" customFormat="false" ht="15" hidden="false" customHeight="false" outlineLevel="0" collapsed="false">
      <c r="A212" s="4" t="s">
        <v>375</v>
      </c>
      <c r="B212" s="4" t="s">
        <v>15</v>
      </c>
      <c r="C212" s="4" t="s">
        <v>10</v>
      </c>
      <c r="D212" s="4" t="s">
        <v>36</v>
      </c>
      <c r="E212" s="4" t="s">
        <v>338</v>
      </c>
      <c r="F212" s="4" t="s">
        <v>339</v>
      </c>
      <c r="G212" s="4" t="s">
        <v>39</v>
      </c>
      <c r="H212" s="4" t="n">
        <v>200</v>
      </c>
      <c r="I212" s="4" t="n">
        <v>60</v>
      </c>
      <c r="J212" s="11" t="n">
        <v>75</v>
      </c>
      <c r="K212" s="12" t="n">
        <f aca="false">H212*I212/1000000</f>
        <v>0.012</v>
      </c>
      <c r="L212" s="13" t="n">
        <f aca="false">J212/3600/K212</f>
        <v>1.73611111111111</v>
      </c>
      <c r="M212" s="4" t="str">
        <f aca="false">IF(L212&lt;=Hypothèses!$B$3,"oui","NON")</f>
        <v>oui</v>
      </c>
      <c r="N212" s="14" t="s">
        <v>40</v>
      </c>
      <c r="O212" s="14"/>
    </row>
    <row r="213" customFormat="false" ht="15" hidden="false" customHeight="false" outlineLevel="0" collapsed="false">
      <c r="A213" s="4" t="s">
        <v>376</v>
      </c>
      <c r="B213" s="4" t="s">
        <v>15</v>
      </c>
      <c r="C213" s="4" t="s">
        <v>10</v>
      </c>
      <c r="D213" s="4" t="s">
        <v>36</v>
      </c>
      <c r="E213" s="4" t="s">
        <v>341</v>
      </c>
      <c r="F213" s="4" t="s">
        <v>342</v>
      </c>
      <c r="G213" s="4" t="s">
        <v>39</v>
      </c>
      <c r="H213" s="4" t="n">
        <v>200</v>
      </c>
      <c r="I213" s="4" t="n">
        <v>60</v>
      </c>
      <c r="J213" s="11" t="n">
        <v>100</v>
      </c>
      <c r="K213" s="12" t="n">
        <f aca="false">H213*I213/1000000</f>
        <v>0.012</v>
      </c>
      <c r="L213" s="13" t="n">
        <f aca="false">J213/3600/K213</f>
        <v>2.31481481481481</v>
      </c>
      <c r="M213" s="4" t="str">
        <f aca="false">IF(L213&lt;=Hypothèses!$B$3,"oui","NON")</f>
        <v>oui</v>
      </c>
      <c r="N213" s="14" t="s">
        <v>40</v>
      </c>
      <c r="O213" s="14"/>
    </row>
    <row r="214" customFormat="false" ht="15" hidden="false" customHeight="false" outlineLevel="0" collapsed="false">
      <c r="A214" s="4" t="s">
        <v>377</v>
      </c>
      <c r="B214" s="4" t="s">
        <v>15</v>
      </c>
      <c r="C214" s="4" t="s">
        <v>10</v>
      </c>
      <c r="D214" s="4" t="s">
        <v>68</v>
      </c>
      <c r="E214" s="4" t="s">
        <v>344</v>
      </c>
      <c r="F214" s="4" t="s">
        <v>345</v>
      </c>
      <c r="G214" s="4" t="s">
        <v>39</v>
      </c>
      <c r="H214" s="4" t="n">
        <v>200</v>
      </c>
      <c r="I214" s="4" t="n">
        <v>60</v>
      </c>
      <c r="J214" s="11" t="n">
        <v>25</v>
      </c>
      <c r="K214" s="12" t="n">
        <f aca="false">H214*I214/1000000</f>
        <v>0.012</v>
      </c>
      <c r="L214" s="13" t="n">
        <f aca="false">J214/3600/K214</f>
        <v>0.578703703703704</v>
      </c>
      <c r="M214" s="4" t="str">
        <f aca="false">IF(L214&lt;=Hypothèses!$B$3,"oui","NON")</f>
        <v>oui</v>
      </c>
      <c r="N214" s="14" t="s">
        <v>40</v>
      </c>
      <c r="O214" s="14"/>
    </row>
    <row r="215" customFormat="false" ht="15" hidden="false" customHeight="false" outlineLevel="0" collapsed="false">
      <c r="A215" s="4" t="s">
        <v>378</v>
      </c>
      <c r="B215" s="4" t="s">
        <v>15</v>
      </c>
      <c r="C215" s="4" t="s">
        <v>10</v>
      </c>
      <c r="D215" s="4" t="s">
        <v>68</v>
      </c>
      <c r="E215" s="4" t="s">
        <v>379</v>
      </c>
      <c r="F215" s="4" t="s">
        <v>330</v>
      </c>
      <c r="G215" s="4" t="s">
        <v>39</v>
      </c>
      <c r="H215" s="4" t="n">
        <v>450</v>
      </c>
      <c r="I215" s="4" t="n">
        <v>60</v>
      </c>
      <c r="J215" s="11" t="n">
        <v>220</v>
      </c>
      <c r="K215" s="12" t="n">
        <f aca="false">H215*I215/1000000</f>
        <v>0.027</v>
      </c>
      <c r="L215" s="13" t="n">
        <f aca="false">J215/3600/K215</f>
        <v>2.26337448559671</v>
      </c>
      <c r="M215" s="4" t="str">
        <f aca="false">IF(L215&lt;=Hypothèses!$B$3,"oui","NON")</f>
        <v>oui</v>
      </c>
      <c r="N215" s="14" t="s">
        <v>40</v>
      </c>
      <c r="O215" s="14"/>
    </row>
    <row r="216" customFormat="false" ht="15" hidden="false" customHeight="false" outlineLevel="0" collapsed="false">
      <c r="A216" s="4" t="s">
        <v>380</v>
      </c>
      <c r="B216" s="4" t="s">
        <v>15</v>
      </c>
      <c r="C216" s="4" t="s">
        <v>10</v>
      </c>
      <c r="D216" s="4" t="s">
        <v>68</v>
      </c>
      <c r="E216" s="4" t="s">
        <v>379</v>
      </c>
      <c r="F216" s="4" t="s">
        <v>330</v>
      </c>
      <c r="G216" s="4" t="s">
        <v>39</v>
      </c>
      <c r="H216" s="4" t="n">
        <v>450</v>
      </c>
      <c r="I216" s="4" t="n">
        <v>60</v>
      </c>
      <c r="J216" s="11" t="n">
        <v>220</v>
      </c>
      <c r="K216" s="12" t="n">
        <f aca="false">H216*I216/1000000</f>
        <v>0.027</v>
      </c>
      <c r="L216" s="13" t="n">
        <f aca="false">J216/3600/K216</f>
        <v>2.26337448559671</v>
      </c>
      <c r="M216" s="4" t="str">
        <f aca="false">IF(L216&lt;=Hypothèses!$B$3,"oui","NON")</f>
        <v>oui</v>
      </c>
      <c r="N216" s="14" t="s">
        <v>40</v>
      </c>
      <c r="O216" s="14"/>
    </row>
    <row r="217" customFormat="false" ht="15" hidden="false" customHeight="false" outlineLevel="0" collapsed="false">
      <c r="A217" s="4" t="s">
        <v>381</v>
      </c>
      <c r="B217" s="4" t="s">
        <v>15</v>
      </c>
      <c r="C217" s="4" t="s">
        <v>10</v>
      </c>
      <c r="D217" s="4" t="s">
        <v>68</v>
      </c>
      <c r="E217" s="4" t="s">
        <v>347</v>
      </c>
      <c r="F217" s="4" t="s">
        <v>348</v>
      </c>
      <c r="G217" s="4" t="s">
        <v>39</v>
      </c>
      <c r="H217" s="4" t="n">
        <v>700</v>
      </c>
      <c r="I217" s="4" t="n">
        <v>60</v>
      </c>
      <c r="J217" s="11" t="n">
        <v>363</v>
      </c>
      <c r="K217" s="12" t="n">
        <f aca="false">H217*I217/1000000</f>
        <v>0.042</v>
      </c>
      <c r="L217" s="13" t="n">
        <f aca="false">J217/3600/K217</f>
        <v>2.40079365079365</v>
      </c>
      <c r="M217" s="4" t="str">
        <f aca="false">IF(L217&lt;=Hypothèses!$B$3,"oui","NON")</f>
        <v>oui</v>
      </c>
      <c r="N217" s="15" t="s">
        <v>113</v>
      </c>
      <c r="O217" s="15" t="s">
        <v>279</v>
      </c>
    </row>
    <row r="218" customFormat="false" ht="15" hidden="false" customHeight="false" outlineLevel="0" collapsed="false">
      <c r="A218" s="4" t="s">
        <v>382</v>
      </c>
      <c r="B218" s="4" t="s">
        <v>15</v>
      </c>
      <c r="C218" s="4" t="s">
        <v>10</v>
      </c>
      <c r="D218" s="4" t="s">
        <v>68</v>
      </c>
      <c r="E218" s="4" t="s">
        <v>347</v>
      </c>
      <c r="F218" s="4" t="s">
        <v>348</v>
      </c>
      <c r="G218" s="4" t="s">
        <v>39</v>
      </c>
      <c r="H218" s="4" t="n">
        <v>700</v>
      </c>
      <c r="I218" s="4" t="n">
        <v>60</v>
      </c>
      <c r="J218" s="11" t="n">
        <v>363</v>
      </c>
      <c r="K218" s="12" t="n">
        <f aca="false">H218*I218/1000000</f>
        <v>0.042</v>
      </c>
      <c r="L218" s="13" t="n">
        <f aca="false">J218/3600/K218</f>
        <v>2.40079365079365</v>
      </c>
      <c r="M218" s="4" t="str">
        <f aca="false">IF(L218&lt;=Hypothèses!$B$3,"oui","NON")</f>
        <v>oui</v>
      </c>
      <c r="N218" s="15" t="s">
        <v>113</v>
      </c>
      <c r="O218" s="15" t="s">
        <v>279</v>
      </c>
    </row>
    <row r="219" customFormat="false" ht="15" hidden="false" customHeight="false" outlineLevel="0" collapsed="false">
      <c r="A219" s="4" t="s">
        <v>383</v>
      </c>
      <c r="B219" s="4" t="s">
        <v>15</v>
      </c>
      <c r="C219" s="4" t="s">
        <v>10</v>
      </c>
      <c r="D219" s="4" t="s">
        <v>68</v>
      </c>
      <c r="E219" s="4" t="s">
        <v>347</v>
      </c>
      <c r="F219" s="4" t="s">
        <v>348</v>
      </c>
      <c r="G219" s="4" t="s">
        <v>39</v>
      </c>
      <c r="H219" s="4" t="n">
        <v>700</v>
      </c>
      <c r="I219" s="4" t="n">
        <v>60</v>
      </c>
      <c r="J219" s="11" t="n">
        <v>352</v>
      </c>
      <c r="K219" s="12" t="n">
        <f aca="false">H219*I219/1000000</f>
        <v>0.042</v>
      </c>
      <c r="L219" s="13" t="n">
        <f aca="false">J219/3600/K219</f>
        <v>2.32804232804233</v>
      </c>
      <c r="M219" s="4" t="str">
        <f aca="false">IF(L219&lt;=Hypothèses!$B$3,"oui","NON")</f>
        <v>oui</v>
      </c>
      <c r="N219" s="15" t="s">
        <v>113</v>
      </c>
      <c r="O219" s="15" t="s">
        <v>279</v>
      </c>
    </row>
  </sheetData>
  <autoFilter ref="A1:O21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3" min="3" style="0" width="90"/>
  </cols>
  <sheetData>
    <row r="1" customFormat="false" ht="15" hidden="false" customHeight="false" outlineLevel="0" collapsed="false">
      <c r="A1" s="1" t="s">
        <v>384</v>
      </c>
    </row>
    <row r="3" customFormat="false" ht="15" hidden="false" customHeight="false" outlineLevel="0" collapsed="false">
      <c r="A3" s="9" t="s">
        <v>385</v>
      </c>
      <c r="B3" s="16" t="n">
        <v>2.5</v>
      </c>
      <c r="C3" s="2" t="s">
        <v>386</v>
      </c>
    </row>
    <row r="4" customFormat="false" ht="15" hidden="false" customHeight="false" outlineLevel="0" collapsed="false">
      <c r="A4" s="9" t="s">
        <v>387</v>
      </c>
      <c r="B4" s="16" t="n">
        <v>60</v>
      </c>
      <c r="C4" s="2" t="s">
        <v>388</v>
      </c>
    </row>
    <row r="5" customFormat="false" ht="15" hidden="false" customHeight="false" outlineLevel="0" collapsed="false">
      <c r="A5" s="9" t="s">
        <v>389</v>
      </c>
      <c r="B5" s="16" t="n">
        <v>400</v>
      </c>
      <c r="C5" s="2" t="s">
        <v>390</v>
      </c>
    </row>
    <row r="6" customFormat="false" ht="15" hidden="false" customHeight="false" outlineLevel="0" collapsed="false">
      <c r="A6" s="9" t="s">
        <v>391</v>
      </c>
      <c r="B6" s="16" t="n">
        <v>25</v>
      </c>
      <c r="C6" s="2" t="s">
        <v>392</v>
      </c>
    </row>
    <row r="9" customFormat="false" ht="30" hidden="false" customHeight="true" outlineLevel="0" collapsed="false">
      <c r="A9" s="17" t="s">
        <v>393</v>
      </c>
      <c r="B9" s="17"/>
      <c r="C9" s="17"/>
    </row>
    <row r="10" customFormat="false" ht="30" hidden="false" customHeight="true" outlineLevel="0" collapsed="false">
      <c r="A10" s="17" t="s">
        <v>394</v>
      </c>
      <c r="B10" s="17"/>
      <c r="C10" s="17"/>
    </row>
    <row r="11" customFormat="false" ht="30" hidden="false" customHeight="true" outlineLevel="0" collapsed="false">
      <c r="A11" s="17" t="s">
        <v>395</v>
      </c>
      <c r="B11" s="17"/>
      <c r="C11" s="17"/>
    </row>
    <row r="12" customFormat="false" ht="30" hidden="false" customHeight="true" outlineLevel="0" collapsed="false">
      <c r="A12" s="17" t="s">
        <v>396</v>
      </c>
      <c r="B12" s="17"/>
      <c r="C12" s="17"/>
    </row>
    <row r="13" customFormat="false" ht="30" hidden="false" customHeight="true" outlineLevel="0" collapsed="false">
      <c r="A13" s="17" t="s">
        <v>397</v>
      </c>
      <c r="B13" s="17"/>
      <c r="C13" s="17"/>
    </row>
  </sheetData>
  <mergeCells count="5">
    <mergeCell ref="A9:C9"/>
    <mergeCell ref="A10:C10"/>
    <mergeCell ref="A11:C11"/>
    <mergeCell ref="A12:C12"/>
    <mergeCell ref="A13:C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5" min="5" style="0" width="30"/>
    <col collapsed="false" customWidth="true" hidden="false" outlineLevel="0" max="6" min="6" style="0" width="11"/>
    <col collapsed="false" customWidth="true" hidden="false" outlineLevel="0" max="7" min="7" style="0" width="90"/>
  </cols>
  <sheetData>
    <row r="1" customFormat="false" ht="15" hidden="false" customHeight="false" outlineLevel="0" collapsed="false">
      <c r="A1" s="18" t="s">
        <v>2</v>
      </c>
      <c r="B1" s="18" t="s">
        <v>3</v>
      </c>
      <c r="C1" s="18" t="s">
        <v>23</v>
      </c>
      <c r="D1" s="18" t="s">
        <v>24</v>
      </c>
      <c r="E1" s="18" t="s">
        <v>25</v>
      </c>
      <c r="F1" s="18" t="s">
        <v>29</v>
      </c>
      <c r="G1" s="18" t="s">
        <v>398</v>
      </c>
    </row>
    <row r="2" customFormat="false" ht="15" hidden="false" customHeight="false" outlineLevel="0" collapsed="false">
      <c r="A2" s="4" t="s">
        <v>15</v>
      </c>
      <c r="B2" s="4" t="s">
        <v>16</v>
      </c>
      <c r="C2" s="4" t="s">
        <v>36</v>
      </c>
      <c r="D2" s="4" t="s">
        <v>360</v>
      </c>
      <c r="E2" s="4" t="s">
        <v>361</v>
      </c>
      <c r="F2" s="4" t="n">
        <v>126</v>
      </c>
      <c r="G2" s="4" t="s">
        <v>399</v>
      </c>
    </row>
    <row r="3" customFormat="false" ht="15" hidden="false" customHeight="false" outlineLevel="0" collapsed="false">
      <c r="A3" s="4" t="s">
        <v>15</v>
      </c>
      <c r="B3" s="4" t="s">
        <v>16</v>
      </c>
      <c r="C3" s="4" t="s">
        <v>68</v>
      </c>
      <c r="D3" s="4" t="s">
        <v>379</v>
      </c>
      <c r="E3" s="4" t="s">
        <v>330</v>
      </c>
      <c r="F3" s="4" t="n">
        <v>440</v>
      </c>
      <c r="G3" s="4" t="s">
        <v>400</v>
      </c>
    </row>
    <row r="4" customFormat="false" ht="15" hidden="false" customHeight="false" outlineLevel="0" collapsed="false">
      <c r="A4" s="4" t="s">
        <v>15</v>
      </c>
      <c r="B4" s="4" t="s">
        <v>10</v>
      </c>
      <c r="C4" s="4" t="s">
        <v>68</v>
      </c>
      <c r="D4" s="4" t="s">
        <v>401</v>
      </c>
      <c r="E4" s="4" t="s">
        <v>402</v>
      </c>
      <c r="F4" s="4" t="n">
        <v>108</v>
      </c>
      <c r="G4" s="4" t="s">
        <v>403</v>
      </c>
    </row>
    <row r="5" customFormat="false" ht="15" hidden="false" customHeight="false" outlineLevel="0" collapsed="false">
      <c r="A5" s="4" t="s">
        <v>15</v>
      </c>
      <c r="B5" s="4" t="s">
        <v>16</v>
      </c>
      <c r="C5" s="4" t="s">
        <v>68</v>
      </c>
      <c r="D5" s="4" t="s">
        <v>401</v>
      </c>
      <c r="E5" s="4" t="s">
        <v>402</v>
      </c>
      <c r="F5" s="4" t="n">
        <v>108</v>
      </c>
      <c r="G5" s="4" t="s">
        <v>404</v>
      </c>
    </row>
    <row r="6" customFormat="false" ht="15" hidden="false" customHeight="false" outlineLevel="0" collapsed="false">
      <c r="A6" s="4" t="s">
        <v>15</v>
      </c>
      <c r="B6" s="4" t="s">
        <v>10</v>
      </c>
      <c r="C6" s="4" t="s">
        <v>68</v>
      </c>
      <c r="D6" s="4" t="s">
        <v>347</v>
      </c>
      <c r="E6" s="4" t="s">
        <v>405</v>
      </c>
      <c r="F6" s="4" t="n">
        <v>352</v>
      </c>
      <c r="G6" s="4" t="s">
        <v>406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2026-10-18T16:52:13Z</dcterms:created>
  <dc:creator>openpyxl</dc:creator>
  <dc:description/>
  <dc:language>en-US</dc:language>
  <cp:lastModifiedBy/>
  <dcterms:modified xsi:type="dcterms:W3CDTF">2026-10-18T16:52:13Z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