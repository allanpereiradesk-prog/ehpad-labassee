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Équipements" sheetId="1" state="visible" r:id="rId3"/>
    <sheet name="Quantités gaines" sheetId="2" state="visible" r:id="rId4"/>
    <sheet name="Bilan conflits" sheetId="3" state="visible" r:id="rId5"/>
    <sheet name="Confli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<sst xmlns="http://schemas.openxmlformats.org/spreadsheetml/2006/main" count="2371" uniqueCount="589">
  <si>
    <t xml:space="preserve">EHPAD La Bassée – Nomenclature des équipements CVC</t>
  </si>
  <si>
    <t xml:space="preserve">Extrait de la maquette Revit EXE_RSP_CVC_MNT (17/10/2026). Même liste que la nomenclature Revit « CVC - Nomenclature des équipements », avec les infos des familles.</t>
  </si>
  <si>
    <t xml:space="preserve">Repère</t>
  </si>
  <si>
    <t xml:space="preserve">Équipement</t>
  </si>
  <si>
    <t xml:space="preserve">Fabricant</t>
  </si>
  <si>
    <t xml:space="preserve">Modèle</t>
  </si>
  <si>
    <t xml:space="preserve">Caractéristiques (CCTP)</t>
  </si>
  <si>
    <t xml:space="preserve">Source</t>
  </si>
  <si>
    <t xml:space="preserve">Niveau</t>
  </si>
  <si>
    <t xml:space="preserve">Local</t>
  </si>
  <si>
    <t xml:space="preserve">Posé à (m)</t>
  </si>
  <si>
    <t xml:space="preserve">Encombrement L×l×h (mm)</t>
  </si>
  <si>
    <t xml:space="preserve">Raccords</t>
  </si>
  <si>
    <t xml:space="preserve">Posé sur</t>
  </si>
  <si>
    <t xml:space="preserve">À vérifier</t>
  </si>
  <si>
    <t xml:space="preserve">ID Revit</t>
  </si>
  <si>
    <t xml:space="preserve">CTA 1</t>
  </si>
  <si>
    <t xml:space="preserve">CTA 1 - aile Nord zone ouverte</t>
  </si>
  <si>
    <t xml:space="preserve">VIM</t>
  </si>
  <si>
    <t xml:space="preserve">CAD HR OPTIMAL C4</t>
  </si>
  <si>
    <t xml:space="preserve">2 520 m3/h</t>
  </si>
  <si>
    <t xml:space="preserve">CCTP lot 12 § 4.10</t>
  </si>
  <si>
    <t xml:space="preserve">Toiture</t>
  </si>
  <si>
    <t xml:space="preserve">toiture terrasse</t>
  </si>
  <si>
    <t xml:space="preserve">1278 × 2260 × 1330</t>
  </si>
  <si>
    <t xml:space="preserve">Rejet (600 x 400)
Air neuf (600 x 400)
Batterie change-over départ (DN 32)
Soufflage (600 x 400)
Batterie change-over retour (DN 32)
Condensats (DN 32)
Reprise (600 x 400)</t>
  </si>
  <si>
    <t xml:space="preserve">Socle CTA 1</t>
  </si>
  <si>
    <t xml:space="preserve">Dimensions approximatives (2000x1100x1300 mm) : prendre la fiche VIM</t>
  </si>
  <si>
    <t xml:space="preserve">1034386</t>
  </si>
  <si>
    <t xml:space="preserve">CTA 2</t>
  </si>
  <si>
    <t xml:space="preserve">CTA 2 - aile Sud zone ouverte</t>
  </si>
  <si>
    <t xml:space="preserve">2 330 m3/h</t>
  </si>
  <si>
    <t xml:space="preserve">2292 × 1312 × 1330</t>
  </si>
  <si>
    <t xml:space="preserve">Batterie change-over retour (DN 32)
Condensats (DN 32)
Air neuf (600 x 400)
Batterie change-over départ (DN 32)
Soufflage (600 x 400)
Reprise (600 x 400)
Rejet (600 x 400)</t>
  </si>
  <si>
    <t xml:space="preserve">Socle CTA 2</t>
  </si>
  <si>
    <t xml:space="preserve">1034387</t>
  </si>
  <si>
    <t xml:space="preserve">CTA 3</t>
  </si>
  <si>
    <t xml:space="preserve">CTA 3 - aile Nord zone fermée</t>
  </si>
  <si>
    <t xml:space="preserve">1 170 m3/h</t>
  </si>
  <si>
    <t xml:space="preserve">Batterie change-over retour (DN 32)
Condensats (DN 32)
Soufflage (600 x 400)
Reprise (600 x 400)
Batterie change-over départ (DN 32)
Air neuf (600 x 400)
Rejet (600 x 400)</t>
  </si>
  <si>
    <t xml:space="preserve">Socle CTA 3</t>
  </si>
  <si>
    <t xml:space="preserve">1034388</t>
  </si>
  <si>
    <t xml:space="preserve">CTA 4</t>
  </si>
  <si>
    <t xml:space="preserve">CTA 4 - aile Sud zone fermée</t>
  </si>
  <si>
    <t xml:space="preserve">Condensats (DN 32)
Rejet (600 x 400)
Batterie change-over départ (DN 32)
Air neuf (600 x 400)
Batterie change-over retour (DN 32)
Reprise (600 x 400)
Soufflage (600 x 400)</t>
  </si>
  <si>
    <t xml:space="preserve">Socle CTA 4</t>
  </si>
  <si>
    <t xml:space="preserve">1034389</t>
  </si>
  <si>
    <t xml:space="preserve">CTA 5</t>
  </si>
  <si>
    <t xml:space="preserve">CTA 5 - zone commune</t>
  </si>
  <si>
    <t xml:space="preserve">CAD O INTEGRAL</t>
  </si>
  <si>
    <t xml:space="preserve">8 800 m3/h, débit variable, arrêt la nuit</t>
  </si>
  <si>
    <t xml:space="preserve">CCTP lot 12 § 4.11</t>
  </si>
  <si>
    <t xml:space="preserve">3760 × 1778 × 1930</t>
  </si>
  <si>
    <t xml:space="preserve">Rejet (1000 x 600)
Soufflage (1000 x 600)
Reprise (1000 x 600)
Condensats (DN 32)
Air neuf (1000 x 600)
Batterie change-over départ (DN 50)
Batterie change-over retour (DN 50)</t>
  </si>
  <si>
    <t xml:space="preserve">Socle CTA 5</t>
  </si>
  <si>
    <t xml:space="preserve">Dimensions approximatives (3500x1600x1900 mm) : prendre la fiche VIM</t>
  </si>
  <si>
    <t xml:space="preserve">1034390</t>
  </si>
  <si>
    <t xml:space="preserve">ADOU</t>
  </si>
  <si>
    <t xml:space="preserve">Alcyo A5X</t>
  </si>
  <si>
    <t xml:space="preserve">Permo / Culligan</t>
  </si>
  <si>
    <t xml:space="preserve">Régénération par saumurage, -50 °TH, compteur DN50</t>
  </si>
  <si>
    <t xml:space="preserve">CCTP lot 12 § 9.2.2</t>
  </si>
  <si>
    <t xml:space="preserve">RDC</t>
  </si>
  <si>
    <t xml:space="preserve">chaufferie</t>
  </si>
  <si>
    <t xml:space="preserve">1095 × 520 × 1680</t>
  </si>
  <si>
    <t xml:space="preserve">Entrée eau brute (DN 50)
Sortie eau adoucie (DN 50)
Égout régénération (DN 15)</t>
  </si>
  <si>
    <t xml:space="preserve">Dimensions approximatives (bouteille Ø340 x 1 680 mm, bac à sel 500 x 500 x 1 130 mm)</t>
  </si>
  <si>
    <t xml:space="preserve">1038540</t>
  </si>
  <si>
    <t xml:space="preserve">B2000 ECS</t>
  </si>
  <si>
    <t xml:space="preserve">Préchauffage ECS 2000 L</t>
  </si>
  <si>
    <t xml:space="preserve">Non imposée</t>
  </si>
  <si>
    <t xml:space="preserve">2000 L</t>
  </si>
  <si>
    <t xml:space="preserve">Préchauffage ECS par les PAC</t>
  </si>
  <si>
    <t xml:space="preserve">CCTP lot 12 § 4.5</t>
  </si>
  <si>
    <t xml:space="preserve">1492 × 1300 × 2324</t>
  </si>
  <si>
    <t xml:space="preserve">Piquage haut 1 (DN 50)
Piquage bas 1 (DN 50)
Piquage bas 2 (DN 50)
Piquage haut 2 (DN 50)</t>
  </si>
  <si>
    <t xml:space="preserve">Socle B2000 1</t>
  </si>
  <si>
    <t xml:space="preserve">Dimensions approximatives (Ø1300 isolé x 2300 mm)</t>
  </si>
  <si>
    <t xml:space="preserve">1038537</t>
  </si>
  <si>
    <t xml:space="preserve">B2000 PRIM</t>
  </si>
  <si>
    <t xml:space="preserve">Stockage primaire 2000 L</t>
  </si>
  <si>
    <t xml:space="preserve">Stockage primaire ECS</t>
  </si>
  <si>
    <t xml:space="preserve">Piquage bas 2 (DN 50)
Piquage bas 1 (DN 50)
Piquage haut 2 (DN 50)
Piquage haut 1 (DN 50)</t>
  </si>
  <si>
    <t xml:space="preserve">Socle B2000 2</t>
  </si>
  <si>
    <t xml:space="preserve">1038538</t>
  </si>
  <si>
    <t xml:space="preserve">BT 1000</t>
  </si>
  <si>
    <t xml:space="preserve">1000 L</t>
  </si>
  <si>
    <t xml:space="preserve">Weishaupt</t>
  </si>
  <si>
    <t xml:space="preserve">WES 1000 WP/B</t>
  </si>
  <si>
    <t xml:space="preserve">Ballon tampon 1000 L en chaufferie</t>
  </si>
  <si>
    <t xml:space="preserve">CCTP lot 12 § 4.6.4 ; données Weishaupt</t>
  </si>
  <si>
    <t xml:space="preserve">990 × 1162 × 2153</t>
  </si>
  <si>
    <t xml:space="preserve">Retour production (PAC) (DN 65)
Retour distribution (DN 65)
Départ production (PAC) (DN 65)
Départ distribution (DN 65)</t>
  </si>
  <si>
    <t xml:space="preserve">Socle BT</t>
  </si>
  <si>
    <t xml:space="preserve">Raccordements à vérifier</t>
  </si>
  <si>
    <t xml:space="preserve">1038534</t>
  </si>
  <si>
    <t xml:space="preserve">CH 1</t>
  </si>
  <si>
    <t xml:space="preserve">60 kW</t>
  </si>
  <si>
    <t xml:space="preserve">WTC-GW 60-B H</t>
  </si>
  <si>
    <t xml:space="preserve">60 kW chaud, gaz naturel, condensation ; 2 unités</t>
  </si>
  <si>
    <t xml:space="preserve">CCTP lot 12 § 4.3.1 ; notice Weishaupt 83321401</t>
  </si>
  <si>
    <t xml:space="preserve">500 × 485 × 1152</t>
  </si>
  <si>
    <t xml:space="preserve">Départ chauffage (DN 32)
Ventouse fumées / air Ø80/125 (Ø 125)
Gaz naturel (DN 25)
Condensats (siphon) (DN 25)
Retour chauffage (DN 32)</t>
  </si>
  <si>
    <t xml:space="preserve">Dimensions 500x460x792 mm et raccordements à vérifier sur la notice</t>
  </si>
  <si>
    <t xml:space="preserve">1038531</t>
  </si>
  <si>
    <t xml:space="preserve">CH 2</t>
  </si>
  <si>
    <t xml:space="preserve">Retour chauffage (DN 32)
Ventouse fumées / air Ø80/125 (Ø 125)
Gaz naturel (DN 25)
Départ chauffage (DN 32)
Condensats (siphon) (DN 25)</t>
  </si>
  <si>
    <t xml:space="preserve">1038532</t>
  </si>
  <si>
    <t xml:space="preserve">CIRC GLY</t>
  </si>
  <si>
    <t xml:space="preserve">D 65-150F</t>
  </si>
  <si>
    <t xml:space="preserve">Grundfos</t>
  </si>
  <si>
    <t xml:space="preserve">Magna3 D</t>
  </si>
  <si>
    <t xml:space="preserve">Circulateur double, circuits eau glycolée, pilotage 0-10 V</t>
  </si>
  <si>
    <t xml:space="preserve">CCTP lot 12 § 4.6.2</t>
  </si>
  <si>
    <t xml:space="preserve">296 × 360 × 440</t>
  </si>
  <si>
    <t xml:space="preserve">Aspiration (DN 65)
Refoulement (DN 65)</t>
  </si>
  <si>
    <t xml:space="preserve">Dimensions approximatives (360x300x520 mm), à vérifier</t>
  </si>
  <si>
    <t xml:space="preserve">1038544</t>
  </si>
  <si>
    <t xml:space="preserve">CIRC PAC</t>
  </si>
  <si>
    <t xml:space="preserve">D 65-80F</t>
  </si>
  <si>
    <t xml:space="preserve">Circulateur double, circuits primaires PAC, pilotage 0-10 V</t>
  </si>
  <si>
    <t xml:space="preserve">1038545</t>
  </si>
  <si>
    <t xml:space="preserve">ECH ECS</t>
  </si>
  <si>
    <t xml:space="preserve">100 kW</t>
  </si>
  <si>
    <t xml:space="preserve">Échangeur à plaques</t>
  </si>
  <si>
    <t xml:space="preserve">100 kW, régime 70/50 °C</t>
  </si>
  <si>
    <t xml:space="preserve">630 × 470 × 900</t>
  </si>
  <si>
    <t xml:space="preserve">Primaire sortie 50 °C (DN 50)
Primaire entrée 70 °C (DN 50)
Eau froide entrée (DN 50)
ECS sortie (DN 50)</t>
  </si>
  <si>
    <t xml:space="preserve">Marque et dimensions à choisir</t>
  </si>
  <si>
    <t xml:space="preserve">1038539</t>
  </si>
  <si>
    <t xml:space="preserve">P BECS</t>
  </si>
  <si>
    <t xml:space="preserve">IPL / SXS</t>
  </si>
  <si>
    <t xml:space="preserve">Wilo / Salmson</t>
  </si>
  <si>
    <t xml:space="preserve">Double in-line ECS, 1 en secours, permutation automatique</t>
  </si>
  <si>
    <t xml:space="preserve">CCTP lot 12 § 9.4</t>
  </si>
  <si>
    <t xml:space="preserve">300 × 270 × 450</t>
  </si>
  <si>
    <t xml:space="preserve">Refoulement bouclage ECS (DN 50)
Aspiration bouclage ECS (DN 50)</t>
  </si>
  <si>
    <t xml:space="preserve">Dimensions approximatives</t>
  </si>
  <si>
    <t xml:space="preserve">1038541</t>
  </si>
  <si>
    <t xml:space="preserve">PAC 1</t>
  </si>
  <si>
    <t xml:space="preserve">35 kW</t>
  </si>
  <si>
    <t xml:space="preserve">WWP S 35 IDR</t>
  </si>
  <si>
    <t xml:space="preserve">35 kW chaud, 40 kW froid, eau glycolée/eau, réversible ; 2 unités</t>
  </si>
  <si>
    <t xml:space="preserve">CCTP lot 12 § 4.6</t>
  </si>
  <si>
    <t xml:space="preserve">pac</t>
  </si>
  <si>
    <t xml:space="preserve">808 × 663 × 1252</t>
  </si>
  <si>
    <t xml:space="preserve">Captage entrée (eau glycolée) (DN 40)
Retour chauffage / rafraîchissement (DN 40)
Captage sortie (eau glycolée) (DN 40)
Départ chauffage / rafraîchissement (DN 40)</t>
  </si>
  <si>
    <t xml:space="preserve">Socle PAC 1</t>
  </si>
  <si>
    <t xml:space="preserve">Dimensions APPROXIMATIVES (800x650x1100 mm) : aucune donnée fabricant trouvée</t>
  </si>
  <si>
    <t xml:space="preserve">1038529</t>
  </si>
  <si>
    <t xml:space="preserve">PAC 2</t>
  </si>
  <si>
    <t xml:space="preserve">Captage sortie (eau glycolée) (DN 40)
Captage entrée (eau glycolée) (DN 40)
Départ chauffage / rafraîchissement (DN 40)
Retour chauffage / rafraîchissement (DN 40)</t>
  </si>
  <si>
    <t xml:space="preserve">Socle PAC 2</t>
  </si>
  <si>
    <t xml:space="preserve">1038530</t>
  </si>
  <si>
    <t xml:space="preserve">RA SAS</t>
  </si>
  <si>
    <t xml:space="preserve">SR M-200-H3</t>
  </si>
  <si>
    <t xml:space="preserve">Biddle</t>
  </si>
  <si>
    <t xml:space="preserve">Largeur 2000 mm, batterie chaude 30,8 kW</t>
  </si>
  <si>
    <t xml:space="preserve">CCTP lot 12 § 4.9.2</t>
  </si>
  <si>
    <t xml:space="preserve">sas</t>
  </si>
  <si>
    <t xml:space="preserve">752 × 2044 × 370</t>
  </si>
  <si>
    <t xml:space="preserve">Batterie retour (DN 25)
Batterie aller (DN 25)</t>
  </si>
  <si>
    <t xml:space="preserve">Profondeur et hauteur approximatives</t>
  </si>
  <si>
    <t xml:space="preserve">1038546</t>
  </si>
  <si>
    <t xml:space="preserve">VE 1</t>
  </si>
  <si>
    <t xml:space="preserve">PNU</t>
  </si>
  <si>
    <t xml:space="preserve">Pneumatex</t>
  </si>
  <si>
    <t xml:space="preserve">Vase sous pression d azote avec vessie ; 2 unités</t>
  </si>
  <si>
    <t xml:space="preserve">CCTP lot 12 § 4.3.3</t>
  </si>
  <si>
    <t xml:space="preserve">500 × 544 × 895</t>
  </si>
  <si>
    <t xml:space="preserve">Raccordement vase (DN 25)</t>
  </si>
  <si>
    <t xml:space="preserve">Volume non donné au CCTP : taille (Ø500x900) à dimensionner</t>
  </si>
  <si>
    <t xml:space="preserve">1038542</t>
  </si>
  <si>
    <t xml:space="preserve">VE 2</t>
  </si>
  <si>
    <t xml:space="preserve">1038543</t>
  </si>
  <si>
    <t xml:space="preserve">Socles</t>
  </si>
  <si>
    <t xml:space="preserve">Socle 1500 x 1500 x 100</t>
  </si>
  <si>
    <t xml:space="preserve">Socles à la charge du lot gros œuvre (chaudières, ballons ECS, CTA…) ; 1 massif distinct par appareil ; appareils à moteur sur plots ou matelas résilient</t>
  </si>
  <si>
    <t xml:space="preserve">CCTP lot 12 § 1.8.2 (gros œuvre), § 3.14.1 (socles et supports)</t>
  </si>
  <si>
    <t xml:space="preserve">1500 × 1500 × 100</t>
  </si>
  <si>
    <t xml:space="preserve">supporte B2000 ECS</t>
  </si>
  <si>
    <t xml:space="preserve">Dimensions du socle à caler sur la fiche fabricant de l’appareil</t>
  </si>
  <si>
    <t xml:space="preserve">1038535</t>
  </si>
  <si>
    <t xml:space="preserve">supporte B2000 PRIM</t>
  </si>
  <si>
    <t xml:space="preserve">1038536</t>
  </si>
  <si>
    <t xml:space="preserve">Socle 1200 x 1200 x 100</t>
  </si>
  <si>
    <t xml:space="preserve">1200 × 1200 × 100</t>
  </si>
  <si>
    <t xml:space="preserve">supporte BT 1000</t>
  </si>
  <si>
    <t xml:space="preserve">1038533</t>
  </si>
  <si>
    <t xml:space="preserve">Socle CTA C4 2300 x 1400</t>
  </si>
  <si>
    <t xml:space="preserve">1 massif distinct par appareil, matériel scellé sur son socle ; plots anti-vibratiles disposés symétriquement à la périphérie (ou matelas résilient) sur un pré-socle d’environ 5 cm de mêmes dimensions ; en toiture, hauteur au-dessus de l’étanchéité limitée à 0,40 m ; relevés béton et d’étanchéité par les lots GO / couverture, couvertine galva 15/10 et surtoiture par le lot CVC</t>
  </si>
  <si>
    <t xml:space="preserve">CCTP lot 12 § 3.14.1 (socles et supports), § 1.8.2 (socles à la charge du GO), § 1.9.2 (équipements en toiture), § 3.9.1 (CTA sur socle)</t>
  </si>
  <si>
    <t xml:space="preserve">1400 × 2300 × 250</t>
  </si>
  <si>
    <t xml:space="preserve">supporte CTA 1</t>
  </si>
  <si>
    <t xml:space="preserve">Masse et dimensions du massif à calculer avec le poids de la CTA (fiche VIM) ; nombre et type de plots à dimensionner (note de calcul des supports anti-vibratiles)</t>
  </si>
  <si>
    <t xml:space="preserve">1036124</t>
  </si>
  <si>
    <t xml:space="preserve">2370 × 1518 × 250</t>
  </si>
  <si>
    <t xml:space="preserve">supporte CTA 2</t>
  </si>
  <si>
    <t xml:space="preserve">1036125</t>
  </si>
  <si>
    <t xml:space="preserve">supporte CTA 3</t>
  </si>
  <si>
    <t xml:space="preserve">1036126</t>
  </si>
  <si>
    <t xml:space="preserve">supporte CTA 4</t>
  </si>
  <si>
    <t xml:space="preserve">1036127</t>
  </si>
  <si>
    <t xml:space="preserve">Socle CTA 5 3800 x 1900</t>
  </si>
  <si>
    <t xml:space="preserve">3800 × 1900 × 250</t>
  </si>
  <si>
    <t xml:space="preserve">supporte CTA 5</t>
  </si>
  <si>
    <t xml:space="preserve">1036128</t>
  </si>
  <si>
    <t xml:space="preserve">Socle 900 x 700 x 100 + résilient</t>
  </si>
  <si>
    <t xml:space="preserve">900 × 700 × 100</t>
  </si>
  <si>
    <t xml:space="preserve">supporte PAC 1</t>
  </si>
  <si>
    <t xml:space="preserve">1038527</t>
  </si>
  <si>
    <t xml:space="preserve">supporte PAC 2</t>
  </si>
  <si>
    <t xml:space="preserve">1038528</t>
  </si>
  <si>
    <t xml:space="preserve">Nombre d'équipements (hors socles) :</t>
  </si>
  <si>
    <t xml:space="preserve">Quantités de gaines rectangulaires – réseaux principaux</t>
  </si>
  <si>
    <t xml:space="preserve">Gaines rigides en tôle galvanisée (pas de flexible). Longueurs lues dans Revit. Surface de tôle = périmètre × longueur (sans les raccords).</t>
  </si>
  <si>
    <t xml:space="preserve">Réseau</t>
  </si>
  <si>
    <t xml:space="preserve">Système</t>
  </si>
  <si>
    <t xml:space="preserve">Section L × H (mm)</t>
  </si>
  <si>
    <t xml:space="preserve">Nb de gaines</t>
  </si>
  <si>
    <t xml:space="preserve">Longueur (m)</t>
  </si>
  <si>
    <t xml:space="preserve">Périmètre (m)</t>
  </si>
  <si>
    <t xml:space="preserve">Surface de tôle (m²)</t>
  </si>
  <si>
    <t xml:space="preserve">Reprise</t>
  </si>
  <si>
    <t xml:space="preserve">450 × 300</t>
  </si>
  <si>
    <t xml:space="preserve">350 × 250</t>
  </si>
  <si>
    <t xml:space="preserve">250 × 250</t>
  </si>
  <si>
    <t xml:space="preserve">200 × 250</t>
  </si>
  <si>
    <t xml:space="preserve">Soufflage</t>
  </si>
  <si>
    <t xml:space="preserve">300 × 250</t>
  </si>
  <si>
    <t xml:space="preserve">700 × 400</t>
  </si>
  <si>
    <t xml:space="preserve">700 × 300</t>
  </si>
  <si>
    <t xml:space="preserve">500 × 400</t>
  </si>
  <si>
    <t xml:space="preserve">650 × 300</t>
  </si>
  <si>
    <t xml:space="preserve">600 × 300</t>
  </si>
  <si>
    <t xml:space="preserve">550 × 300</t>
  </si>
  <si>
    <t xml:space="preserve">500 × 300</t>
  </si>
  <si>
    <t xml:space="preserve">350 × 300</t>
  </si>
  <si>
    <t xml:space="preserve">Total</t>
  </si>
  <si>
    <t xml:space="preserve">Par réseau</t>
  </si>
  <si>
    <t xml:space="preserve">Tôle (m²)</t>
  </si>
  <si>
    <t xml:space="preserve">Raccords (coudes, tés, réductions) posés dans Revit : 42</t>
  </si>
  <si>
    <t xml:space="preserve">Bilan de la détection de conflits</t>
  </si>
  <si>
    <t xml:space="preserve">Compté à partir de l'onglet Conflits (formules NB.SI). En jaune : vrais problèmes à corriger dans la maquette.</t>
  </si>
  <si>
    <t xml:space="preserve">Type</t>
  </si>
  <si>
    <t xml:space="preserve">Nombre</t>
  </si>
  <si>
    <t xml:space="preserve">À faire</t>
  </si>
  <si>
    <t xml:space="preserve">Gaine verticale dans un mur</t>
  </si>
  <si>
    <t xml:space="preserve">À corriger : déplacer la gaine technique.</t>
  </si>
  <si>
    <t xml:space="preserve">Gaine contre poutre retombante</t>
  </si>
  <si>
    <t xml:space="preserve">À corriger : contourner ou réservation validée par la structure.</t>
  </si>
  <si>
    <t xml:space="preserve">Gaine contre dalle</t>
  </si>
  <si>
    <t xml:space="preserve">À corriger : dévoyer.</t>
  </si>
  <si>
    <t xml:space="preserve">Gaine contre poutre</t>
  </si>
  <si>
    <t xml:space="preserve">À corriger : descendre les gaines de ~10 cm.</t>
  </si>
  <si>
    <t xml:space="preserve">Trémie (gaine verticale)</t>
  </si>
  <si>
    <t xml:space="preserve">Normal : trémies à réserver.</t>
  </si>
  <si>
    <t xml:space="preserve">Traversée de voile béton</t>
  </si>
  <si>
    <t xml:space="preserve">Normal : réservations à demander.</t>
  </si>
  <si>
    <t xml:space="preserve">Traversée de cloison</t>
  </si>
  <si>
    <t xml:space="preserve">Normal : percements + calfeutrements.</t>
  </si>
  <si>
    <t xml:space="preserve">Autres contrôles :</t>
  </si>
  <si>
    <t xml:space="preserve">• Rideau d'air RA SAS contre le faux plafond non démontable du sas : encastré à 2,48 m, réservation + trappe à demander (1 conflit gardé exprès).</t>
  </si>
  <si>
    <t xml:space="preserve">• Gaines entre elles : 47 contacts, surtout aux pieds des gaines techniques (raccords à finir) et aux départs d'antennes où soufflage et reprise se croisent (une des deux à faire passer dessous).</t>
  </si>
  <si>
    <t xml:space="preserve">Détection de conflits – gaines CVC contre archi et structure</t>
  </si>
  <si>
    <t xml:space="preserve">Recherche faite dans Revit (intersection des volumes) entre nos gaines et les maquettes liées DCE_ARC_MNT et DCE_STR_MNT_corrige, le 17/10/2026.</t>
  </si>
  <si>
    <t xml:space="preserve">N°</t>
  </si>
  <si>
    <t xml:space="preserve">Gaine (réseau, partie)</t>
  </si>
  <si>
    <t xml:space="preserve">Section (mm)</t>
  </si>
  <si>
    <t xml:space="preserve">Élément touché</t>
  </si>
  <si>
    <t xml:space="preserve">Maquette</t>
  </si>
  <si>
    <t xml:space="preserve">X</t>
  </si>
  <si>
    <t xml:space="preserve">Y</t>
  </si>
  <si>
    <t xml:space="preserve">Z (m)</t>
  </si>
  <si>
    <t xml:space="preserve">Ce qu'on propose</t>
  </si>
  <si>
    <t xml:space="preserve">ID gaine</t>
  </si>
  <si>
    <t xml:space="preserve">ID élément</t>
  </si>
  <si>
    <t xml:space="preserve">CTA 3 reprise - gaine technique verticale (1170 m3/h)</t>
  </si>
  <si>
    <t xml:space="preserve">GAINE DF TOITURE</t>
  </si>
  <si>
    <t xml:space="preserve">DCE_ARC_MNT</t>
  </si>
  <si>
    <t xml:space="preserve">À déplacer : la gaine technique tombe dans un mur ou une gaine de désenfumage.</t>
  </si>
  <si>
    <t xml:space="preserve">1040179</t>
  </si>
  <si>
    <t xml:space="preserve">5836793</t>
  </si>
  <si>
    <t xml:space="preserve">CTA 3 soufflage - gaine technique verticale (1170 m3/h)</t>
  </si>
  <si>
    <t xml:space="preserve">1040165</t>
  </si>
  <si>
    <t xml:space="preserve">5836807</t>
  </si>
  <si>
    <t xml:space="preserve">CTA 5 soufflage - gaine technique verticale (4093 m3/h)</t>
  </si>
  <si>
    <t xml:space="preserve">CLOISON 100mm ISOLEE</t>
  </si>
  <si>
    <t xml:space="preserve">1040223</t>
  </si>
  <si>
    <t xml:space="preserve">5089635</t>
  </si>
  <si>
    <t xml:space="preserve">CTA 5 reprise - N00 - 129 m3/h - tronçons CTA5-29</t>
  </si>
  <si>
    <t xml:space="preserve">POU-BN-BETON-20x20ht</t>
  </si>
  <si>
    <t xml:space="preserve">DCE_STR_MNT</t>
  </si>
  <si>
    <t xml:space="preserve">Retombée trop grande : passer à côté, ou réservation dans la poutre (à valider par la structure).</t>
  </si>
  <si>
    <t xml:space="preserve">1040319</t>
  </si>
  <si>
    <t xml:space="preserve">1514874</t>
  </si>
  <si>
    <t xml:space="preserve">POU-BETON-20x70ht</t>
  </si>
  <si>
    <t xml:space="preserve">1610188</t>
  </si>
  <si>
    <t xml:space="preserve">CTA 5 reprise - N00 - 211 m3/h - tronçons CTA5-25</t>
  </si>
  <si>
    <t xml:space="preserve">1040311</t>
  </si>
  <si>
    <t xml:space="preserve">1514923</t>
  </si>
  <si>
    <t xml:space="preserve">POU-BETON-20x50ht</t>
  </si>
  <si>
    <t xml:space="preserve">1587124</t>
  </si>
  <si>
    <t xml:space="preserve">CTA 5 reprise - N00 - 211 m3/h - tronçons CTA5-26</t>
  </si>
  <si>
    <t xml:space="preserve">POU-BETON-20x55ht</t>
  </si>
  <si>
    <t xml:space="preserve">1040313</t>
  </si>
  <si>
    <t xml:space="preserve">1495898</t>
  </si>
  <si>
    <t xml:space="preserve">POU-BETON-20x147ht</t>
  </si>
  <si>
    <t xml:space="preserve">1654584</t>
  </si>
  <si>
    <t xml:space="preserve">CTA 5 reprise - N00 - 2856 m3/h - tronçons CTA5-19, CTA5-20, CTA5-21, CTA5-22</t>
  </si>
  <si>
    <t xml:space="preserve">POU-BETON-70x70ht</t>
  </si>
  <si>
    <t xml:space="preserve">1040297</t>
  </si>
  <si>
    <t xml:space="preserve">1492230</t>
  </si>
  <si>
    <t xml:space="preserve">1654058</t>
  </si>
  <si>
    <t xml:space="preserve">CTA 5 reprise - N00 - 3219 m3/h - tronçons CTA5-14, CTA5-15, CTA5-16, CTA5-17</t>
  </si>
  <si>
    <t xml:space="preserve">POU-BETON-16x55ht</t>
  </si>
  <si>
    <t xml:space="preserve">1040293</t>
  </si>
  <si>
    <t xml:space="preserve">1515167</t>
  </si>
  <si>
    <t xml:space="preserve">1515222</t>
  </si>
  <si>
    <t xml:space="preserve">CTA 5 reprise - N01 - 567 m3/h - tronçons CTA5-45</t>
  </si>
  <si>
    <t xml:space="preserve">1040331</t>
  </si>
  <si>
    <t xml:space="preserve">1499928</t>
  </si>
  <si>
    <t xml:space="preserve">CTA 5 reprise - N01 - 706 m3/h - tronçons CTA5-43, CTA5-44</t>
  </si>
  <si>
    <t xml:space="preserve">1040309</t>
  </si>
  <si>
    <t xml:space="preserve">1503741</t>
  </si>
  <si>
    <t xml:space="preserve">CTA 5 soufflage - N00 - 129 m3/h - tronçons CTA5-29</t>
  </si>
  <si>
    <t xml:space="preserve">1040259</t>
  </si>
  <si>
    <t xml:space="preserve">CTA 5 soufflage - N00 - 211 m3/h - tronçons CTA5-25</t>
  </si>
  <si>
    <t xml:space="preserve">1040251</t>
  </si>
  <si>
    <t xml:space="preserve">CTA 5 soufflage - N00 - 2856 m3/h - tronçons CTA5-19, CTA5-20, CTA5-21, CTA5-22</t>
  </si>
  <si>
    <t xml:space="preserve">1040237</t>
  </si>
  <si>
    <t xml:space="preserve">1492252</t>
  </si>
  <si>
    <t xml:space="preserve">CTA 5 soufflage - N00 - 3219 m3/h - tronçons CTA5-14, CTA5-15, CTA5-16, CTA5-17</t>
  </si>
  <si>
    <t xml:space="preserve">1040233</t>
  </si>
  <si>
    <t xml:space="preserve">1515277</t>
  </si>
  <si>
    <t xml:space="preserve">1515341</t>
  </si>
  <si>
    <t xml:space="preserve">CTA 5 soufflage - N01 - 567 m3/h - tronçons CTA5-45</t>
  </si>
  <si>
    <t xml:space="preserve">POU-BETON-20x75ht</t>
  </si>
  <si>
    <t xml:space="preserve">1040271</t>
  </si>
  <si>
    <t xml:space="preserve">1499806</t>
  </si>
  <si>
    <t xml:space="preserve">PP Dalle iso+revet</t>
  </si>
  <si>
    <t xml:space="preserve">Dalle plus basse ici : dévoyer l'antenne ou réduire la hauteur de gaine.</t>
  </si>
  <si>
    <t xml:space="preserve">5312900</t>
  </si>
  <si>
    <t xml:space="preserve">DAL-DALLE-PORTEE-25cm</t>
  </si>
  <si>
    <t xml:space="preserve">1464202</t>
  </si>
  <si>
    <t xml:space="preserve">5312607</t>
  </si>
  <si>
    <t xml:space="preserve">1464274</t>
  </si>
  <si>
    <t xml:space="preserve">CTA 3 reprise - N01 - 180 m3/h - tronçons CTA3-03, CTA3-04</t>
  </si>
  <si>
    <t xml:space="preserve">POU-BETON-20x40ht</t>
  </si>
  <si>
    <t xml:space="preserve">Descendre la gaine d'environ 10 cm (le plénum le permet : faux plafond à 2,50 / 5,86 m).</t>
  </si>
  <si>
    <t xml:space="preserve">1040181</t>
  </si>
  <si>
    <t xml:space="preserve">1504020</t>
  </si>
  <si>
    <t xml:space="preserve">CTA 3 soufflage - N01 - 180 m3/h - tronçons CTA3-03, CTA3-04</t>
  </si>
  <si>
    <t xml:space="preserve">1040167</t>
  </si>
  <si>
    <t xml:space="preserve">CTA 4 reprise - N01 - 810 m3/h - tronçons CTA4-07, CTA4-08, CTA4-09, CTA4-10, CTA4-11, CTA4-12, CTA4-13, CTA4-14, CTA4-15</t>
  </si>
  <si>
    <t xml:space="preserve">1040213</t>
  </si>
  <si>
    <t xml:space="preserve">1520920</t>
  </si>
  <si>
    <t xml:space="preserve">CTA 4 soufflage - N01 - 810 m3/h - tronçons CTA4-07, CTA4-08, CTA4-09, CTA4-10, CTA4-11, CTA4-12, CTA4-13, CTA4-14, CTA4-15</t>
  </si>
  <si>
    <t xml:space="preserve">1040199</t>
  </si>
  <si>
    <t xml:space="preserve">1499488</t>
  </si>
  <si>
    <t xml:space="preserve">1654493</t>
  </si>
  <si>
    <t xml:space="preserve">1498450</t>
  </si>
  <si>
    <t xml:space="preserve">1498535</t>
  </si>
  <si>
    <t xml:space="preserve">CTA 5 reprise - N01 - 1300 m3/h - tronçons CTA5-39</t>
  </si>
  <si>
    <t xml:space="preserve">1040305</t>
  </si>
  <si>
    <t xml:space="preserve">1504082</t>
  </si>
  <si>
    <t xml:space="preserve">CTA 5 reprise - N01 - 2030 m3/h - tronçons CTA5-35</t>
  </si>
  <si>
    <t xml:space="preserve">1040301</t>
  </si>
  <si>
    <t xml:space="preserve">CTA 5 soufflage - N01 - 1300 m3/h - tronçons CTA5-39</t>
  </si>
  <si>
    <t xml:space="preserve">1040245</t>
  </si>
  <si>
    <t xml:space="preserve">CTA 5 soufflage - N01 - 2030 m3/h - tronçons CTA5-35</t>
  </si>
  <si>
    <t xml:space="preserve">1040241</t>
  </si>
  <si>
    <t xml:space="preserve">CTA 1 reprise - gaine technique verticale (1260 m3/h)</t>
  </si>
  <si>
    <t xml:space="preserve">Dalle en béton - 200 mm</t>
  </si>
  <si>
    <t xml:space="preserve">Normal : trémie à réserver dans la dalle (demande au lot GO / structure).</t>
  </si>
  <si>
    <t xml:space="preserve">1040115</t>
  </si>
  <si>
    <t xml:space="preserve">5311023</t>
  </si>
  <si>
    <t xml:space="preserve">DAL-DALLE-BETON-20cm</t>
  </si>
  <si>
    <t xml:space="preserve">1463870</t>
  </si>
  <si>
    <t xml:space="preserve">CTA 1 soufflage - gaine technique verticale (1260 m3/h)</t>
  </si>
  <si>
    <t xml:space="preserve">1040095</t>
  </si>
  <si>
    <t xml:space="preserve">CTA 2 reprise - gaine technique verticale (1260 m3/h)</t>
  </si>
  <si>
    <t xml:space="preserve">1040151</t>
  </si>
  <si>
    <t xml:space="preserve">5310364</t>
  </si>
  <si>
    <t xml:space="preserve">1463981</t>
  </si>
  <si>
    <t xml:space="preserve">CTA 2 soufflage - gaine technique verticale (1260 m3/h)</t>
  </si>
  <si>
    <t xml:space="preserve">1040135</t>
  </si>
  <si>
    <t xml:space="preserve">Dalle en béton - 200 ISO 30</t>
  </si>
  <si>
    <t xml:space="preserve">5313270</t>
  </si>
  <si>
    <t xml:space="preserve">1486241</t>
  </si>
  <si>
    <t xml:space="preserve">CTA 4 reprise - gaine technique verticale (1170 m3/h)</t>
  </si>
  <si>
    <t xml:space="preserve">1040207</t>
  </si>
  <si>
    <t xml:space="preserve">5313552</t>
  </si>
  <si>
    <t xml:space="preserve">1486074</t>
  </si>
  <si>
    <t xml:space="preserve">CTA 4 soufflage - gaine technique verticale (1170 m3/h)</t>
  </si>
  <si>
    <t xml:space="preserve">1040193</t>
  </si>
  <si>
    <t xml:space="preserve">CTA 5 reprise - gaine technique verticale (4093 m3/h)</t>
  </si>
  <si>
    <t xml:space="preserve">1040283</t>
  </si>
  <si>
    <t xml:space="preserve">5310257</t>
  </si>
  <si>
    <t xml:space="preserve">FAUX PLAFOND DEMONTABLE</t>
  </si>
  <si>
    <t xml:space="preserve">5369230</t>
  </si>
  <si>
    <t xml:space="preserve">1463768</t>
  </si>
  <si>
    <t xml:space="preserve">CTA 5 reprise - gaine technique verticale (6123 m3/h)</t>
  </si>
  <si>
    <t xml:space="preserve">1040281</t>
  </si>
  <si>
    <t xml:space="preserve">CTA 5 soufflage - gaine technique verticale (6123 m3/h)</t>
  </si>
  <si>
    <t xml:space="preserve">1040221</t>
  </si>
  <si>
    <t xml:space="preserve">CTA 2 reprise - N00 - 810 m3/h - tronçons CTA2-18, CTA2-19, CTA2-20, CTA2-21, CTA2-22, CTA2-23, CTA2-24, CTA2-25, CTA2-26, CTA2-27</t>
  </si>
  <si>
    <t xml:space="preserve">MUR BETON 50 TERRE CUITE</t>
  </si>
  <si>
    <t xml:space="preserve">Réservation à demander au lot GO + calfeutrement ; clapet coupe-feu si paroi CF.</t>
  </si>
  <si>
    <t xml:space="preserve">1040157</t>
  </si>
  <si>
    <t xml:space="preserve">5253104</t>
  </si>
  <si>
    <t xml:space="preserve">MUR-EXT-BETON-20cm</t>
  </si>
  <si>
    <t xml:space="preserve">1436577</t>
  </si>
  <si>
    <t xml:space="preserve">CTA 2 soufflage - N00 - 810 m3/h - tronçons CTA2-18, CTA2-19, CTA2-20, CTA2-21, CTA2-22, CTA2-23, CTA2-24, CTA2-25, CTA2-26, CTA2-27</t>
  </si>
  <si>
    <t xml:space="preserve">1040141</t>
  </si>
  <si>
    <t xml:space="preserve">GO VOILE BETON 16</t>
  </si>
  <si>
    <t xml:space="preserve">5160766</t>
  </si>
  <si>
    <t xml:space="preserve">MUR-INT-BETON-16cm</t>
  </si>
  <si>
    <t xml:space="preserve">1479557</t>
  </si>
  <si>
    <t xml:space="preserve">5161258</t>
  </si>
  <si>
    <t xml:space="preserve">5867183</t>
  </si>
  <si>
    <t xml:space="preserve">1586762</t>
  </si>
  <si>
    <t xml:space="preserve">5922044</t>
  </si>
  <si>
    <t xml:space="preserve">5092266</t>
  </si>
  <si>
    <t xml:space="preserve">5297527</t>
  </si>
  <si>
    <t xml:space="preserve">1478108</t>
  </si>
  <si>
    <t xml:space="preserve">1478798</t>
  </si>
  <si>
    <t xml:space="preserve">CTA 5 reprise - N01 - 561 m3/h - tronçons CTA5-47</t>
  </si>
  <si>
    <t xml:space="preserve">MUR BETON 50 BARDAGE BOIS</t>
  </si>
  <si>
    <t xml:space="preserve">1040335</t>
  </si>
  <si>
    <t xml:space="preserve">5111828</t>
  </si>
  <si>
    <t xml:space="preserve">5828652</t>
  </si>
  <si>
    <t xml:space="preserve">1466548</t>
  </si>
  <si>
    <t xml:space="preserve">1473790</t>
  </si>
  <si>
    <t xml:space="preserve">5075472</t>
  </si>
  <si>
    <t xml:space="preserve">GO VOILE BETON 20</t>
  </si>
  <si>
    <t xml:space="preserve">5359096</t>
  </si>
  <si>
    <t xml:space="preserve">5872347</t>
  </si>
  <si>
    <t xml:space="preserve">1466688</t>
  </si>
  <si>
    <t xml:space="preserve">1480360</t>
  </si>
  <si>
    <t xml:space="preserve">5063284</t>
  </si>
  <si>
    <t xml:space="preserve">5063288</t>
  </si>
  <si>
    <t xml:space="preserve">1454721</t>
  </si>
  <si>
    <t xml:space="preserve">1454907</t>
  </si>
  <si>
    <t xml:space="preserve">5063283</t>
  </si>
  <si>
    <t xml:space="preserve">5063286</t>
  </si>
  <si>
    <t xml:space="preserve">1454134</t>
  </si>
  <si>
    <t xml:space="preserve">1454291</t>
  </si>
  <si>
    <t xml:space="preserve">5078771</t>
  </si>
  <si>
    <t xml:space="preserve">1454610</t>
  </si>
  <si>
    <t xml:space="preserve">CTA 5 soufflage - N00 - 54 m3/h - tronçons CTA5-23, CTA5-24</t>
  </si>
  <si>
    <t xml:space="preserve">1040239</t>
  </si>
  <si>
    <t xml:space="preserve">6112581</t>
  </si>
  <si>
    <t xml:space="preserve">1549787</t>
  </si>
  <si>
    <t xml:space="preserve">5075476</t>
  </si>
  <si>
    <t xml:space="preserve">5080900</t>
  </si>
  <si>
    <t xml:space="preserve">1480494</t>
  </si>
  <si>
    <t xml:space="preserve">1480650</t>
  </si>
  <si>
    <t xml:space="preserve">5102454</t>
  </si>
  <si>
    <t xml:space="preserve">1480702</t>
  </si>
  <si>
    <t xml:space="preserve">CTA 5 soufflage - N01 - 706 m3/h - tronçons CTA5-43, CTA5-44</t>
  </si>
  <si>
    <t xml:space="preserve">1040249</t>
  </si>
  <si>
    <t xml:space="preserve">5075475</t>
  </si>
  <si>
    <t xml:space="preserve">1480194</t>
  </si>
  <si>
    <t xml:space="preserve">CTA 1 reprise - N00 - 630 m3/h - tronçons CTA1-27, CTA1-28, CTA1-29, CTA1-30, CTA1-31, CTA1-32, CTA1-33</t>
  </si>
  <si>
    <t xml:space="preserve">Normal : percement + calfeutrement ; clapet coupe-feu si cloison CF.</t>
  </si>
  <si>
    <t xml:space="preserve">1040127</t>
  </si>
  <si>
    <t xml:space="preserve">5146314</t>
  </si>
  <si>
    <t xml:space="preserve">CTA 1 reprise - N01 - 360 m3/h - tronçons CTA1-04, CTA1-05, CTA1-06, CTA1-07</t>
  </si>
  <si>
    <t xml:space="preserve">CLOISON DEMISTYL</t>
  </si>
  <si>
    <t xml:space="preserve">1040117</t>
  </si>
  <si>
    <t xml:space="preserve">6544884</t>
  </si>
  <si>
    <t xml:space="preserve">CTA 1 reprise - N01 - 630 m3/h - tronçons CTA1-12, CTA1-13, CTA1-14, CTA1-15, CTA1-16, CTA1-17, CTA1-18</t>
  </si>
  <si>
    <t xml:space="preserve">1040121</t>
  </si>
  <si>
    <t xml:space="preserve">5253851</t>
  </si>
  <si>
    <t xml:space="preserve">CTA 1 soufflage - N00 - 630 m3/h - tronçons CTA1-27, CTA1-28, CTA1-29, CTA1-30, CTA1-31, CTA1-32, CTA1-33</t>
  </si>
  <si>
    <t xml:space="preserve">1040107</t>
  </si>
  <si>
    <t xml:space="preserve">CTA 1 soufflage - N01 - 360 m3/h - tronçons CTA1-04, CTA1-05, CTA1-06, CTA1-07</t>
  </si>
  <si>
    <t xml:space="preserve">1040097</t>
  </si>
  <si>
    <t xml:space="preserve">6544885</t>
  </si>
  <si>
    <t xml:space="preserve">6544886</t>
  </si>
  <si>
    <t xml:space="preserve">6544887</t>
  </si>
  <si>
    <t xml:space="preserve">CTA 1 soufflage - N01 - 630 m3/h - tronçons CTA1-12, CTA1-13, CTA1-14, CTA1-15, CTA1-16, CTA1-17, CTA1-18</t>
  </si>
  <si>
    <t xml:space="preserve">1040101</t>
  </si>
  <si>
    <t xml:space="preserve">5083898</t>
  </si>
  <si>
    <t xml:space="preserve">CLOISON - GAINE DF + PAREMENT</t>
  </si>
  <si>
    <t xml:space="preserve">5377048</t>
  </si>
  <si>
    <t xml:space="preserve">CTA 3 reprise - N01 - 810 m3/h - tronçons CTA3-07, CTA3-08</t>
  </si>
  <si>
    <t xml:space="preserve">1040185</t>
  </si>
  <si>
    <t xml:space="preserve">5164973</t>
  </si>
  <si>
    <t xml:space="preserve">5172493</t>
  </si>
  <si>
    <t xml:space="preserve">5640518</t>
  </si>
  <si>
    <t xml:space="preserve">5640634</t>
  </si>
  <si>
    <t xml:space="preserve">6109355</t>
  </si>
  <si>
    <t xml:space="preserve">6657861</t>
  </si>
  <si>
    <t xml:space="preserve">6657888</t>
  </si>
  <si>
    <t xml:space="preserve">CTA 3 soufflage - N01 - 810 m3/h - tronçons CTA3-07, CTA3-08</t>
  </si>
  <si>
    <t xml:space="preserve">1040171</t>
  </si>
  <si>
    <t xml:space="preserve">5082921</t>
  </si>
  <si>
    <t xml:space="preserve">5084062</t>
  </si>
  <si>
    <t xml:space="preserve">CLOISON - GAINE DF</t>
  </si>
  <si>
    <t xml:space="preserve">5163884</t>
  </si>
  <si>
    <t xml:space="preserve">CLOISON DEMISTYL ISOLEE</t>
  </si>
  <si>
    <t xml:space="preserve">5173334</t>
  </si>
  <si>
    <t xml:space="preserve">5640458</t>
  </si>
  <si>
    <t xml:space="preserve">6658145</t>
  </si>
  <si>
    <t xml:space="preserve">6658165</t>
  </si>
  <si>
    <t xml:space="preserve">6658186</t>
  </si>
  <si>
    <t xml:space="preserve">5161001</t>
  </si>
  <si>
    <t xml:space="preserve">5169993</t>
  </si>
  <si>
    <t xml:space="preserve">5451772</t>
  </si>
  <si>
    <t xml:space="preserve">5455601</t>
  </si>
  <si>
    <t xml:space="preserve">CTA 4 soufflage - N01 - 990 m3/h - tronçons CTA4-04, CTA4-05, CTA4-06</t>
  </si>
  <si>
    <t xml:space="preserve">1040197</t>
  </si>
  <si>
    <t xml:space="preserve">5170266</t>
  </si>
  <si>
    <t xml:space="preserve">CLOISON DEMISTYL CUVETTE</t>
  </si>
  <si>
    <t xml:space="preserve">5170893</t>
  </si>
  <si>
    <t xml:space="preserve">5171134</t>
  </si>
  <si>
    <t xml:space="preserve">6658438</t>
  </si>
  <si>
    <t xml:space="preserve">6658460</t>
  </si>
  <si>
    <t xml:space="preserve">6658579</t>
  </si>
  <si>
    <t xml:space="preserve">5619842</t>
  </si>
  <si>
    <t xml:space="preserve">5619850</t>
  </si>
  <si>
    <t xml:space="preserve">5904896</t>
  </si>
  <si>
    <t xml:space="preserve">5904897</t>
  </si>
  <si>
    <t xml:space="preserve">6429265</t>
  </si>
  <si>
    <t xml:space="preserve">6429270</t>
  </si>
  <si>
    <t xml:space="preserve">5221200</t>
  </si>
  <si>
    <t xml:space="preserve">5612326</t>
  </si>
  <si>
    <t xml:space="preserve">5638953</t>
  </si>
  <si>
    <t xml:space="preserve">6968098</t>
  </si>
  <si>
    <t xml:space="preserve">5190030</t>
  </si>
  <si>
    <t xml:space="preserve">5398573</t>
  </si>
  <si>
    <t xml:space="preserve">5925867</t>
  </si>
  <si>
    <t xml:space="preserve">5927366</t>
  </si>
  <si>
    <t xml:space="preserve">5404353</t>
  </si>
  <si>
    <t xml:space="preserve">5926019</t>
  </si>
  <si>
    <t xml:space="preserve">5191638</t>
  </si>
  <si>
    <t xml:space="preserve">5298247</t>
  </si>
  <si>
    <t xml:space="preserve">5670936</t>
  </si>
  <si>
    <t xml:space="preserve">5406819</t>
  </si>
  <si>
    <t xml:space="preserve">CLOISON CARREAUX PLATRE</t>
  </si>
  <si>
    <t xml:space="preserve">5406890</t>
  </si>
  <si>
    <t xml:space="preserve">5406950</t>
  </si>
  <si>
    <t xml:space="preserve">5407016</t>
  </si>
  <si>
    <t xml:space="preserve">5171569</t>
  </si>
  <si>
    <t xml:space="preserve">5833147</t>
  </si>
  <si>
    <t xml:space="preserve">5833148</t>
  </si>
  <si>
    <t xml:space="preserve">5203400</t>
  </si>
  <si>
    <t xml:space="preserve">5905202</t>
  </si>
  <si>
    <t xml:space="preserve">6429320</t>
  </si>
  <si>
    <t xml:space="preserve">5063814</t>
  </si>
  <si>
    <t xml:space="preserve">5064056</t>
  </si>
  <si>
    <t xml:space="preserve">CLOISON 70 ISOLEE</t>
  </si>
  <si>
    <t xml:space="preserve">5072400</t>
  </si>
  <si>
    <t xml:space="preserve">5731365</t>
  </si>
  <si>
    <t xml:space="preserve">5731413</t>
  </si>
  <si>
    <t xml:space="preserve">5926083</t>
  </si>
  <si>
    <t xml:space="preserve">5374328</t>
  </si>
  <si>
    <t xml:space="preserve">5381647</t>
  </si>
  <si>
    <t xml:space="preserve">5382067</t>
  </si>
  <si>
    <t xml:space="preserve">5383267</t>
  </si>
  <si>
    <t xml:space="preserve">5928578</t>
  </si>
  <si>
    <t xml:space="preserve">5928610</t>
  </si>
  <si>
    <t xml:space="preserve">6689683</t>
  </si>
  <si>
    <t xml:space="preserve">CLOISON DEMISTYL 2</t>
  </si>
  <si>
    <t xml:space="preserve">6907679</t>
  </si>
  <si>
    <t xml:space="preserve">CTA 5 soufflage - N00 - 3394 m3/h - tronçons CTA5-11, CTA5-12, CTA5-13</t>
  </si>
  <si>
    <t xml:space="preserve">1040231</t>
  </si>
  <si>
    <t xml:space="preserve">5090322</t>
  </si>
  <si>
    <t xml:space="preserve">CTA 5 soufflage - N00 - 3778 m3/h - tronçons CTA5-08, CTA5-09, CTA5-10</t>
  </si>
  <si>
    <t xml:space="preserve">1040229</t>
  </si>
  <si>
    <t xml:space="preserve">5089509</t>
  </si>
  <si>
    <t xml:space="preserve">5923971</t>
  </si>
  <si>
    <t xml:space="preserve">5924098</t>
  </si>
  <si>
    <t xml:space="preserve">5924459</t>
  </si>
  <si>
    <t xml:space="preserve">5924501</t>
  </si>
  <si>
    <t xml:space="preserve">CTA 5 soufflage - N00 - 4039 m3/h - tronçons CTA5-04</t>
  </si>
  <si>
    <t xml:space="preserve">1040225</t>
  </si>
  <si>
    <t xml:space="preserve">5373219</t>
  </si>
  <si>
    <t xml:space="preserve">5386095</t>
  </si>
  <si>
    <t xml:space="preserve">5082923</t>
  </si>
  <si>
    <t xml:space="preserve">5172622</t>
  </si>
  <si>
    <t xml:space="preserve">5640589</t>
  </si>
  <si>
    <t xml:space="preserve">5924254</t>
  </si>
  <si>
    <t xml:space="preserve">5924299</t>
  </si>
  <si>
    <t xml:space="preserve">6476378</t>
  </si>
  <si>
    <t xml:space="preserve">6656208</t>
  </si>
  <si>
    <t xml:space="preserve">5082966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</si>
</sst>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FAD"/>
      <name val="Arial"/>
      <family val="0"/>
      <charset val="1"/>
    </font>
    <font>
      <i val="true"/>
      <sz val="9"/>
      <color rgb="FF6E6A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62626"/>
        <bgColor rgb="FF333300"/>
      </patternFill>
    </fill>
    <fill>
      <patternFill patternType="solid">
        <fgColor rgb="FFF6F2EF"/>
        <bgColor rgb="FFFFFFFF"/>
      </patternFill>
    </fill>
    <fill>
      <patternFill patternType="solid">
        <fgColor rgb="FFFFF2CC"/>
        <bgColor rgb="FFF6F2E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2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6F2EF"/>
      <rgbColor rgb="FF660066"/>
      <rgbColor rgb="FFFF8080"/>
      <rgbColor rgb="FF1F5FAD"/>
      <rgbColor rgb="FFD9D2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A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14"/>
    <col collapsed="false" customWidth="true" hidden="false" outlineLevel="0" max="13" min="13" style="0" width="4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79.85" hidden="false" customHeight="false" outlineLevel="0" collapsed="false">
      <c r="A5" s="4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n">
        <v>7.27</v>
      </c>
      <c r="J5" s="5" t="s">
        <v>24</v>
      </c>
      <c r="K5" s="5" t="s">
        <v>25</v>
      </c>
      <c r="L5" s="5" t="s">
        <v>26</v>
      </c>
      <c r="M5" s="5" t="s">
        <v>27</v>
      </c>
      <c r="N5" s="5" t="s">
        <v>28</v>
      </c>
    </row>
    <row r="6" customFormat="false" ht="79.85" hidden="false" customHeight="false" outlineLevel="0" collapsed="false">
      <c r="A6" s="6" t="s">
        <v>29</v>
      </c>
      <c r="B6" s="7" t="s">
        <v>30</v>
      </c>
      <c r="C6" s="7" t="s">
        <v>18</v>
      </c>
      <c r="D6" s="7" t="s">
        <v>19</v>
      </c>
      <c r="E6" s="7" t="s">
        <v>31</v>
      </c>
      <c r="F6" s="7" t="s">
        <v>21</v>
      </c>
      <c r="G6" s="7" t="s">
        <v>22</v>
      </c>
      <c r="H6" s="7" t="s">
        <v>23</v>
      </c>
      <c r="I6" s="7" t="n">
        <v>7.27</v>
      </c>
      <c r="J6" s="7" t="s">
        <v>32</v>
      </c>
      <c r="K6" s="7" t="s">
        <v>33</v>
      </c>
      <c r="L6" s="7" t="s">
        <v>34</v>
      </c>
      <c r="M6" s="7" t="s">
        <v>27</v>
      </c>
      <c r="N6" s="7" t="s">
        <v>35</v>
      </c>
    </row>
    <row r="7" customFormat="false" ht="79.85" hidden="false" customHeight="false" outlineLevel="0" collapsed="false">
      <c r="A7" s="4" t="s">
        <v>36</v>
      </c>
      <c r="B7" s="5" t="s">
        <v>37</v>
      </c>
      <c r="C7" s="5" t="s">
        <v>18</v>
      </c>
      <c r="D7" s="5" t="s">
        <v>19</v>
      </c>
      <c r="E7" s="5" t="s">
        <v>38</v>
      </c>
      <c r="F7" s="5" t="s">
        <v>21</v>
      </c>
      <c r="G7" s="5" t="s">
        <v>22</v>
      </c>
      <c r="H7" s="5" t="s">
        <v>23</v>
      </c>
      <c r="I7" s="5" t="n">
        <v>7.27</v>
      </c>
      <c r="J7" s="5" t="s">
        <v>24</v>
      </c>
      <c r="K7" s="5" t="s">
        <v>39</v>
      </c>
      <c r="L7" s="5" t="s">
        <v>40</v>
      </c>
      <c r="M7" s="5" t="s">
        <v>27</v>
      </c>
      <c r="N7" s="5" t="s">
        <v>41</v>
      </c>
    </row>
    <row r="8" customFormat="false" ht="79.85" hidden="false" customHeight="false" outlineLevel="0" collapsed="false">
      <c r="A8" s="6" t="s">
        <v>42</v>
      </c>
      <c r="B8" s="7" t="s">
        <v>43</v>
      </c>
      <c r="C8" s="7" t="s">
        <v>18</v>
      </c>
      <c r="D8" s="7" t="s">
        <v>19</v>
      </c>
      <c r="E8" s="7" t="s">
        <v>38</v>
      </c>
      <c r="F8" s="7" t="s">
        <v>21</v>
      </c>
      <c r="G8" s="7" t="s">
        <v>22</v>
      </c>
      <c r="H8" s="7" t="s">
        <v>23</v>
      </c>
      <c r="I8" s="7" t="n">
        <v>7.27</v>
      </c>
      <c r="J8" s="7" t="s">
        <v>24</v>
      </c>
      <c r="K8" s="7" t="s">
        <v>44</v>
      </c>
      <c r="L8" s="7" t="s">
        <v>45</v>
      </c>
      <c r="M8" s="7" t="s">
        <v>27</v>
      </c>
      <c r="N8" s="7" t="s">
        <v>46</v>
      </c>
    </row>
    <row r="9" customFormat="false" ht="79.85" hidden="false" customHeight="false" outlineLevel="0" collapsed="false">
      <c r="A9" s="4" t="s">
        <v>47</v>
      </c>
      <c r="B9" s="5" t="s">
        <v>48</v>
      </c>
      <c r="C9" s="5" t="s">
        <v>18</v>
      </c>
      <c r="D9" s="5" t="s">
        <v>49</v>
      </c>
      <c r="E9" s="5" t="s">
        <v>50</v>
      </c>
      <c r="F9" s="5" t="s">
        <v>51</v>
      </c>
      <c r="G9" s="5" t="s">
        <v>22</v>
      </c>
      <c r="H9" s="5" t="s">
        <v>23</v>
      </c>
      <c r="I9" s="5" t="n">
        <v>7.27</v>
      </c>
      <c r="J9" s="5" t="s">
        <v>52</v>
      </c>
      <c r="K9" s="5" t="s">
        <v>53</v>
      </c>
      <c r="L9" s="5" t="s">
        <v>54</v>
      </c>
      <c r="M9" s="5" t="s">
        <v>55</v>
      </c>
      <c r="N9" s="5" t="s">
        <v>56</v>
      </c>
    </row>
    <row r="10" customFormat="false" ht="35.05" hidden="false" customHeight="false" outlineLevel="0" collapsed="false">
      <c r="A10" s="6" t="s">
        <v>57</v>
      </c>
      <c r="B10" s="7" t="s">
        <v>58</v>
      </c>
      <c r="C10" s="7" t="s">
        <v>59</v>
      </c>
      <c r="D10" s="7" t="s">
        <v>58</v>
      </c>
      <c r="E10" s="7" t="s">
        <v>60</v>
      </c>
      <c r="F10" s="7" t="s">
        <v>61</v>
      </c>
      <c r="G10" s="7" t="s">
        <v>62</v>
      </c>
      <c r="H10" s="7" t="s">
        <v>63</v>
      </c>
      <c r="I10" s="7" t="n">
        <v>0</v>
      </c>
      <c r="J10" s="7" t="s">
        <v>64</v>
      </c>
      <c r="K10" s="7" t="s">
        <v>65</v>
      </c>
      <c r="L10" s="7"/>
      <c r="M10" s="7" t="s">
        <v>66</v>
      </c>
      <c r="N10" s="7" t="s">
        <v>67</v>
      </c>
    </row>
    <row r="11" customFormat="false" ht="46.25" hidden="false" customHeight="false" outlineLevel="0" collapsed="false">
      <c r="A11" s="4" t="s">
        <v>68</v>
      </c>
      <c r="B11" s="5" t="s">
        <v>69</v>
      </c>
      <c r="C11" s="5" t="s">
        <v>70</v>
      </c>
      <c r="D11" s="5" t="s">
        <v>71</v>
      </c>
      <c r="E11" s="5" t="s">
        <v>72</v>
      </c>
      <c r="F11" s="5" t="s">
        <v>73</v>
      </c>
      <c r="G11" s="5" t="s">
        <v>62</v>
      </c>
      <c r="H11" s="5" t="s">
        <v>63</v>
      </c>
      <c r="I11" s="5" t="n">
        <v>0.1</v>
      </c>
      <c r="J11" s="5" t="s">
        <v>74</v>
      </c>
      <c r="K11" s="5" t="s">
        <v>75</v>
      </c>
      <c r="L11" s="5" t="s">
        <v>76</v>
      </c>
      <c r="M11" s="5" t="s">
        <v>77</v>
      </c>
      <c r="N11" s="5" t="s">
        <v>78</v>
      </c>
    </row>
    <row r="12" customFormat="false" ht="46.25" hidden="false" customHeight="false" outlineLevel="0" collapsed="false">
      <c r="A12" s="6" t="s">
        <v>79</v>
      </c>
      <c r="B12" s="7" t="s">
        <v>80</v>
      </c>
      <c r="C12" s="7" t="s">
        <v>70</v>
      </c>
      <c r="D12" s="7" t="s">
        <v>71</v>
      </c>
      <c r="E12" s="7" t="s">
        <v>81</v>
      </c>
      <c r="F12" s="7" t="s">
        <v>73</v>
      </c>
      <c r="G12" s="7" t="s">
        <v>62</v>
      </c>
      <c r="H12" s="7" t="s">
        <v>63</v>
      </c>
      <c r="I12" s="7" t="n">
        <v>0.1</v>
      </c>
      <c r="J12" s="7" t="s">
        <v>74</v>
      </c>
      <c r="K12" s="7" t="s">
        <v>82</v>
      </c>
      <c r="L12" s="7" t="s">
        <v>83</v>
      </c>
      <c r="M12" s="7" t="s">
        <v>77</v>
      </c>
      <c r="N12" s="7" t="s">
        <v>84</v>
      </c>
    </row>
    <row r="13" customFormat="false" ht="46.25" hidden="false" customHeight="false" outlineLevel="0" collapsed="false">
      <c r="A13" s="4" t="s">
        <v>85</v>
      </c>
      <c r="B13" s="5" t="s">
        <v>86</v>
      </c>
      <c r="C13" s="5" t="s">
        <v>87</v>
      </c>
      <c r="D13" s="5" t="s">
        <v>88</v>
      </c>
      <c r="E13" s="5" t="s">
        <v>89</v>
      </c>
      <c r="F13" s="5" t="s">
        <v>90</v>
      </c>
      <c r="G13" s="5" t="s">
        <v>62</v>
      </c>
      <c r="H13" s="5" t="s">
        <v>63</v>
      </c>
      <c r="I13" s="5" t="n">
        <v>0.1</v>
      </c>
      <c r="J13" s="5" t="s">
        <v>91</v>
      </c>
      <c r="K13" s="5" t="s">
        <v>92</v>
      </c>
      <c r="L13" s="5" t="s">
        <v>93</v>
      </c>
      <c r="M13" s="5" t="s">
        <v>94</v>
      </c>
      <c r="N13" s="5" t="s">
        <v>95</v>
      </c>
    </row>
    <row r="14" customFormat="false" ht="57.45" hidden="false" customHeight="false" outlineLevel="0" collapsed="false">
      <c r="A14" s="6" t="s">
        <v>96</v>
      </c>
      <c r="B14" s="7" t="s">
        <v>97</v>
      </c>
      <c r="C14" s="7" t="s">
        <v>87</v>
      </c>
      <c r="D14" s="7" t="s">
        <v>98</v>
      </c>
      <c r="E14" s="7" t="s">
        <v>99</v>
      </c>
      <c r="F14" s="7" t="s">
        <v>100</v>
      </c>
      <c r="G14" s="7" t="s">
        <v>62</v>
      </c>
      <c r="H14" s="7" t="s">
        <v>63</v>
      </c>
      <c r="I14" s="7" t="n">
        <v>0.75</v>
      </c>
      <c r="J14" s="7" t="s">
        <v>101</v>
      </c>
      <c r="K14" s="7" t="s">
        <v>102</v>
      </c>
      <c r="L14" s="7"/>
      <c r="M14" s="7" t="s">
        <v>103</v>
      </c>
      <c r="N14" s="7" t="s">
        <v>104</v>
      </c>
    </row>
    <row r="15" customFormat="false" ht="57.45" hidden="false" customHeight="false" outlineLevel="0" collapsed="false">
      <c r="A15" s="4" t="s">
        <v>105</v>
      </c>
      <c r="B15" s="5" t="s">
        <v>97</v>
      </c>
      <c r="C15" s="5" t="s">
        <v>87</v>
      </c>
      <c r="D15" s="5" t="s">
        <v>98</v>
      </c>
      <c r="E15" s="5" t="s">
        <v>99</v>
      </c>
      <c r="F15" s="5" t="s">
        <v>100</v>
      </c>
      <c r="G15" s="5" t="s">
        <v>62</v>
      </c>
      <c r="H15" s="5" t="s">
        <v>63</v>
      </c>
      <c r="I15" s="5" t="n">
        <v>0.75</v>
      </c>
      <c r="J15" s="5" t="s">
        <v>101</v>
      </c>
      <c r="K15" s="5" t="s">
        <v>106</v>
      </c>
      <c r="L15" s="5"/>
      <c r="M15" s="5" t="s">
        <v>103</v>
      </c>
      <c r="N15" s="5" t="s">
        <v>107</v>
      </c>
    </row>
    <row r="16" customFormat="false" ht="23.85" hidden="false" customHeight="false" outlineLevel="0" collapsed="false">
      <c r="A16" s="6" t="s">
        <v>108</v>
      </c>
      <c r="B16" s="7" t="s">
        <v>109</v>
      </c>
      <c r="C16" s="7" t="s">
        <v>110</v>
      </c>
      <c r="D16" s="7" t="s">
        <v>111</v>
      </c>
      <c r="E16" s="7" t="s">
        <v>112</v>
      </c>
      <c r="F16" s="7" t="s">
        <v>113</v>
      </c>
      <c r="G16" s="7" t="s">
        <v>62</v>
      </c>
      <c r="H16" s="7" t="s">
        <v>63</v>
      </c>
      <c r="I16" s="7" t="n">
        <v>1.1</v>
      </c>
      <c r="J16" s="7" t="s">
        <v>114</v>
      </c>
      <c r="K16" s="7" t="s">
        <v>115</v>
      </c>
      <c r="L16" s="7"/>
      <c r="M16" s="7" t="s">
        <v>116</v>
      </c>
      <c r="N16" s="7" t="s">
        <v>117</v>
      </c>
    </row>
    <row r="17" customFormat="false" ht="23.85" hidden="false" customHeight="false" outlineLevel="0" collapsed="false">
      <c r="A17" s="4" t="s">
        <v>118</v>
      </c>
      <c r="B17" s="5" t="s">
        <v>119</v>
      </c>
      <c r="C17" s="5" t="s">
        <v>110</v>
      </c>
      <c r="D17" s="5" t="s">
        <v>111</v>
      </c>
      <c r="E17" s="5" t="s">
        <v>120</v>
      </c>
      <c r="F17" s="5" t="s">
        <v>113</v>
      </c>
      <c r="G17" s="5" t="s">
        <v>62</v>
      </c>
      <c r="H17" s="5" t="s">
        <v>63</v>
      </c>
      <c r="I17" s="5" t="n">
        <v>1.1</v>
      </c>
      <c r="J17" s="5" t="s">
        <v>114</v>
      </c>
      <c r="K17" s="5" t="s">
        <v>115</v>
      </c>
      <c r="L17" s="5"/>
      <c r="M17" s="5" t="s">
        <v>116</v>
      </c>
      <c r="N17" s="5" t="s">
        <v>121</v>
      </c>
    </row>
    <row r="18" customFormat="false" ht="46.25" hidden="false" customHeight="false" outlineLevel="0" collapsed="false">
      <c r="A18" s="6" t="s">
        <v>122</v>
      </c>
      <c r="B18" s="7" t="s">
        <v>123</v>
      </c>
      <c r="C18" s="7" t="s">
        <v>70</v>
      </c>
      <c r="D18" s="7" t="s">
        <v>124</v>
      </c>
      <c r="E18" s="7" t="s">
        <v>125</v>
      </c>
      <c r="F18" s="7" t="s">
        <v>73</v>
      </c>
      <c r="G18" s="7" t="s">
        <v>62</v>
      </c>
      <c r="H18" s="7" t="s">
        <v>63</v>
      </c>
      <c r="I18" s="7" t="n">
        <v>0</v>
      </c>
      <c r="J18" s="7" t="s">
        <v>126</v>
      </c>
      <c r="K18" s="7" t="s">
        <v>127</v>
      </c>
      <c r="L18" s="7"/>
      <c r="M18" s="7" t="s">
        <v>128</v>
      </c>
      <c r="N18" s="7" t="s">
        <v>129</v>
      </c>
    </row>
    <row r="19" customFormat="false" ht="35.05" hidden="false" customHeight="false" outlineLevel="0" collapsed="false">
      <c r="A19" s="4" t="s">
        <v>130</v>
      </c>
      <c r="B19" s="5" t="s">
        <v>131</v>
      </c>
      <c r="C19" s="5" t="s">
        <v>132</v>
      </c>
      <c r="D19" s="5" t="s">
        <v>131</v>
      </c>
      <c r="E19" s="5" t="s">
        <v>133</v>
      </c>
      <c r="F19" s="5" t="s">
        <v>134</v>
      </c>
      <c r="G19" s="5" t="s">
        <v>62</v>
      </c>
      <c r="H19" s="5" t="s">
        <v>63</v>
      </c>
      <c r="I19" s="5" t="n">
        <v>1</v>
      </c>
      <c r="J19" s="5" t="s">
        <v>135</v>
      </c>
      <c r="K19" s="5" t="s">
        <v>136</v>
      </c>
      <c r="L19" s="5"/>
      <c r="M19" s="5" t="s">
        <v>137</v>
      </c>
      <c r="N19" s="5" t="s">
        <v>138</v>
      </c>
    </row>
    <row r="20" customFormat="false" ht="46.25" hidden="false" customHeight="false" outlineLevel="0" collapsed="false">
      <c r="A20" s="6" t="s">
        <v>139</v>
      </c>
      <c r="B20" s="7" t="s">
        <v>140</v>
      </c>
      <c r="C20" s="7" t="s">
        <v>87</v>
      </c>
      <c r="D20" s="7" t="s">
        <v>141</v>
      </c>
      <c r="E20" s="7" t="s">
        <v>142</v>
      </c>
      <c r="F20" s="7" t="s">
        <v>143</v>
      </c>
      <c r="G20" s="7" t="s">
        <v>62</v>
      </c>
      <c r="H20" s="7" t="s">
        <v>144</v>
      </c>
      <c r="I20" s="7" t="n">
        <v>0.1</v>
      </c>
      <c r="J20" s="7" t="s">
        <v>145</v>
      </c>
      <c r="K20" s="7" t="s">
        <v>146</v>
      </c>
      <c r="L20" s="7" t="s">
        <v>147</v>
      </c>
      <c r="M20" s="7" t="s">
        <v>148</v>
      </c>
      <c r="N20" s="7" t="s">
        <v>149</v>
      </c>
    </row>
    <row r="21" customFormat="false" ht="46.25" hidden="false" customHeight="false" outlineLevel="0" collapsed="false">
      <c r="A21" s="4" t="s">
        <v>150</v>
      </c>
      <c r="B21" s="5" t="s">
        <v>140</v>
      </c>
      <c r="C21" s="5" t="s">
        <v>87</v>
      </c>
      <c r="D21" s="5" t="s">
        <v>141</v>
      </c>
      <c r="E21" s="5" t="s">
        <v>142</v>
      </c>
      <c r="F21" s="5" t="s">
        <v>143</v>
      </c>
      <c r="G21" s="5" t="s">
        <v>62</v>
      </c>
      <c r="H21" s="5" t="s">
        <v>144</v>
      </c>
      <c r="I21" s="5" t="n">
        <v>0.1</v>
      </c>
      <c r="J21" s="5" t="s">
        <v>145</v>
      </c>
      <c r="K21" s="5" t="s">
        <v>151</v>
      </c>
      <c r="L21" s="5" t="s">
        <v>152</v>
      </c>
      <c r="M21" s="5" t="s">
        <v>148</v>
      </c>
      <c r="N21" s="5" t="s">
        <v>153</v>
      </c>
    </row>
    <row r="22" customFormat="false" ht="23.85" hidden="false" customHeight="false" outlineLevel="0" collapsed="false">
      <c r="A22" s="6" t="s">
        <v>154</v>
      </c>
      <c r="B22" s="7" t="s">
        <v>155</v>
      </c>
      <c r="C22" s="7" t="s">
        <v>156</v>
      </c>
      <c r="D22" s="7" t="s">
        <v>155</v>
      </c>
      <c r="E22" s="7" t="s">
        <v>157</v>
      </c>
      <c r="F22" s="7" t="s">
        <v>158</v>
      </c>
      <c r="G22" s="7" t="s">
        <v>62</v>
      </c>
      <c r="H22" s="7" t="s">
        <v>159</v>
      </c>
      <c r="I22" s="7" t="n">
        <v>2.48</v>
      </c>
      <c r="J22" s="7" t="s">
        <v>160</v>
      </c>
      <c r="K22" s="7" t="s">
        <v>161</v>
      </c>
      <c r="L22" s="7"/>
      <c r="M22" s="7" t="s">
        <v>162</v>
      </c>
      <c r="N22" s="7" t="s">
        <v>163</v>
      </c>
    </row>
    <row r="23" customFormat="false" ht="23.85" hidden="false" customHeight="false" outlineLevel="0" collapsed="false">
      <c r="A23" s="4" t="s">
        <v>164</v>
      </c>
      <c r="B23" s="5" t="s">
        <v>165</v>
      </c>
      <c r="C23" s="5" t="s">
        <v>166</v>
      </c>
      <c r="D23" s="5" t="s">
        <v>165</v>
      </c>
      <c r="E23" s="5" t="s">
        <v>167</v>
      </c>
      <c r="F23" s="5" t="s">
        <v>168</v>
      </c>
      <c r="G23" s="5" t="s">
        <v>62</v>
      </c>
      <c r="H23" s="5" t="s">
        <v>63</v>
      </c>
      <c r="I23" s="5" t="n">
        <v>0</v>
      </c>
      <c r="J23" s="5" t="s">
        <v>169</v>
      </c>
      <c r="K23" s="5" t="s">
        <v>170</v>
      </c>
      <c r="L23" s="5"/>
      <c r="M23" s="5" t="s">
        <v>171</v>
      </c>
      <c r="N23" s="5" t="s">
        <v>172</v>
      </c>
    </row>
    <row r="24" customFormat="false" ht="23.85" hidden="false" customHeight="false" outlineLevel="0" collapsed="false">
      <c r="A24" s="6" t="s">
        <v>173</v>
      </c>
      <c r="B24" s="7" t="s">
        <v>165</v>
      </c>
      <c r="C24" s="7" t="s">
        <v>166</v>
      </c>
      <c r="D24" s="7" t="s">
        <v>165</v>
      </c>
      <c r="E24" s="7" t="s">
        <v>167</v>
      </c>
      <c r="F24" s="7" t="s">
        <v>168</v>
      </c>
      <c r="G24" s="7" t="s">
        <v>62</v>
      </c>
      <c r="H24" s="7" t="s">
        <v>63</v>
      </c>
      <c r="I24" s="7" t="n">
        <v>0</v>
      </c>
      <c r="J24" s="7" t="s">
        <v>169</v>
      </c>
      <c r="K24" s="7" t="s">
        <v>170</v>
      </c>
      <c r="L24" s="7"/>
      <c r="M24" s="7" t="s">
        <v>171</v>
      </c>
      <c r="N24" s="7" t="s">
        <v>174</v>
      </c>
    </row>
    <row r="26" customFormat="false" ht="15" hidden="false" customHeight="false" outlineLevel="0" collapsed="false">
      <c r="A26" s="8" t="s">
        <v>175</v>
      </c>
    </row>
    <row r="27" customFormat="false" ht="68.65" hidden="false" customHeight="false" outlineLevel="0" collapsed="false">
      <c r="A27" s="7" t="s">
        <v>76</v>
      </c>
      <c r="B27" s="7" t="s">
        <v>176</v>
      </c>
      <c r="C27" s="7"/>
      <c r="D27" s="7"/>
      <c r="E27" s="7" t="s">
        <v>177</v>
      </c>
      <c r="F27" s="7" t="s">
        <v>178</v>
      </c>
      <c r="G27" s="7" t="s">
        <v>62</v>
      </c>
      <c r="H27" s="7" t="s">
        <v>63</v>
      </c>
      <c r="I27" s="7" t="n">
        <v>0</v>
      </c>
      <c r="J27" s="7" t="s">
        <v>179</v>
      </c>
      <c r="K27" s="7"/>
      <c r="L27" s="7" t="s">
        <v>180</v>
      </c>
      <c r="M27" s="7" t="s">
        <v>181</v>
      </c>
      <c r="N27" s="7" t="s">
        <v>182</v>
      </c>
    </row>
    <row r="28" customFormat="false" ht="68.65" hidden="false" customHeight="false" outlineLevel="0" collapsed="false">
      <c r="A28" s="7" t="s">
        <v>83</v>
      </c>
      <c r="B28" s="7" t="s">
        <v>176</v>
      </c>
      <c r="C28" s="7"/>
      <c r="D28" s="7"/>
      <c r="E28" s="7" t="s">
        <v>177</v>
      </c>
      <c r="F28" s="7" t="s">
        <v>178</v>
      </c>
      <c r="G28" s="7" t="s">
        <v>62</v>
      </c>
      <c r="H28" s="7" t="s">
        <v>63</v>
      </c>
      <c r="I28" s="7" t="n">
        <v>0</v>
      </c>
      <c r="J28" s="7" t="s">
        <v>179</v>
      </c>
      <c r="K28" s="7"/>
      <c r="L28" s="7" t="s">
        <v>183</v>
      </c>
      <c r="M28" s="7" t="s">
        <v>181</v>
      </c>
      <c r="N28" s="7" t="s">
        <v>184</v>
      </c>
    </row>
    <row r="29" customFormat="false" ht="68.65" hidden="false" customHeight="false" outlineLevel="0" collapsed="false">
      <c r="A29" s="7" t="s">
        <v>93</v>
      </c>
      <c r="B29" s="7" t="s">
        <v>185</v>
      </c>
      <c r="C29" s="7"/>
      <c r="D29" s="7"/>
      <c r="E29" s="7" t="s">
        <v>177</v>
      </c>
      <c r="F29" s="7" t="s">
        <v>178</v>
      </c>
      <c r="G29" s="7" t="s">
        <v>62</v>
      </c>
      <c r="H29" s="7" t="s">
        <v>63</v>
      </c>
      <c r="I29" s="7" t="n">
        <v>0</v>
      </c>
      <c r="J29" s="7" t="s">
        <v>186</v>
      </c>
      <c r="K29" s="7"/>
      <c r="L29" s="7" t="s">
        <v>187</v>
      </c>
      <c r="M29" s="7" t="s">
        <v>181</v>
      </c>
      <c r="N29" s="7" t="s">
        <v>188</v>
      </c>
    </row>
    <row r="30" customFormat="false" ht="147" hidden="false" customHeight="false" outlineLevel="0" collapsed="false">
      <c r="A30" s="7" t="s">
        <v>26</v>
      </c>
      <c r="B30" s="7" t="s">
        <v>189</v>
      </c>
      <c r="C30" s="7"/>
      <c r="D30" s="7"/>
      <c r="E30" s="7" t="s">
        <v>190</v>
      </c>
      <c r="F30" s="7" t="s">
        <v>191</v>
      </c>
      <c r="G30" s="7" t="s">
        <v>22</v>
      </c>
      <c r="H30" s="7" t="s">
        <v>23</v>
      </c>
      <c r="I30" s="7" t="n">
        <v>7.02</v>
      </c>
      <c r="J30" s="7" t="s">
        <v>192</v>
      </c>
      <c r="K30" s="7"/>
      <c r="L30" s="7" t="s">
        <v>193</v>
      </c>
      <c r="M30" s="7" t="s">
        <v>194</v>
      </c>
      <c r="N30" s="7" t="s">
        <v>195</v>
      </c>
    </row>
    <row r="31" customFormat="false" ht="147" hidden="false" customHeight="false" outlineLevel="0" collapsed="false">
      <c r="A31" s="7" t="s">
        <v>34</v>
      </c>
      <c r="B31" s="7" t="s">
        <v>189</v>
      </c>
      <c r="C31" s="7"/>
      <c r="D31" s="7"/>
      <c r="E31" s="7" t="s">
        <v>190</v>
      </c>
      <c r="F31" s="7" t="s">
        <v>191</v>
      </c>
      <c r="G31" s="7" t="s">
        <v>22</v>
      </c>
      <c r="H31" s="7" t="s">
        <v>23</v>
      </c>
      <c r="I31" s="7" t="n">
        <v>7.02</v>
      </c>
      <c r="J31" s="7" t="s">
        <v>196</v>
      </c>
      <c r="K31" s="7"/>
      <c r="L31" s="7" t="s">
        <v>197</v>
      </c>
      <c r="M31" s="7" t="s">
        <v>194</v>
      </c>
      <c r="N31" s="7" t="s">
        <v>198</v>
      </c>
    </row>
    <row r="32" customFormat="false" ht="147" hidden="false" customHeight="false" outlineLevel="0" collapsed="false">
      <c r="A32" s="7" t="s">
        <v>40</v>
      </c>
      <c r="B32" s="7" t="s">
        <v>189</v>
      </c>
      <c r="C32" s="7"/>
      <c r="D32" s="7"/>
      <c r="E32" s="7" t="s">
        <v>190</v>
      </c>
      <c r="F32" s="7" t="s">
        <v>191</v>
      </c>
      <c r="G32" s="7" t="s">
        <v>22</v>
      </c>
      <c r="H32" s="7" t="s">
        <v>23</v>
      </c>
      <c r="I32" s="7" t="n">
        <v>7.02</v>
      </c>
      <c r="J32" s="7" t="s">
        <v>192</v>
      </c>
      <c r="K32" s="7"/>
      <c r="L32" s="7" t="s">
        <v>199</v>
      </c>
      <c r="M32" s="7" t="s">
        <v>194</v>
      </c>
      <c r="N32" s="7" t="s">
        <v>200</v>
      </c>
    </row>
    <row r="33" customFormat="false" ht="147" hidden="false" customHeight="false" outlineLevel="0" collapsed="false">
      <c r="A33" s="7" t="s">
        <v>45</v>
      </c>
      <c r="B33" s="7" t="s">
        <v>189</v>
      </c>
      <c r="C33" s="7"/>
      <c r="D33" s="7"/>
      <c r="E33" s="7" t="s">
        <v>190</v>
      </c>
      <c r="F33" s="7" t="s">
        <v>191</v>
      </c>
      <c r="G33" s="7" t="s">
        <v>22</v>
      </c>
      <c r="H33" s="7" t="s">
        <v>23</v>
      </c>
      <c r="I33" s="7" t="n">
        <v>7.02</v>
      </c>
      <c r="J33" s="7" t="s">
        <v>192</v>
      </c>
      <c r="K33" s="7"/>
      <c r="L33" s="7" t="s">
        <v>201</v>
      </c>
      <c r="M33" s="7" t="s">
        <v>194</v>
      </c>
      <c r="N33" s="7" t="s">
        <v>202</v>
      </c>
    </row>
    <row r="34" customFormat="false" ht="147" hidden="false" customHeight="false" outlineLevel="0" collapsed="false">
      <c r="A34" s="7" t="s">
        <v>54</v>
      </c>
      <c r="B34" s="7" t="s">
        <v>203</v>
      </c>
      <c r="C34" s="7"/>
      <c r="D34" s="7"/>
      <c r="E34" s="7" t="s">
        <v>190</v>
      </c>
      <c r="F34" s="7" t="s">
        <v>191</v>
      </c>
      <c r="G34" s="7" t="s">
        <v>22</v>
      </c>
      <c r="H34" s="7" t="s">
        <v>23</v>
      </c>
      <c r="I34" s="7" t="n">
        <v>7.02</v>
      </c>
      <c r="J34" s="7" t="s">
        <v>204</v>
      </c>
      <c r="K34" s="7"/>
      <c r="L34" s="7" t="s">
        <v>205</v>
      </c>
      <c r="M34" s="7" t="s">
        <v>194</v>
      </c>
      <c r="N34" s="7" t="s">
        <v>206</v>
      </c>
    </row>
    <row r="35" customFormat="false" ht="68.65" hidden="false" customHeight="false" outlineLevel="0" collapsed="false">
      <c r="A35" s="7" t="s">
        <v>147</v>
      </c>
      <c r="B35" s="7" t="s">
        <v>207</v>
      </c>
      <c r="C35" s="7"/>
      <c r="D35" s="7"/>
      <c r="E35" s="7" t="s">
        <v>177</v>
      </c>
      <c r="F35" s="7" t="s">
        <v>178</v>
      </c>
      <c r="G35" s="7" t="s">
        <v>62</v>
      </c>
      <c r="H35" s="7" t="s">
        <v>144</v>
      </c>
      <c r="I35" s="7" t="n">
        <v>0</v>
      </c>
      <c r="J35" s="7" t="s">
        <v>208</v>
      </c>
      <c r="K35" s="7"/>
      <c r="L35" s="7" t="s">
        <v>209</v>
      </c>
      <c r="M35" s="7" t="s">
        <v>181</v>
      </c>
      <c r="N35" s="7" t="s">
        <v>210</v>
      </c>
    </row>
    <row r="36" customFormat="false" ht="68.65" hidden="false" customHeight="false" outlineLevel="0" collapsed="false">
      <c r="A36" s="7" t="s">
        <v>152</v>
      </c>
      <c r="B36" s="7" t="s">
        <v>207</v>
      </c>
      <c r="C36" s="7"/>
      <c r="D36" s="7"/>
      <c r="E36" s="7" t="s">
        <v>177</v>
      </c>
      <c r="F36" s="7" t="s">
        <v>178</v>
      </c>
      <c r="G36" s="7" t="s">
        <v>62</v>
      </c>
      <c r="H36" s="7" t="s">
        <v>144</v>
      </c>
      <c r="I36" s="7" t="n">
        <v>0</v>
      </c>
      <c r="J36" s="7" t="s">
        <v>208</v>
      </c>
      <c r="K36" s="7"/>
      <c r="L36" s="7" t="s">
        <v>211</v>
      </c>
      <c r="M36" s="7" t="s">
        <v>181</v>
      </c>
      <c r="N36" s="7" t="s">
        <v>212</v>
      </c>
    </row>
    <row r="38" customFormat="false" ht="15" hidden="false" customHeight="false" outlineLevel="0" collapsed="false">
      <c r="A38" s="8" t="s">
        <v>213</v>
      </c>
      <c r="D38" s="8" t="n">
        <f aca="false">COUNTA(A5:A24)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2" t="s">
        <v>215</v>
      </c>
    </row>
    <row r="4" customFormat="false" ht="30" hidden="false" customHeight="true" outlineLevel="0" collapsed="false">
      <c r="A4" s="3" t="s">
        <v>216</v>
      </c>
      <c r="B4" s="3" t="s">
        <v>217</v>
      </c>
      <c r="C4" s="3" t="s">
        <v>218</v>
      </c>
      <c r="D4" s="3" t="s">
        <v>219</v>
      </c>
      <c r="E4" s="3" t="s">
        <v>220</v>
      </c>
      <c r="F4" s="3" t="s">
        <v>221</v>
      </c>
      <c r="G4" s="3" t="s">
        <v>222</v>
      </c>
    </row>
    <row r="5" customFormat="false" ht="15" hidden="false" customHeight="false" outlineLevel="0" collapsed="false">
      <c r="A5" s="5" t="s">
        <v>16</v>
      </c>
      <c r="B5" s="5" t="s">
        <v>223</v>
      </c>
      <c r="C5" s="5" t="s">
        <v>224</v>
      </c>
      <c r="D5" s="5" t="n">
        <v>2</v>
      </c>
      <c r="E5" s="9" t="n">
        <v>2.22</v>
      </c>
      <c r="F5" s="9" t="n">
        <f aca="false">2*(450+300)/1000</f>
        <v>1.5</v>
      </c>
      <c r="G5" s="9" t="n">
        <f aca="false">E5*F5</f>
        <v>3.33</v>
      </c>
    </row>
    <row r="6" customFormat="false" ht="15" hidden="false" customHeight="false" outlineLevel="0" collapsed="false">
      <c r="A6" s="7" t="s">
        <v>16</v>
      </c>
      <c r="B6" s="7" t="s">
        <v>223</v>
      </c>
      <c r="C6" s="7" t="s">
        <v>225</v>
      </c>
      <c r="D6" s="7" t="n">
        <v>1</v>
      </c>
      <c r="E6" s="10" t="n">
        <v>2.5</v>
      </c>
      <c r="F6" s="10" t="n">
        <f aca="false">2*(350+250)/1000</f>
        <v>1.2</v>
      </c>
      <c r="G6" s="10" t="n">
        <f aca="false">E6*F6</f>
        <v>3</v>
      </c>
    </row>
    <row r="7" customFormat="false" ht="15" hidden="false" customHeight="false" outlineLevel="0" collapsed="false">
      <c r="A7" s="5" t="s">
        <v>16</v>
      </c>
      <c r="B7" s="5" t="s">
        <v>223</v>
      </c>
      <c r="C7" s="5" t="s">
        <v>226</v>
      </c>
      <c r="D7" s="5" t="n">
        <v>2</v>
      </c>
      <c r="E7" s="9" t="n">
        <v>12.5</v>
      </c>
      <c r="F7" s="9" t="n">
        <f aca="false">2*(250+250)/1000</f>
        <v>1</v>
      </c>
      <c r="G7" s="9" t="n">
        <f aca="false">E7*F7</f>
        <v>12.5</v>
      </c>
    </row>
    <row r="8" customFormat="false" ht="15" hidden="false" customHeight="false" outlineLevel="0" collapsed="false">
      <c r="A8" s="7" t="s">
        <v>16</v>
      </c>
      <c r="B8" s="7" t="s">
        <v>223</v>
      </c>
      <c r="C8" s="7" t="s">
        <v>227</v>
      </c>
      <c r="D8" s="7" t="n">
        <v>4</v>
      </c>
      <c r="E8" s="10" t="n">
        <v>41.05</v>
      </c>
      <c r="F8" s="10" t="n">
        <f aca="false">2*(200+250)/1000</f>
        <v>0.9</v>
      </c>
      <c r="G8" s="10" t="n">
        <f aca="false">E8*F8</f>
        <v>36.945</v>
      </c>
    </row>
    <row r="9" customFormat="false" ht="15" hidden="false" customHeight="false" outlineLevel="0" collapsed="false">
      <c r="A9" s="5" t="s">
        <v>16</v>
      </c>
      <c r="B9" s="5" t="s">
        <v>228</v>
      </c>
      <c r="C9" s="5" t="s">
        <v>224</v>
      </c>
      <c r="D9" s="5" t="n">
        <v>2</v>
      </c>
      <c r="E9" s="9" t="n">
        <v>0.93</v>
      </c>
      <c r="F9" s="9" t="n">
        <f aca="false">2*(450+300)/1000</f>
        <v>1.5</v>
      </c>
      <c r="G9" s="9" t="n">
        <f aca="false">E9*F9</f>
        <v>1.395</v>
      </c>
    </row>
    <row r="10" customFormat="false" ht="15" hidden="false" customHeight="false" outlineLevel="0" collapsed="false">
      <c r="A10" s="7" t="s">
        <v>16</v>
      </c>
      <c r="B10" s="7" t="s">
        <v>228</v>
      </c>
      <c r="C10" s="7" t="s">
        <v>225</v>
      </c>
      <c r="D10" s="7" t="n">
        <v>1</v>
      </c>
      <c r="E10" s="10" t="n">
        <v>2.5</v>
      </c>
      <c r="F10" s="10" t="n">
        <f aca="false">2*(350+250)/1000</f>
        <v>1.2</v>
      </c>
      <c r="G10" s="10" t="n">
        <f aca="false">E10*F10</f>
        <v>3</v>
      </c>
    </row>
    <row r="11" customFormat="false" ht="15" hidden="false" customHeight="false" outlineLevel="0" collapsed="false">
      <c r="A11" s="5" t="s">
        <v>16</v>
      </c>
      <c r="B11" s="5" t="s">
        <v>228</v>
      </c>
      <c r="C11" s="5" t="s">
        <v>226</v>
      </c>
      <c r="D11" s="5" t="n">
        <v>2</v>
      </c>
      <c r="E11" s="9" t="n">
        <v>12.5</v>
      </c>
      <c r="F11" s="9" t="n">
        <f aca="false">2*(250+250)/1000</f>
        <v>1</v>
      </c>
      <c r="G11" s="9" t="n">
        <f aca="false">E11*F11</f>
        <v>12.5</v>
      </c>
    </row>
    <row r="12" customFormat="false" ht="15" hidden="false" customHeight="false" outlineLevel="0" collapsed="false">
      <c r="A12" s="7" t="s">
        <v>16</v>
      </c>
      <c r="B12" s="7" t="s">
        <v>228</v>
      </c>
      <c r="C12" s="7" t="s">
        <v>227</v>
      </c>
      <c r="D12" s="7" t="n">
        <v>4</v>
      </c>
      <c r="E12" s="10" t="n">
        <v>41.09</v>
      </c>
      <c r="F12" s="10" t="n">
        <f aca="false">2*(200+250)/1000</f>
        <v>0.9</v>
      </c>
      <c r="G12" s="10" t="n">
        <f aca="false">E12*F12</f>
        <v>36.981</v>
      </c>
    </row>
    <row r="13" customFormat="false" ht="15" hidden="false" customHeight="false" outlineLevel="0" collapsed="false">
      <c r="A13" s="5" t="s">
        <v>29</v>
      </c>
      <c r="B13" s="5" t="s">
        <v>223</v>
      </c>
      <c r="C13" s="5" t="s">
        <v>224</v>
      </c>
      <c r="D13" s="5" t="n">
        <v>3</v>
      </c>
      <c r="E13" s="9" t="n">
        <v>3.1</v>
      </c>
      <c r="F13" s="9" t="n">
        <f aca="false">2*(450+300)/1000</f>
        <v>1.5</v>
      </c>
      <c r="G13" s="9" t="n">
        <f aca="false">E13*F13</f>
        <v>4.65</v>
      </c>
    </row>
    <row r="14" customFormat="false" ht="15" hidden="false" customHeight="false" outlineLevel="0" collapsed="false">
      <c r="A14" s="7" t="s">
        <v>29</v>
      </c>
      <c r="B14" s="7" t="s">
        <v>223</v>
      </c>
      <c r="C14" s="7" t="s">
        <v>225</v>
      </c>
      <c r="D14" s="7" t="n">
        <v>1</v>
      </c>
      <c r="E14" s="10" t="n">
        <v>2.18</v>
      </c>
      <c r="F14" s="10" t="n">
        <f aca="false">2*(350+250)/1000</f>
        <v>1.2</v>
      </c>
      <c r="G14" s="10" t="n">
        <f aca="false">E14*F14</f>
        <v>2.616</v>
      </c>
    </row>
    <row r="15" customFormat="false" ht="15" hidden="false" customHeight="false" outlineLevel="0" collapsed="false">
      <c r="A15" s="5" t="s">
        <v>29</v>
      </c>
      <c r="B15" s="5" t="s">
        <v>223</v>
      </c>
      <c r="C15" s="5" t="s">
        <v>227</v>
      </c>
      <c r="D15" s="5" t="n">
        <v>4</v>
      </c>
      <c r="E15" s="9" t="n">
        <v>49.24</v>
      </c>
      <c r="F15" s="9" t="n">
        <f aca="false">2*(200+250)/1000</f>
        <v>0.9</v>
      </c>
      <c r="G15" s="9" t="n">
        <f aca="false">E15*F15</f>
        <v>44.316</v>
      </c>
    </row>
    <row r="16" customFormat="false" ht="15" hidden="false" customHeight="false" outlineLevel="0" collapsed="false">
      <c r="A16" s="7" t="s">
        <v>29</v>
      </c>
      <c r="B16" s="7" t="s">
        <v>228</v>
      </c>
      <c r="C16" s="7" t="s">
        <v>224</v>
      </c>
      <c r="D16" s="7" t="n">
        <v>3</v>
      </c>
      <c r="E16" s="10" t="n">
        <v>2.93</v>
      </c>
      <c r="F16" s="10" t="n">
        <f aca="false">2*(450+300)/1000</f>
        <v>1.5</v>
      </c>
      <c r="G16" s="10" t="n">
        <f aca="false">E16*F16</f>
        <v>4.395</v>
      </c>
    </row>
    <row r="17" customFormat="false" ht="15" hidden="false" customHeight="false" outlineLevel="0" collapsed="false">
      <c r="A17" s="5" t="s">
        <v>29</v>
      </c>
      <c r="B17" s="5" t="s">
        <v>228</v>
      </c>
      <c r="C17" s="5" t="s">
        <v>225</v>
      </c>
      <c r="D17" s="5" t="n">
        <v>1</v>
      </c>
      <c r="E17" s="9" t="n">
        <v>2.18</v>
      </c>
      <c r="F17" s="9" t="n">
        <f aca="false">2*(350+250)/1000</f>
        <v>1.2</v>
      </c>
      <c r="G17" s="9" t="n">
        <f aca="false">E17*F17</f>
        <v>2.616</v>
      </c>
    </row>
    <row r="18" customFormat="false" ht="15" hidden="false" customHeight="false" outlineLevel="0" collapsed="false">
      <c r="A18" s="7" t="s">
        <v>29</v>
      </c>
      <c r="B18" s="7" t="s">
        <v>228</v>
      </c>
      <c r="C18" s="7" t="s">
        <v>227</v>
      </c>
      <c r="D18" s="7" t="n">
        <v>4</v>
      </c>
      <c r="E18" s="10" t="n">
        <v>49.24</v>
      </c>
      <c r="F18" s="10" t="n">
        <f aca="false">2*(200+250)/1000</f>
        <v>0.9</v>
      </c>
      <c r="G18" s="10" t="n">
        <f aca="false">E18*F18</f>
        <v>44.316</v>
      </c>
    </row>
    <row r="19" customFormat="false" ht="15" hidden="false" customHeight="false" outlineLevel="0" collapsed="false">
      <c r="A19" s="5" t="s">
        <v>36</v>
      </c>
      <c r="B19" s="5" t="s">
        <v>223</v>
      </c>
      <c r="C19" s="5" t="s">
        <v>229</v>
      </c>
      <c r="D19" s="5" t="n">
        <v>2</v>
      </c>
      <c r="E19" s="9" t="n">
        <v>6.31</v>
      </c>
      <c r="F19" s="9" t="n">
        <f aca="false">2*(300+250)/1000</f>
        <v>1.1</v>
      </c>
      <c r="G19" s="9" t="n">
        <f aca="false">E19*F19</f>
        <v>6.941</v>
      </c>
    </row>
    <row r="20" customFormat="false" ht="15" hidden="false" customHeight="false" outlineLevel="0" collapsed="false">
      <c r="A20" s="7" t="s">
        <v>36</v>
      </c>
      <c r="B20" s="7" t="s">
        <v>223</v>
      </c>
      <c r="C20" s="7" t="s">
        <v>226</v>
      </c>
      <c r="D20" s="7" t="n">
        <v>1</v>
      </c>
      <c r="E20" s="10" t="n">
        <v>1.45</v>
      </c>
      <c r="F20" s="10" t="n">
        <f aca="false">2*(250+250)/1000</f>
        <v>1</v>
      </c>
      <c r="G20" s="10" t="n">
        <f aca="false">E20*F20</f>
        <v>1.45</v>
      </c>
    </row>
    <row r="21" customFormat="false" ht="15" hidden="false" customHeight="false" outlineLevel="0" collapsed="false">
      <c r="A21" s="5" t="s">
        <v>36</v>
      </c>
      <c r="B21" s="5" t="s">
        <v>223</v>
      </c>
      <c r="C21" s="5" t="s">
        <v>227</v>
      </c>
      <c r="D21" s="5" t="n">
        <v>2</v>
      </c>
      <c r="E21" s="9" t="n">
        <v>25.97</v>
      </c>
      <c r="F21" s="9" t="n">
        <f aca="false">2*(200+250)/1000</f>
        <v>0.9</v>
      </c>
      <c r="G21" s="9" t="n">
        <f aca="false">E21*F21</f>
        <v>23.373</v>
      </c>
    </row>
    <row r="22" customFormat="false" ht="15" hidden="false" customHeight="false" outlineLevel="0" collapsed="false">
      <c r="A22" s="7" t="s">
        <v>36</v>
      </c>
      <c r="B22" s="7" t="s">
        <v>228</v>
      </c>
      <c r="C22" s="7" t="s">
        <v>229</v>
      </c>
      <c r="D22" s="7" t="n">
        <v>2</v>
      </c>
      <c r="E22" s="10" t="n">
        <v>5.11</v>
      </c>
      <c r="F22" s="10" t="n">
        <f aca="false">2*(300+250)/1000</f>
        <v>1.1</v>
      </c>
      <c r="G22" s="10" t="n">
        <f aca="false">E22*F22</f>
        <v>5.621</v>
      </c>
    </row>
    <row r="23" customFormat="false" ht="15" hidden="false" customHeight="false" outlineLevel="0" collapsed="false">
      <c r="A23" s="5" t="s">
        <v>36</v>
      </c>
      <c r="B23" s="5" t="s">
        <v>228</v>
      </c>
      <c r="C23" s="5" t="s">
        <v>226</v>
      </c>
      <c r="D23" s="5" t="n">
        <v>1</v>
      </c>
      <c r="E23" s="9" t="n">
        <v>1.45</v>
      </c>
      <c r="F23" s="9" t="n">
        <f aca="false">2*(250+250)/1000</f>
        <v>1</v>
      </c>
      <c r="G23" s="9" t="n">
        <f aca="false">E23*F23</f>
        <v>1.45</v>
      </c>
    </row>
    <row r="24" customFormat="false" ht="15" hidden="false" customHeight="false" outlineLevel="0" collapsed="false">
      <c r="A24" s="7" t="s">
        <v>36</v>
      </c>
      <c r="B24" s="7" t="s">
        <v>228</v>
      </c>
      <c r="C24" s="7" t="s">
        <v>227</v>
      </c>
      <c r="D24" s="7" t="n">
        <v>2</v>
      </c>
      <c r="E24" s="10" t="n">
        <v>26.03</v>
      </c>
      <c r="F24" s="10" t="n">
        <f aca="false">2*(200+250)/1000</f>
        <v>0.9</v>
      </c>
      <c r="G24" s="10" t="n">
        <f aca="false">E24*F24</f>
        <v>23.427</v>
      </c>
    </row>
    <row r="25" customFormat="false" ht="15" hidden="false" customHeight="false" outlineLevel="0" collapsed="false">
      <c r="A25" s="5" t="s">
        <v>42</v>
      </c>
      <c r="B25" s="5" t="s">
        <v>223</v>
      </c>
      <c r="C25" s="5" t="s">
        <v>229</v>
      </c>
      <c r="D25" s="5" t="n">
        <v>3</v>
      </c>
      <c r="E25" s="9" t="n">
        <v>5.08</v>
      </c>
      <c r="F25" s="9" t="n">
        <f aca="false">2*(300+250)/1000</f>
        <v>1.1</v>
      </c>
      <c r="G25" s="9" t="n">
        <f aca="false">E25*F25</f>
        <v>5.588</v>
      </c>
    </row>
    <row r="26" customFormat="false" ht="15" hidden="false" customHeight="false" outlineLevel="0" collapsed="false">
      <c r="A26" s="7" t="s">
        <v>42</v>
      </c>
      <c r="B26" s="7" t="s">
        <v>223</v>
      </c>
      <c r="C26" s="7" t="s">
        <v>226</v>
      </c>
      <c r="D26" s="7" t="n">
        <v>1</v>
      </c>
      <c r="E26" s="10" t="n">
        <v>4.88</v>
      </c>
      <c r="F26" s="10" t="n">
        <f aca="false">2*(250+250)/1000</f>
        <v>1</v>
      </c>
      <c r="G26" s="10" t="n">
        <f aca="false">E26*F26</f>
        <v>4.88</v>
      </c>
    </row>
    <row r="27" customFormat="false" ht="15" hidden="false" customHeight="false" outlineLevel="0" collapsed="false">
      <c r="A27" s="5" t="s">
        <v>42</v>
      </c>
      <c r="B27" s="5" t="s">
        <v>223</v>
      </c>
      <c r="C27" s="5" t="s">
        <v>227</v>
      </c>
      <c r="D27" s="5" t="n">
        <v>2</v>
      </c>
      <c r="E27" s="9" t="n">
        <v>20.8</v>
      </c>
      <c r="F27" s="9" t="n">
        <f aca="false">2*(200+250)/1000</f>
        <v>0.9</v>
      </c>
      <c r="G27" s="9" t="n">
        <f aca="false">E27*F27</f>
        <v>18.72</v>
      </c>
    </row>
    <row r="28" customFormat="false" ht="15" hidden="false" customHeight="false" outlineLevel="0" collapsed="false">
      <c r="A28" s="7" t="s">
        <v>42</v>
      </c>
      <c r="B28" s="7" t="s">
        <v>228</v>
      </c>
      <c r="C28" s="7" t="s">
        <v>229</v>
      </c>
      <c r="D28" s="7" t="n">
        <v>3</v>
      </c>
      <c r="E28" s="10" t="n">
        <v>3.89</v>
      </c>
      <c r="F28" s="10" t="n">
        <f aca="false">2*(300+250)/1000</f>
        <v>1.1</v>
      </c>
      <c r="G28" s="10" t="n">
        <f aca="false">E28*F28</f>
        <v>4.279</v>
      </c>
    </row>
    <row r="29" customFormat="false" ht="15" hidden="false" customHeight="false" outlineLevel="0" collapsed="false">
      <c r="A29" s="5" t="s">
        <v>42</v>
      </c>
      <c r="B29" s="5" t="s">
        <v>228</v>
      </c>
      <c r="C29" s="5" t="s">
        <v>226</v>
      </c>
      <c r="D29" s="5" t="n">
        <v>1</v>
      </c>
      <c r="E29" s="9" t="n">
        <v>4.88</v>
      </c>
      <c r="F29" s="9" t="n">
        <f aca="false">2*(250+250)/1000</f>
        <v>1</v>
      </c>
      <c r="G29" s="9" t="n">
        <f aca="false">E29*F29</f>
        <v>4.88</v>
      </c>
    </row>
    <row r="30" customFormat="false" ht="15" hidden="false" customHeight="false" outlineLevel="0" collapsed="false">
      <c r="A30" s="7" t="s">
        <v>42</v>
      </c>
      <c r="B30" s="7" t="s">
        <v>228</v>
      </c>
      <c r="C30" s="7" t="s">
        <v>227</v>
      </c>
      <c r="D30" s="7" t="n">
        <v>2</v>
      </c>
      <c r="E30" s="10" t="n">
        <v>20.8</v>
      </c>
      <c r="F30" s="10" t="n">
        <f aca="false">2*(200+250)/1000</f>
        <v>0.9</v>
      </c>
      <c r="G30" s="10" t="n">
        <f aca="false">E30*F30</f>
        <v>18.72</v>
      </c>
    </row>
    <row r="31" customFormat="false" ht="15" hidden="false" customHeight="false" outlineLevel="0" collapsed="false">
      <c r="A31" s="5" t="s">
        <v>47</v>
      </c>
      <c r="B31" s="5" t="s">
        <v>223</v>
      </c>
      <c r="C31" s="5" t="s">
        <v>230</v>
      </c>
      <c r="D31" s="5" t="n">
        <v>3</v>
      </c>
      <c r="E31" s="9" t="n">
        <v>5.57</v>
      </c>
      <c r="F31" s="9" t="n">
        <f aca="false">2*(700+400)/1000</f>
        <v>2.2</v>
      </c>
      <c r="G31" s="9" t="n">
        <f aca="false">E31*F31</f>
        <v>12.254</v>
      </c>
    </row>
    <row r="32" customFormat="false" ht="15" hidden="false" customHeight="false" outlineLevel="0" collapsed="false">
      <c r="A32" s="7" t="s">
        <v>47</v>
      </c>
      <c r="B32" s="7" t="s">
        <v>223</v>
      </c>
      <c r="C32" s="7" t="s">
        <v>231</v>
      </c>
      <c r="D32" s="7" t="n">
        <v>1</v>
      </c>
      <c r="E32" s="10" t="n">
        <v>2.31</v>
      </c>
      <c r="F32" s="10" t="n">
        <f aca="false">2*(700+300)/1000</f>
        <v>2</v>
      </c>
      <c r="G32" s="10" t="n">
        <f aca="false">E32*F32</f>
        <v>4.62</v>
      </c>
    </row>
    <row r="33" customFormat="false" ht="15" hidden="false" customHeight="false" outlineLevel="0" collapsed="false">
      <c r="A33" s="5" t="s">
        <v>47</v>
      </c>
      <c r="B33" s="5" t="s">
        <v>223</v>
      </c>
      <c r="C33" s="5" t="s">
        <v>232</v>
      </c>
      <c r="D33" s="5" t="n">
        <v>2</v>
      </c>
      <c r="E33" s="9" t="n">
        <v>5.71</v>
      </c>
      <c r="F33" s="9" t="n">
        <f aca="false">2*(500+400)/1000</f>
        <v>1.8</v>
      </c>
      <c r="G33" s="9" t="n">
        <f aca="false">E33*F33</f>
        <v>10.278</v>
      </c>
    </row>
    <row r="34" customFormat="false" ht="15" hidden="false" customHeight="false" outlineLevel="0" collapsed="false">
      <c r="A34" s="7" t="s">
        <v>47</v>
      </c>
      <c r="B34" s="7" t="s">
        <v>223</v>
      </c>
      <c r="C34" s="7" t="s">
        <v>233</v>
      </c>
      <c r="D34" s="7" t="n">
        <v>1</v>
      </c>
      <c r="E34" s="10" t="n">
        <v>7.64</v>
      </c>
      <c r="F34" s="10" t="n">
        <f aca="false">2*(650+300)/1000</f>
        <v>1.9</v>
      </c>
      <c r="G34" s="10" t="n">
        <f aca="false">E34*F34</f>
        <v>14.516</v>
      </c>
    </row>
    <row r="35" customFormat="false" ht="15" hidden="false" customHeight="false" outlineLevel="0" collapsed="false">
      <c r="A35" s="5" t="s">
        <v>47</v>
      </c>
      <c r="B35" s="5" t="s">
        <v>223</v>
      </c>
      <c r="C35" s="5" t="s">
        <v>234</v>
      </c>
      <c r="D35" s="5" t="n">
        <v>1</v>
      </c>
      <c r="E35" s="9" t="n">
        <v>3.42</v>
      </c>
      <c r="F35" s="9" t="n">
        <f aca="false">2*(600+300)/1000</f>
        <v>1.8</v>
      </c>
      <c r="G35" s="9" t="n">
        <f aca="false">E35*F35</f>
        <v>6.156</v>
      </c>
    </row>
    <row r="36" customFormat="false" ht="15" hidden="false" customHeight="false" outlineLevel="0" collapsed="false">
      <c r="A36" s="7" t="s">
        <v>47</v>
      </c>
      <c r="B36" s="7" t="s">
        <v>223</v>
      </c>
      <c r="C36" s="7" t="s">
        <v>235</v>
      </c>
      <c r="D36" s="7" t="n">
        <v>1</v>
      </c>
      <c r="E36" s="10" t="n">
        <v>10.77</v>
      </c>
      <c r="F36" s="10" t="n">
        <f aca="false">2*(550+300)/1000</f>
        <v>1.7</v>
      </c>
      <c r="G36" s="10" t="n">
        <f aca="false">E36*F36</f>
        <v>18.309</v>
      </c>
    </row>
    <row r="37" customFormat="false" ht="15" hidden="false" customHeight="false" outlineLevel="0" collapsed="false">
      <c r="A37" s="5" t="s">
        <v>47</v>
      </c>
      <c r="B37" s="5" t="s">
        <v>223</v>
      </c>
      <c r="C37" s="5" t="s">
        <v>236</v>
      </c>
      <c r="D37" s="5" t="n">
        <v>1</v>
      </c>
      <c r="E37" s="9" t="n">
        <v>12.46</v>
      </c>
      <c r="F37" s="9" t="n">
        <f aca="false">2*(500+300)/1000</f>
        <v>1.6</v>
      </c>
      <c r="G37" s="9" t="n">
        <f aca="false">E37*F37</f>
        <v>19.936</v>
      </c>
    </row>
    <row r="38" customFormat="false" ht="15" hidden="false" customHeight="false" outlineLevel="0" collapsed="false">
      <c r="A38" s="7" t="s">
        <v>47</v>
      </c>
      <c r="B38" s="7" t="s">
        <v>223</v>
      </c>
      <c r="C38" s="7" t="s">
        <v>237</v>
      </c>
      <c r="D38" s="7" t="n">
        <v>1</v>
      </c>
      <c r="E38" s="10" t="n">
        <v>20.97</v>
      </c>
      <c r="F38" s="10" t="n">
        <f aca="false">2*(350+300)/1000</f>
        <v>1.3</v>
      </c>
      <c r="G38" s="10" t="n">
        <f aca="false">E38*F38</f>
        <v>27.261</v>
      </c>
    </row>
    <row r="39" customFormat="false" ht="15" hidden="false" customHeight="false" outlineLevel="0" collapsed="false">
      <c r="A39" s="5" t="s">
        <v>47</v>
      </c>
      <c r="B39" s="5" t="s">
        <v>223</v>
      </c>
      <c r="C39" s="5" t="s">
        <v>225</v>
      </c>
      <c r="D39" s="5" t="n">
        <v>1</v>
      </c>
      <c r="E39" s="9" t="n">
        <v>8.92</v>
      </c>
      <c r="F39" s="9" t="n">
        <f aca="false">2*(350+250)/1000</f>
        <v>1.2</v>
      </c>
      <c r="G39" s="9" t="n">
        <f aca="false">E39*F39</f>
        <v>10.704</v>
      </c>
    </row>
    <row r="40" customFormat="false" ht="15" hidden="false" customHeight="false" outlineLevel="0" collapsed="false">
      <c r="A40" s="7" t="s">
        <v>47</v>
      </c>
      <c r="B40" s="7" t="s">
        <v>223</v>
      </c>
      <c r="C40" s="7" t="s">
        <v>227</v>
      </c>
      <c r="D40" s="7" t="n">
        <v>7</v>
      </c>
      <c r="E40" s="10" t="n">
        <v>66.27</v>
      </c>
      <c r="F40" s="10" t="n">
        <f aca="false">2*(200+250)/1000</f>
        <v>0.9</v>
      </c>
      <c r="G40" s="10" t="n">
        <f aca="false">E40*F40</f>
        <v>59.643</v>
      </c>
    </row>
    <row r="41" customFormat="false" ht="15" hidden="false" customHeight="false" outlineLevel="0" collapsed="false">
      <c r="A41" s="5" t="s">
        <v>47</v>
      </c>
      <c r="B41" s="5" t="s">
        <v>228</v>
      </c>
      <c r="C41" s="5" t="s">
        <v>230</v>
      </c>
      <c r="D41" s="5" t="n">
        <v>3</v>
      </c>
      <c r="E41" s="9" t="n">
        <v>3.42</v>
      </c>
      <c r="F41" s="9" t="n">
        <f aca="false">2*(700+400)/1000</f>
        <v>2.2</v>
      </c>
      <c r="G41" s="9" t="n">
        <f aca="false">E41*F41</f>
        <v>7.524</v>
      </c>
    </row>
    <row r="42" customFormat="false" ht="15" hidden="false" customHeight="false" outlineLevel="0" collapsed="false">
      <c r="A42" s="7" t="s">
        <v>47</v>
      </c>
      <c r="B42" s="7" t="s">
        <v>228</v>
      </c>
      <c r="C42" s="7" t="s">
        <v>231</v>
      </c>
      <c r="D42" s="7" t="n">
        <v>1</v>
      </c>
      <c r="E42" s="10" t="n">
        <v>2.31</v>
      </c>
      <c r="F42" s="10" t="n">
        <f aca="false">2*(700+300)/1000</f>
        <v>2</v>
      </c>
      <c r="G42" s="10" t="n">
        <f aca="false">E42*F42</f>
        <v>4.62</v>
      </c>
    </row>
    <row r="43" customFormat="false" ht="15" hidden="false" customHeight="false" outlineLevel="0" collapsed="false">
      <c r="A43" s="5" t="s">
        <v>47</v>
      </c>
      <c r="B43" s="5" t="s">
        <v>228</v>
      </c>
      <c r="C43" s="5" t="s">
        <v>232</v>
      </c>
      <c r="D43" s="5" t="n">
        <v>2</v>
      </c>
      <c r="E43" s="9" t="n">
        <v>5.71</v>
      </c>
      <c r="F43" s="9" t="n">
        <f aca="false">2*(500+400)/1000</f>
        <v>1.8</v>
      </c>
      <c r="G43" s="9" t="n">
        <f aca="false">E43*F43</f>
        <v>10.278</v>
      </c>
    </row>
    <row r="44" customFormat="false" ht="15" hidden="false" customHeight="false" outlineLevel="0" collapsed="false">
      <c r="A44" s="7" t="s">
        <v>47</v>
      </c>
      <c r="B44" s="7" t="s">
        <v>228</v>
      </c>
      <c r="C44" s="7" t="s">
        <v>233</v>
      </c>
      <c r="D44" s="7" t="n">
        <v>1</v>
      </c>
      <c r="E44" s="10" t="n">
        <v>7.64</v>
      </c>
      <c r="F44" s="10" t="n">
        <f aca="false">2*(650+300)/1000</f>
        <v>1.9</v>
      </c>
      <c r="G44" s="10" t="n">
        <f aca="false">E44*F44</f>
        <v>14.516</v>
      </c>
    </row>
    <row r="45" customFormat="false" ht="15" hidden="false" customHeight="false" outlineLevel="0" collapsed="false">
      <c r="A45" s="5" t="s">
        <v>47</v>
      </c>
      <c r="B45" s="5" t="s">
        <v>228</v>
      </c>
      <c r="C45" s="5" t="s">
        <v>234</v>
      </c>
      <c r="D45" s="5" t="n">
        <v>1</v>
      </c>
      <c r="E45" s="9" t="n">
        <v>3.42</v>
      </c>
      <c r="F45" s="9" t="n">
        <f aca="false">2*(600+300)/1000</f>
        <v>1.8</v>
      </c>
      <c r="G45" s="9" t="n">
        <f aca="false">E45*F45</f>
        <v>6.156</v>
      </c>
    </row>
    <row r="46" customFormat="false" ht="15" hidden="false" customHeight="false" outlineLevel="0" collapsed="false">
      <c r="A46" s="7" t="s">
        <v>47</v>
      </c>
      <c r="B46" s="7" t="s">
        <v>228</v>
      </c>
      <c r="C46" s="7" t="s">
        <v>235</v>
      </c>
      <c r="D46" s="7" t="n">
        <v>1</v>
      </c>
      <c r="E46" s="10" t="n">
        <v>11.1</v>
      </c>
      <c r="F46" s="10" t="n">
        <f aca="false">2*(550+300)/1000</f>
        <v>1.7</v>
      </c>
      <c r="G46" s="10" t="n">
        <f aca="false">E46*F46</f>
        <v>18.87</v>
      </c>
    </row>
    <row r="47" customFormat="false" ht="15" hidden="false" customHeight="false" outlineLevel="0" collapsed="false">
      <c r="A47" s="5" t="s">
        <v>47</v>
      </c>
      <c r="B47" s="5" t="s">
        <v>228</v>
      </c>
      <c r="C47" s="5" t="s">
        <v>236</v>
      </c>
      <c r="D47" s="5" t="n">
        <v>1</v>
      </c>
      <c r="E47" s="9" t="n">
        <v>12.12</v>
      </c>
      <c r="F47" s="9" t="n">
        <f aca="false">2*(500+300)/1000</f>
        <v>1.6</v>
      </c>
      <c r="G47" s="9" t="n">
        <f aca="false">E47*F47</f>
        <v>19.392</v>
      </c>
    </row>
    <row r="48" customFormat="false" ht="15" hidden="false" customHeight="false" outlineLevel="0" collapsed="false">
      <c r="A48" s="7" t="s">
        <v>47</v>
      </c>
      <c r="B48" s="7" t="s">
        <v>228</v>
      </c>
      <c r="C48" s="7" t="s">
        <v>237</v>
      </c>
      <c r="D48" s="7" t="n">
        <v>1</v>
      </c>
      <c r="E48" s="10" t="n">
        <v>21.1</v>
      </c>
      <c r="F48" s="10" t="n">
        <f aca="false">2*(350+300)/1000</f>
        <v>1.3</v>
      </c>
      <c r="G48" s="10" t="n">
        <f aca="false">E48*F48</f>
        <v>27.43</v>
      </c>
    </row>
    <row r="49" customFormat="false" ht="15" hidden="false" customHeight="false" outlineLevel="0" collapsed="false">
      <c r="A49" s="5" t="s">
        <v>47</v>
      </c>
      <c r="B49" s="5" t="s">
        <v>228</v>
      </c>
      <c r="C49" s="5" t="s">
        <v>225</v>
      </c>
      <c r="D49" s="5" t="n">
        <v>1</v>
      </c>
      <c r="E49" s="9" t="n">
        <v>8.84</v>
      </c>
      <c r="F49" s="9" t="n">
        <f aca="false">2*(350+250)/1000</f>
        <v>1.2</v>
      </c>
      <c r="G49" s="9" t="n">
        <f aca="false">E49*F49</f>
        <v>10.608</v>
      </c>
    </row>
    <row r="50" customFormat="false" ht="15" hidden="false" customHeight="false" outlineLevel="0" collapsed="false">
      <c r="A50" s="7" t="s">
        <v>47</v>
      </c>
      <c r="B50" s="7" t="s">
        <v>228</v>
      </c>
      <c r="C50" s="7" t="s">
        <v>227</v>
      </c>
      <c r="D50" s="7" t="n">
        <v>7</v>
      </c>
      <c r="E50" s="10" t="n">
        <v>66.27</v>
      </c>
      <c r="F50" s="10" t="n">
        <f aca="false">2*(200+250)/1000</f>
        <v>0.9</v>
      </c>
      <c r="G50" s="10" t="n">
        <f aca="false">E50*F50</f>
        <v>59.643</v>
      </c>
    </row>
    <row r="51" customFormat="false" ht="15" hidden="false" customHeight="false" outlineLevel="0" collapsed="false">
      <c r="A51" s="8" t="s">
        <v>238</v>
      </c>
      <c r="D51" s="11" t="n">
        <f aca="false">SUM(D5:D50)</f>
        <v>94</v>
      </c>
      <c r="E51" s="12" t="n">
        <f aca="false">SUM(E5:E50)</f>
        <v>636.78</v>
      </c>
      <c r="G51" s="12" t="n">
        <f aca="false">SUM(G5:G50)</f>
        <v>694.603</v>
      </c>
    </row>
    <row r="53" customFormat="false" ht="15" hidden="false" customHeight="false" outlineLevel="0" collapsed="false">
      <c r="A53" s="8" t="s">
        <v>239</v>
      </c>
    </row>
    <row r="54" customFormat="false" ht="15" hidden="false" customHeight="false" outlineLevel="0" collapsed="false">
      <c r="A54" s="13" t="s">
        <v>216</v>
      </c>
      <c r="B54" s="13" t="s">
        <v>220</v>
      </c>
      <c r="C54" s="13" t="s">
        <v>240</v>
      </c>
    </row>
    <row r="55" customFormat="false" ht="15" hidden="false" customHeight="false" outlineLevel="0" collapsed="false">
      <c r="A55" s="7" t="s">
        <v>16</v>
      </c>
      <c r="B55" s="14" t="n">
        <f aca="false">SUMIF($A$5:$A$50,A55,$E$5:$E$50)</f>
        <v>115.29</v>
      </c>
      <c r="C55" s="14" t="n">
        <f aca="false">SUMIF($A$5:$A$50,A55,$G$5:$G$50)</f>
        <v>109.651</v>
      </c>
    </row>
    <row r="56" customFormat="false" ht="15" hidden="false" customHeight="false" outlineLevel="0" collapsed="false">
      <c r="A56" s="7" t="s">
        <v>29</v>
      </c>
      <c r="B56" s="14" t="n">
        <f aca="false">SUMIF($A$5:$A$50,A56,$E$5:$E$50)</f>
        <v>108.87</v>
      </c>
      <c r="C56" s="14" t="n">
        <f aca="false">SUMIF($A$5:$A$50,A56,$G$5:$G$50)</f>
        <v>102.909</v>
      </c>
    </row>
    <row r="57" customFormat="false" ht="15" hidden="false" customHeight="false" outlineLevel="0" collapsed="false">
      <c r="A57" s="7" t="s">
        <v>36</v>
      </c>
      <c r="B57" s="14" t="n">
        <f aca="false">SUMIF($A$5:$A$50,A57,$E$5:$E$50)</f>
        <v>66.32</v>
      </c>
      <c r="C57" s="14" t="n">
        <f aca="false">SUMIF($A$5:$A$50,A57,$G$5:$G$50)</f>
        <v>62.262</v>
      </c>
    </row>
    <row r="58" customFormat="false" ht="15" hidden="false" customHeight="false" outlineLevel="0" collapsed="false">
      <c r="A58" s="7" t="s">
        <v>42</v>
      </c>
      <c r="B58" s="14" t="n">
        <f aca="false">SUMIF($A$5:$A$50,A58,$E$5:$E$50)</f>
        <v>60.33</v>
      </c>
      <c r="C58" s="14" t="n">
        <f aca="false">SUMIF($A$5:$A$50,A58,$G$5:$G$50)</f>
        <v>57.067</v>
      </c>
    </row>
    <row r="59" customFormat="false" ht="15" hidden="false" customHeight="false" outlineLevel="0" collapsed="false">
      <c r="A59" s="7" t="s">
        <v>47</v>
      </c>
      <c r="B59" s="14" t="n">
        <f aca="false">SUMIF($A$5:$A$50,A59,$E$5:$E$50)</f>
        <v>285.97</v>
      </c>
      <c r="C59" s="14" t="n">
        <f aca="false">SUMIF($A$5:$A$50,A59,$G$5:$G$50)</f>
        <v>362.714</v>
      </c>
    </row>
    <row r="61" customFormat="false" ht="15" hidden="false" customHeight="false" outlineLevel="0" collapsed="false">
      <c r="A61" s="15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242</v>
      </c>
    </row>
    <row r="2" customFormat="false" ht="15" hidden="false" customHeight="false" outlineLevel="0" collapsed="false">
      <c r="A2" s="2" t="s">
        <v>243</v>
      </c>
    </row>
    <row r="4" customFormat="false" ht="30" hidden="false" customHeight="true" outlineLevel="0" collapsed="false">
      <c r="A4" s="3" t="s">
        <v>244</v>
      </c>
      <c r="B4" s="3" t="s">
        <v>245</v>
      </c>
      <c r="C4" s="3" t="s">
        <v>246</v>
      </c>
    </row>
    <row r="5" customFormat="false" ht="15" hidden="false" customHeight="false" outlineLevel="0" collapsed="false">
      <c r="A5" s="16" t="s">
        <v>247</v>
      </c>
      <c r="B5" s="16" t="n">
        <f aca="false">COUNTIF(Conflits!$B$5:$B$230,A5)</f>
        <v>3</v>
      </c>
      <c r="C5" s="16" t="s">
        <v>248</v>
      </c>
    </row>
    <row r="6" customFormat="false" ht="15" hidden="false" customHeight="false" outlineLevel="0" collapsed="false">
      <c r="A6" s="16" t="s">
        <v>249</v>
      </c>
      <c r="B6" s="16" t="n">
        <f aca="false">COUNTIF(Conflits!$B$5:$B$230,A6)</f>
        <v>19</v>
      </c>
      <c r="C6" s="16" t="s">
        <v>250</v>
      </c>
    </row>
    <row r="7" customFormat="false" ht="15" hidden="false" customHeight="false" outlineLevel="0" collapsed="false">
      <c r="A7" s="16" t="s">
        <v>251</v>
      </c>
      <c r="B7" s="16" t="n">
        <f aca="false">COUNTIF(Conflits!$B$5:$B$230,A7)</f>
        <v>6</v>
      </c>
      <c r="C7" s="16" t="s">
        <v>252</v>
      </c>
    </row>
    <row r="8" customFormat="false" ht="15" hidden="false" customHeight="false" outlineLevel="0" collapsed="false">
      <c r="A8" s="16" t="s">
        <v>253</v>
      </c>
      <c r="B8" s="16" t="n">
        <f aca="false">COUNTIF(Conflits!$B$5:$B$230,A8)</f>
        <v>14</v>
      </c>
      <c r="C8" s="16" t="s">
        <v>254</v>
      </c>
    </row>
    <row r="9" customFormat="false" ht="15" hidden="false" customHeight="false" outlineLevel="0" collapsed="false">
      <c r="A9" s="7" t="s">
        <v>255</v>
      </c>
      <c r="B9" s="7" t="n">
        <f aca="false">COUNTIF(Conflits!$B$5:$B$230,A9)</f>
        <v>24</v>
      </c>
      <c r="C9" s="7" t="s">
        <v>256</v>
      </c>
    </row>
    <row r="10" customFormat="false" ht="15" hidden="false" customHeight="false" outlineLevel="0" collapsed="false">
      <c r="A10" s="7" t="s">
        <v>257</v>
      </c>
      <c r="B10" s="7" t="n">
        <f aca="false">COUNTIF(Conflits!$B$5:$B$230,A10)</f>
        <v>54</v>
      </c>
      <c r="C10" s="7" t="s">
        <v>258</v>
      </c>
    </row>
    <row r="11" customFormat="false" ht="15" hidden="false" customHeight="false" outlineLevel="0" collapsed="false">
      <c r="A11" s="7" t="s">
        <v>259</v>
      </c>
      <c r="B11" s="7" t="n">
        <f aca="false">COUNTIF(Conflits!$B$5:$B$230,A11)</f>
        <v>106</v>
      </c>
      <c r="C11" s="7" t="s">
        <v>260</v>
      </c>
    </row>
    <row r="12" customFormat="false" ht="15" hidden="false" customHeight="false" outlineLevel="0" collapsed="false">
      <c r="A12" s="8" t="s">
        <v>238</v>
      </c>
      <c r="B12" s="8" t="n">
        <f aca="false">SUM(B5:B11)</f>
        <v>226</v>
      </c>
    </row>
    <row r="14" customFormat="false" ht="15" hidden="false" customHeight="false" outlineLevel="0" collapsed="false">
      <c r="A14" s="17" t="s">
        <v>261</v>
      </c>
    </row>
    <row r="15" customFormat="false" ht="15" hidden="false" customHeight="false" outlineLevel="0" collapsed="false">
      <c r="A15" s="15" t="s">
        <v>262</v>
      </c>
    </row>
    <row r="16" customFormat="false" ht="15" hidden="false" customHeight="false" outlineLevel="0" collapsed="false">
      <c r="A16" s="15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8" min="7" style="0" width="8"/>
    <col collapsed="false" customWidth="true" hidden="false" outlineLevel="0" max="9" min="9" style="0" width="7"/>
    <col collapsed="false" customWidth="true" hidden="false" outlineLevel="0" max="10" min="10" style="0" width="48"/>
    <col collapsed="false" customWidth="true" hidden="false" outlineLevel="0" max="12" min="11" style="0" width="10"/>
  </cols>
  <sheetData>
    <row r="1" customFormat="false" ht="17.35" hidden="false" customHeight="false" outlineLevel="0" collapsed="false">
      <c r="A1" s="1" t="s">
        <v>264</v>
      </c>
    </row>
    <row r="2" customFormat="false" ht="15" hidden="false" customHeight="false" outlineLevel="0" collapsed="false">
      <c r="A2" s="2" t="s">
        <v>265</v>
      </c>
    </row>
    <row r="4" customFormat="false" ht="30" hidden="false" customHeight="true" outlineLevel="0" collapsed="false">
      <c r="A4" s="3" t="s">
        <v>266</v>
      </c>
      <c r="B4" s="3" t="s">
        <v>244</v>
      </c>
      <c r="C4" s="3" t="s">
        <v>267</v>
      </c>
      <c r="D4" s="3" t="s">
        <v>268</v>
      </c>
      <c r="E4" s="3" t="s">
        <v>269</v>
      </c>
      <c r="F4" s="3" t="s">
        <v>270</v>
      </c>
      <c r="G4" s="3" t="s">
        <v>271</v>
      </c>
      <c r="H4" s="3" t="s">
        <v>272</v>
      </c>
      <c r="I4" s="3" t="s">
        <v>273</v>
      </c>
      <c r="J4" s="3" t="s">
        <v>274</v>
      </c>
      <c r="K4" s="3" t="s">
        <v>275</v>
      </c>
      <c r="L4" s="3" t="s">
        <v>276</v>
      </c>
    </row>
    <row r="5" customFormat="false" ht="23.85" hidden="false" customHeight="false" outlineLevel="0" collapsed="false">
      <c r="A5" s="16" t="n">
        <v>1</v>
      </c>
      <c r="B5" s="16" t="s">
        <v>247</v>
      </c>
      <c r="C5" s="16" t="s">
        <v>277</v>
      </c>
      <c r="D5" s="16" t="s">
        <v>229</v>
      </c>
      <c r="E5" s="16" t="s">
        <v>278</v>
      </c>
      <c r="F5" s="16" t="s">
        <v>279</v>
      </c>
      <c r="G5" s="16" t="n">
        <v>-51.55</v>
      </c>
      <c r="H5" s="16" t="n">
        <v>37.19</v>
      </c>
      <c r="I5" s="16" t="n">
        <v>7.22</v>
      </c>
      <c r="J5" s="16" t="s">
        <v>280</v>
      </c>
      <c r="K5" s="16" t="s">
        <v>281</v>
      </c>
      <c r="L5" s="16" t="s">
        <v>282</v>
      </c>
    </row>
    <row r="6" customFormat="false" ht="23.85" hidden="false" customHeight="false" outlineLevel="0" collapsed="false">
      <c r="A6" s="16" t="n">
        <v>2</v>
      </c>
      <c r="B6" s="16" t="s">
        <v>247</v>
      </c>
      <c r="C6" s="16" t="s">
        <v>283</v>
      </c>
      <c r="D6" s="16" t="s">
        <v>229</v>
      </c>
      <c r="E6" s="16" t="s">
        <v>278</v>
      </c>
      <c r="F6" s="16" t="s">
        <v>279</v>
      </c>
      <c r="G6" s="16" t="n">
        <v>-51.54</v>
      </c>
      <c r="H6" s="16" t="n">
        <v>37.72</v>
      </c>
      <c r="I6" s="16" t="n">
        <v>7.18</v>
      </c>
      <c r="J6" s="16" t="s">
        <v>280</v>
      </c>
      <c r="K6" s="16" t="s">
        <v>284</v>
      </c>
      <c r="L6" s="16" t="s">
        <v>285</v>
      </c>
    </row>
    <row r="7" customFormat="false" ht="23.85" hidden="false" customHeight="false" outlineLevel="0" collapsed="false">
      <c r="A7" s="16" t="n">
        <v>3</v>
      </c>
      <c r="B7" s="16" t="s">
        <v>247</v>
      </c>
      <c r="C7" s="16" t="s">
        <v>286</v>
      </c>
      <c r="D7" s="16" t="s">
        <v>232</v>
      </c>
      <c r="E7" s="16" t="s">
        <v>287</v>
      </c>
      <c r="F7" s="16" t="s">
        <v>279</v>
      </c>
      <c r="G7" s="16" t="n">
        <v>-65.94</v>
      </c>
      <c r="H7" s="16" t="n">
        <v>38.22</v>
      </c>
      <c r="I7" s="16" t="n">
        <v>3.01</v>
      </c>
      <c r="J7" s="16" t="s">
        <v>280</v>
      </c>
      <c r="K7" s="16" t="s">
        <v>288</v>
      </c>
      <c r="L7" s="16" t="s">
        <v>289</v>
      </c>
    </row>
    <row r="8" customFormat="false" ht="23.85" hidden="false" customHeight="false" outlineLevel="0" collapsed="false">
      <c r="A8" s="16" t="n">
        <v>4</v>
      </c>
      <c r="B8" s="16" t="s">
        <v>249</v>
      </c>
      <c r="C8" s="16" t="s">
        <v>290</v>
      </c>
      <c r="D8" s="16" t="s">
        <v>227</v>
      </c>
      <c r="E8" s="16" t="s">
        <v>291</v>
      </c>
      <c r="F8" s="16" t="s">
        <v>292</v>
      </c>
      <c r="G8" s="16" t="n">
        <v>-31.65</v>
      </c>
      <c r="H8" s="16" t="n">
        <v>35.98</v>
      </c>
      <c r="I8" s="16" t="n">
        <v>2.92</v>
      </c>
      <c r="J8" s="16" t="s">
        <v>293</v>
      </c>
      <c r="K8" s="16" t="s">
        <v>294</v>
      </c>
      <c r="L8" s="16" t="s">
        <v>295</v>
      </c>
    </row>
    <row r="9" customFormat="false" ht="23.85" hidden="false" customHeight="false" outlineLevel="0" collapsed="false">
      <c r="A9" s="16" t="n">
        <v>5</v>
      </c>
      <c r="B9" s="16" t="s">
        <v>249</v>
      </c>
      <c r="C9" s="16" t="s">
        <v>290</v>
      </c>
      <c r="D9" s="16" t="s">
        <v>227</v>
      </c>
      <c r="E9" s="16" t="s">
        <v>296</v>
      </c>
      <c r="F9" s="16" t="s">
        <v>292</v>
      </c>
      <c r="G9" s="16" t="n">
        <v>-31.65</v>
      </c>
      <c r="H9" s="16" t="n">
        <v>27.94</v>
      </c>
      <c r="I9" s="16" t="n">
        <v>2.86</v>
      </c>
      <c r="J9" s="16" t="s">
        <v>293</v>
      </c>
      <c r="K9" s="16" t="s">
        <v>294</v>
      </c>
      <c r="L9" s="16" t="s">
        <v>297</v>
      </c>
    </row>
    <row r="10" customFormat="false" ht="23.85" hidden="false" customHeight="false" outlineLevel="0" collapsed="false">
      <c r="A10" s="16" t="n">
        <v>6</v>
      </c>
      <c r="B10" s="16" t="s">
        <v>249</v>
      </c>
      <c r="C10" s="16" t="s">
        <v>298</v>
      </c>
      <c r="D10" s="16" t="s">
        <v>227</v>
      </c>
      <c r="E10" s="16" t="s">
        <v>291</v>
      </c>
      <c r="F10" s="16" t="s">
        <v>292</v>
      </c>
      <c r="G10" s="16" t="n">
        <v>-34.96</v>
      </c>
      <c r="H10" s="16" t="n">
        <v>36.87</v>
      </c>
      <c r="I10" s="16" t="n">
        <v>2.92</v>
      </c>
      <c r="J10" s="16" t="s">
        <v>293</v>
      </c>
      <c r="K10" s="16" t="s">
        <v>299</v>
      </c>
      <c r="L10" s="16" t="s">
        <v>300</v>
      </c>
    </row>
    <row r="11" customFormat="false" ht="23.85" hidden="false" customHeight="false" outlineLevel="0" collapsed="false">
      <c r="A11" s="16" t="n">
        <v>7</v>
      </c>
      <c r="B11" s="16" t="s">
        <v>249</v>
      </c>
      <c r="C11" s="16" t="s">
        <v>298</v>
      </c>
      <c r="D11" s="16" t="s">
        <v>227</v>
      </c>
      <c r="E11" s="16" t="s">
        <v>301</v>
      </c>
      <c r="F11" s="16" t="s">
        <v>292</v>
      </c>
      <c r="G11" s="16" t="n">
        <v>-34.71</v>
      </c>
      <c r="H11" s="16" t="n">
        <v>42.58</v>
      </c>
      <c r="I11" s="16" t="n">
        <v>2.92</v>
      </c>
      <c r="J11" s="16" t="s">
        <v>293</v>
      </c>
      <c r="K11" s="16" t="s">
        <v>299</v>
      </c>
      <c r="L11" s="16" t="s">
        <v>302</v>
      </c>
    </row>
    <row r="12" customFormat="false" ht="23.85" hidden="false" customHeight="false" outlineLevel="0" collapsed="false">
      <c r="A12" s="16" t="n">
        <v>8</v>
      </c>
      <c r="B12" s="16" t="s">
        <v>249</v>
      </c>
      <c r="C12" s="16" t="s">
        <v>303</v>
      </c>
      <c r="D12" s="16" t="s">
        <v>227</v>
      </c>
      <c r="E12" s="16" t="s">
        <v>304</v>
      </c>
      <c r="F12" s="16" t="s">
        <v>292</v>
      </c>
      <c r="G12" s="16" t="n">
        <v>-33.8</v>
      </c>
      <c r="H12" s="16" t="n">
        <v>55.96</v>
      </c>
      <c r="I12" s="16" t="n">
        <v>2.9</v>
      </c>
      <c r="J12" s="16" t="s">
        <v>293</v>
      </c>
      <c r="K12" s="16" t="s">
        <v>305</v>
      </c>
      <c r="L12" s="16" t="s">
        <v>306</v>
      </c>
    </row>
    <row r="13" customFormat="false" ht="23.85" hidden="false" customHeight="false" outlineLevel="0" collapsed="false">
      <c r="A13" s="16" t="n">
        <v>9</v>
      </c>
      <c r="B13" s="16" t="s">
        <v>249</v>
      </c>
      <c r="C13" s="16" t="s">
        <v>303</v>
      </c>
      <c r="D13" s="16" t="s">
        <v>227</v>
      </c>
      <c r="E13" s="16" t="s">
        <v>307</v>
      </c>
      <c r="F13" s="16" t="s">
        <v>292</v>
      </c>
      <c r="G13" s="16" t="n">
        <v>-33.8</v>
      </c>
      <c r="H13" s="16" t="n">
        <v>47.62</v>
      </c>
      <c r="I13" s="16" t="n">
        <v>2.86</v>
      </c>
      <c r="J13" s="16" t="s">
        <v>293</v>
      </c>
      <c r="K13" s="16" t="s">
        <v>305</v>
      </c>
      <c r="L13" s="16" t="s">
        <v>308</v>
      </c>
    </row>
    <row r="14" customFormat="false" ht="23.85" hidden="false" customHeight="false" outlineLevel="0" collapsed="false">
      <c r="A14" s="16" t="n">
        <v>10</v>
      </c>
      <c r="B14" s="16" t="s">
        <v>249</v>
      </c>
      <c r="C14" s="16" t="s">
        <v>309</v>
      </c>
      <c r="D14" s="16" t="s">
        <v>236</v>
      </c>
      <c r="E14" s="16" t="s">
        <v>310</v>
      </c>
      <c r="F14" s="16" t="s">
        <v>292</v>
      </c>
      <c r="G14" s="16" t="n">
        <v>-24.23</v>
      </c>
      <c r="H14" s="16" t="n">
        <v>36.01</v>
      </c>
      <c r="I14" s="16" t="n">
        <v>2.86</v>
      </c>
      <c r="J14" s="16" t="s">
        <v>293</v>
      </c>
      <c r="K14" s="16" t="s">
        <v>311</v>
      </c>
      <c r="L14" s="16" t="s">
        <v>312</v>
      </c>
    </row>
    <row r="15" customFormat="false" ht="23.85" hidden="false" customHeight="false" outlineLevel="0" collapsed="false">
      <c r="A15" s="16" t="n">
        <v>11</v>
      </c>
      <c r="B15" s="16" t="s">
        <v>249</v>
      </c>
      <c r="C15" s="16" t="s">
        <v>309</v>
      </c>
      <c r="D15" s="16" t="s">
        <v>236</v>
      </c>
      <c r="E15" s="16" t="s">
        <v>291</v>
      </c>
      <c r="F15" s="16" t="s">
        <v>292</v>
      </c>
      <c r="G15" s="16" t="n">
        <v>-31.39</v>
      </c>
      <c r="H15" s="16" t="n">
        <v>36.01</v>
      </c>
      <c r="I15" s="16" t="n">
        <v>2.93</v>
      </c>
      <c r="J15" s="16" t="s">
        <v>293</v>
      </c>
      <c r="K15" s="16" t="s">
        <v>311</v>
      </c>
      <c r="L15" s="16" t="s">
        <v>295</v>
      </c>
    </row>
    <row r="16" customFormat="false" ht="23.85" hidden="false" customHeight="false" outlineLevel="0" collapsed="false">
      <c r="A16" s="16" t="n">
        <v>12</v>
      </c>
      <c r="B16" s="16" t="s">
        <v>249</v>
      </c>
      <c r="C16" s="16" t="s">
        <v>309</v>
      </c>
      <c r="D16" s="16" t="s">
        <v>236</v>
      </c>
      <c r="E16" s="16" t="s">
        <v>296</v>
      </c>
      <c r="F16" s="16" t="s">
        <v>292</v>
      </c>
      <c r="G16" s="16" t="n">
        <v>-34.45</v>
      </c>
      <c r="H16" s="16" t="n">
        <v>36.01</v>
      </c>
      <c r="I16" s="16" t="n">
        <v>2.86</v>
      </c>
      <c r="J16" s="16" t="s">
        <v>293</v>
      </c>
      <c r="K16" s="16" t="s">
        <v>311</v>
      </c>
      <c r="L16" s="16" t="s">
        <v>313</v>
      </c>
    </row>
    <row r="17" customFormat="false" ht="23.85" hidden="false" customHeight="false" outlineLevel="0" collapsed="false">
      <c r="A17" s="16" t="n">
        <v>13</v>
      </c>
      <c r="B17" s="16" t="s">
        <v>249</v>
      </c>
      <c r="C17" s="16" t="s">
        <v>314</v>
      </c>
      <c r="D17" s="16" t="s">
        <v>235</v>
      </c>
      <c r="E17" s="16" t="s">
        <v>315</v>
      </c>
      <c r="F17" s="16" t="s">
        <v>292</v>
      </c>
      <c r="G17" s="16" t="n">
        <v>-41.24</v>
      </c>
      <c r="H17" s="16" t="n">
        <v>36.13</v>
      </c>
      <c r="I17" s="16" t="n">
        <v>2.91</v>
      </c>
      <c r="J17" s="16" t="s">
        <v>293</v>
      </c>
      <c r="K17" s="16" t="s">
        <v>316</v>
      </c>
      <c r="L17" s="16" t="s">
        <v>317</v>
      </c>
    </row>
    <row r="18" customFormat="false" ht="23.85" hidden="false" customHeight="false" outlineLevel="0" collapsed="false">
      <c r="A18" s="16" t="n">
        <v>14</v>
      </c>
      <c r="B18" s="16" t="s">
        <v>249</v>
      </c>
      <c r="C18" s="16" t="s">
        <v>314</v>
      </c>
      <c r="D18" s="16" t="s">
        <v>235</v>
      </c>
      <c r="E18" s="16" t="s">
        <v>315</v>
      </c>
      <c r="F18" s="16" t="s">
        <v>292</v>
      </c>
      <c r="G18" s="16" t="n">
        <v>-41.45</v>
      </c>
      <c r="H18" s="16" t="n">
        <v>36.13</v>
      </c>
      <c r="I18" s="16" t="n">
        <v>2.91</v>
      </c>
      <c r="J18" s="16" t="s">
        <v>293</v>
      </c>
      <c r="K18" s="16" t="s">
        <v>316</v>
      </c>
      <c r="L18" s="16" t="s">
        <v>318</v>
      </c>
    </row>
    <row r="19" customFormat="false" ht="23.85" hidden="false" customHeight="false" outlineLevel="0" collapsed="false">
      <c r="A19" s="16" t="n">
        <v>15</v>
      </c>
      <c r="B19" s="16" t="s">
        <v>249</v>
      </c>
      <c r="C19" s="16" t="s">
        <v>319</v>
      </c>
      <c r="D19" s="16" t="s">
        <v>227</v>
      </c>
      <c r="E19" s="16" t="s">
        <v>291</v>
      </c>
      <c r="F19" s="16" t="s">
        <v>292</v>
      </c>
      <c r="G19" s="16" t="n">
        <v>-34.6</v>
      </c>
      <c r="H19" s="16" t="n">
        <v>39.96</v>
      </c>
      <c r="I19" s="16" t="n">
        <v>6.28</v>
      </c>
      <c r="J19" s="16" t="s">
        <v>293</v>
      </c>
      <c r="K19" s="16" t="s">
        <v>320</v>
      </c>
      <c r="L19" s="16" t="s">
        <v>321</v>
      </c>
    </row>
    <row r="20" customFormat="false" ht="23.85" hidden="false" customHeight="false" outlineLevel="0" collapsed="false">
      <c r="A20" s="16" t="n">
        <v>16</v>
      </c>
      <c r="B20" s="16" t="s">
        <v>249</v>
      </c>
      <c r="C20" s="16" t="s">
        <v>322</v>
      </c>
      <c r="D20" s="16" t="s">
        <v>227</v>
      </c>
      <c r="E20" s="16" t="s">
        <v>301</v>
      </c>
      <c r="F20" s="16" t="s">
        <v>292</v>
      </c>
      <c r="G20" s="16" t="n">
        <v>-34.45</v>
      </c>
      <c r="H20" s="16" t="n">
        <v>36.25</v>
      </c>
      <c r="I20" s="16" t="n">
        <v>6.28</v>
      </c>
      <c r="J20" s="16" t="s">
        <v>293</v>
      </c>
      <c r="K20" s="16" t="s">
        <v>323</v>
      </c>
      <c r="L20" s="16" t="s">
        <v>324</v>
      </c>
    </row>
    <row r="21" customFormat="false" ht="23.85" hidden="false" customHeight="false" outlineLevel="0" collapsed="false">
      <c r="A21" s="16" t="n">
        <v>17</v>
      </c>
      <c r="B21" s="16" t="s">
        <v>249</v>
      </c>
      <c r="C21" s="16" t="s">
        <v>325</v>
      </c>
      <c r="D21" s="16" t="s">
        <v>227</v>
      </c>
      <c r="E21" s="16" t="s">
        <v>296</v>
      </c>
      <c r="F21" s="16" t="s">
        <v>292</v>
      </c>
      <c r="G21" s="16" t="n">
        <v>-33.55</v>
      </c>
      <c r="H21" s="16" t="n">
        <v>27.94</v>
      </c>
      <c r="I21" s="16" t="n">
        <v>2.86</v>
      </c>
      <c r="J21" s="16" t="s">
        <v>293</v>
      </c>
      <c r="K21" s="16" t="s">
        <v>326</v>
      </c>
      <c r="L21" s="16" t="s">
        <v>297</v>
      </c>
    </row>
    <row r="22" customFormat="false" ht="23.85" hidden="false" customHeight="false" outlineLevel="0" collapsed="false">
      <c r="A22" s="16" t="n">
        <v>18</v>
      </c>
      <c r="B22" s="16" t="s">
        <v>249</v>
      </c>
      <c r="C22" s="16" t="s">
        <v>327</v>
      </c>
      <c r="D22" s="16" t="s">
        <v>227</v>
      </c>
      <c r="E22" s="16" t="s">
        <v>301</v>
      </c>
      <c r="F22" s="16" t="s">
        <v>292</v>
      </c>
      <c r="G22" s="16" t="n">
        <v>-36.33</v>
      </c>
      <c r="H22" s="16" t="n">
        <v>42.58</v>
      </c>
      <c r="I22" s="16" t="n">
        <v>2.92</v>
      </c>
      <c r="J22" s="16" t="s">
        <v>293</v>
      </c>
      <c r="K22" s="16" t="s">
        <v>328</v>
      </c>
      <c r="L22" s="16" t="s">
        <v>302</v>
      </c>
    </row>
    <row r="23" customFormat="false" ht="23.85" hidden="false" customHeight="false" outlineLevel="0" collapsed="false">
      <c r="A23" s="16" t="n">
        <v>19</v>
      </c>
      <c r="B23" s="16" t="s">
        <v>249</v>
      </c>
      <c r="C23" s="16" t="s">
        <v>329</v>
      </c>
      <c r="D23" s="16" t="s">
        <v>236</v>
      </c>
      <c r="E23" s="16" t="s">
        <v>310</v>
      </c>
      <c r="F23" s="16" t="s">
        <v>292</v>
      </c>
      <c r="G23" s="16" t="n">
        <v>-24.1</v>
      </c>
      <c r="H23" s="16" t="n">
        <v>37.91</v>
      </c>
      <c r="I23" s="16" t="n">
        <v>2.86</v>
      </c>
      <c r="J23" s="16" t="s">
        <v>293</v>
      </c>
      <c r="K23" s="16" t="s">
        <v>330</v>
      </c>
      <c r="L23" s="16" t="s">
        <v>331</v>
      </c>
    </row>
    <row r="24" customFormat="false" ht="23.85" hidden="false" customHeight="false" outlineLevel="0" collapsed="false">
      <c r="A24" s="16" t="n">
        <v>20</v>
      </c>
      <c r="B24" s="16" t="s">
        <v>249</v>
      </c>
      <c r="C24" s="16" t="s">
        <v>332</v>
      </c>
      <c r="D24" s="16" t="s">
        <v>235</v>
      </c>
      <c r="E24" s="16" t="s">
        <v>315</v>
      </c>
      <c r="F24" s="16" t="s">
        <v>292</v>
      </c>
      <c r="G24" s="16" t="n">
        <v>-41.07</v>
      </c>
      <c r="H24" s="16" t="n">
        <v>38.03</v>
      </c>
      <c r="I24" s="16" t="n">
        <v>2.91</v>
      </c>
      <c r="J24" s="16" t="s">
        <v>293</v>
      </c>
      <c r="K24" s="16" t="s">
        <v>333</v>
      </c>
      <c r="L24" s="16" t="s">
        <v>334</v>
      </c>
    </row>
    <row r="25" customFormat="false" ht="23.85" hidden="false" customHeight="false" outlineLevel="0" collapsed="false">
      <c r="A25" s="16" t="n">
        <v>21</v>
      </c>
      <c r="B25" s="16" t="s">
        <v>249</v>
      </c>
      <c r="C25" s="16" t="s">
        <v>332</v>
      </c>
      <c r="D25" s="16" t="s">
        <v>235</v>
      </c>
      <c r="E25" s="16" t="s">
        <v>315</v>
      </c>
      <c r="F25" s="16" t="s">
        <v>292</v>
      </c>
      <c r="G25" s="16" t="n">
        <v>-40.85</v>
      </c>
      <c r="H25" s="16" t="n">
        <v>38.03</v>
      </c>
      <c r="I25" s="16" t="n">
        <v>2.91</v>
      </c>
      <c r="J25" s="16" t="s">
        <v>293</v>
      </c>
      <c r="K25" s="16" t="s">
        <v>333</v>
      </c>
      <c r="L25" s="16" t="s">
        <v>335</v>
      </c>
    </row>
    <row r="26" customFormat="false" ht="23.85" hidden="false" customHeight="false" outlineLevel="0" collapsed="false">
      <c r="A26" s="16" t="n">
        <v>22</v>
      </c>
      <c r="B26" s="16" t="s">
        <v>249</v>
      </c>
      <c r="C26" s="16" t="s">
        <v>336</v>
      </c>
      <c r="D26" s="16" t="s">
        <v>227</v>
      </c>
      <c r="E26" s="16" t="s">
        <v>337</v>
      </c>
      <c r="F26" s="16" t="s">
        <v>292</v>
      </c>
      <c r="G26" s="16" t="n">
        <v>-36.45</v>
      </c>
      <c r="H26" s="16" t="n">
        <v>42.83</v>
      </c>
      <c r="I26" s="16" t="n">
        <v>6.22</v>
      </c>
      <c r="J26" s="16" t="s">
        <v>293</v>
      </c>
      <c r="K26" s="16" t="s">
        <v>338</v>
      </c>
      <c r="L26" s="16" t="s">
        <v>339</v>
      </c>
    </row>
    <row r="27" customFormat="false" ht="23.85" hidden="false" customHeight="false" outlineLevel="0" collapsed="false">
      <c r="A27" s="16" t="n">
        <v>23</v>
      </c>
      <c r="B27" s="16" t="s">
        <v>251</v>
      </c>
      <c r="C27" s="16" t="s">
        <v>290</v>
      </c>
      <c r="D27" s="16" t="s">
        <v>227</v>
      </c>
      <c r="E27" s="16" t="s">
        <v>340</v>
      </c>
      <c r="F27" s="16" t="s">
        <v>279</v>
      </c>
      <c r="G27" s="16" t="n">
        <v>-31.65</v>
      </c>
      <c r="H27" s="16" t="n">
        <v>24.53</v>
      </c>
      <c r="I27" s="16" t="n">
        <v>2.94</v>
      </c>
      <c r="J27" s="16" t="s">
        <v>341</v>
      </c>
      <c r="K27" s="16" t="s">
        <v>294</v>
      </c>
      <c r="L27" s="16" t="s">
        <v>342</v>
      </c>
    </row>
    <row r="28" customFormat="false" ht="23.85" hidden="false" customHeight="false" outlineLevel="0" collapsed="false">
      <c r="A28" s="16" t="n">
        <v>24</v>
      </c>
      <c r="B28" s="16" t="s">
        <v>251</v>
      </c>
      <c r="C28" s="16" t="s">
        <v>290</v>
      </c>
      <c r="D28" s="16" t="s">
        <v>227</v>
      </c>
      <c r="E28" s="16" t="s">
        <v>343</v>
      </c>
      <c r="F28" s="16" t="s">
        <v>292</v>
      </c>
      <c r="G28" s="16" t="n">
        <v>-31.65</v>
      </c>
      <c r="H28" s="16" t="n">
        <v>24.78</v>
      </c>
      <c r="I28" s="16" t="n">
        <v>2.91</v>
      </c>
      <c r="J28" s="16" t="s">
        <v>341</v>
      </c>
      <c r="K28" s="16" t="s">
        <v>294</v>
      </c>
      <c r="L28" s="16" t="s">
        <v>344</v>
      </c>
    </row>
    <row r="29" customFormat="false" ht="23.85" hidden="false" customHeight="false" outlineLevel="0" collapsed="false">
      <c r="A29" s="16" t="n">
        <v>25</v>
      </c>
      <c r="B29" s="16" t="s">
        <v>251</v>
      </c>
      <c r="C29" s="16" t="s">
        <v>303</v>
      </c>
      <c r="D29" s="16" t="s">
        <v>227</v>
      </c>
      <c r="E29" s="16" t="s">
        <v>340</v>
      </c>
      <c r="F29" s="16" t="s">
        <v>279</v>
      </c>
      <c r="G29" s="16" t="n">
        <v>-33.8</v>
      </c>
      <c r="H29" s="16" t="n">
        <v>51.86</v>
      </c>
      <c r="I29" s="16" t="n">
        <v>2.94</v>
      </c>
      <c r="J29" s="16" t="s">
        <v>341</v>
      </c>
      <c r="K29" s="16" t="s">
        <v>305</v>
      </c>
      <c r="L29" s="16" t="s">
        <v>345</v>
      </c>
    </row>
    <row r="30" customFormat="false" ht="23.85" hidden="false" customHeight="false" outlineLevel="0" collapsed="false">
      <c r="A30" s="16" t="n">
        <v>26</v>
      </c>
      <c r="B30" s="16" t="s">
        <v>251</v>
      </c>
      <c r="C30" s="16" t="s">
        <v>303</v>
      </c>
      <c r="D30" s="16" t="s">
        <v>227</v>
      </c>
      <c r="E30" s="16" t="s">
        <v>343</v>
      </c>
      <c r="F30" s="16" t="s">
        <v>292</v>
      </c>
      <c r="G30" s="16" t="n">
        <v>-33.8</v>
      </c>
      <c r="H30" s="16" t="n">
        <v>51.83</v>
      </c>
      <c r="I30" s="16" t="n">
        <v>2.91</v>
      </c>
      <c r="J30" s="16" t="s">
        <v>341</v>
      </c>
      <c r="K30" s="16" t="s">
        <v>305</v>
      </c>
      <c r="L30" s="16" t="s">
        <v>346</v>
      </c>
    </row>
    <row r="31" customFormat="false" ht="23.85" hidden="false" customHeight="false" outlineLevel="0" collapsed="false">
      <c r="A31" s="16" t="n">
        <v>27</v>
      </c>
      <c r="B31" s="16" t="s">
        <v>251</v>
      </c>
      <c r="C31" s="16" t="s">
        <v>325</v>
      </c>
      <c r="D31" s="16" t="s">
        <v>227</v>
      </c>
      <c r="E31" s="16" t="s">
        <v>340</v>
      </c>
      <c r="F31" s="16" t="s">
        <v>279</v>
      </c>
      <c r="G31" s="16" t="n">
        <v>-33.55</v>
      </c>
      <c r="H31" s="16" t="n">
        <v>24.53</v>
      </c>
      <c r="I31" s="16" t="n">
        <v>2.94</v>
      </c>
      <c r="J31" s="16" t="s">
        <v>341</v>
      </c>
      <c r="K31" s="16" t="s">
        <v>326</v>
      </c>
      <c r="L31" s="16" t="s">
        <v>342</v>
      </c>
    </row>
    <row r="32" customFormat="false" ht="23.85" hidden="false" customHeight="false" outlineLevel="0" collapsed="false">
      <c r="A32" s="16" t="n">
        <v>28</v>
      </c>
      <c r="B32" s="16" t="s">
        <v>251</v>
      </c>
      <c r="C32" s="16" t="s">
        <v>325</v>
      </c>
      <c r="D32" s="16" t="s">
        <v>227</v>
      </c>
      <c r="E32" s="16" t="s">
        <v>343</v>
      </c>
      <c r="F32" s="16" t="s">
        <v>292</v>
      </c>
      <c r="G32" s="16" t="n">
        <v>-33.55</v>
      </c>
      <c r="H32" s="16" t="n">
        <v>24.78</v>
      </c>
      <c r="I32" s="16" t="n">
        <v>2.91</v>
      </c>
      <c r="J32" s="16" t="s">
        <v>341</v>
      </c>
      <c r="K32" s="16" t="s">
        <v>326</v>
      </c>
      <c r="L32" s="16" t="s">
        <v>344</v>
      </c>
    </row>
    <row r="33" customFormat="false" ht="23.85" hidden="false" customHeight="false" outlineLevel="0" collapsed="false">
      <c r="A33" s="5" t="n">
        <v>29</v>
      </c>
      <c r="B33" s="5" t="s">
        <v>253</v>
      </c>
      <c r="C33" s="5" t="s">
        <v>347</v>
      </c>
      <c r="D33" s="5" t="s">
        <v>227</v>
      </c>
      <c r="E33" s="5" t="s">
        <v>348</v>
      </c>
      <c r="F33" s="5" t="s">
        <v>292</v>
      </c>
      <c r="G33" s="5" t="n">
        <v>-46.8</v>
      </c>
      <c r="H33" s="5" t="n">
        <v>37.02</v>
      </c>
      <c r="I33" s="5" t="n">
        <v>6.33</v>
      </c>
      <c r="J33" s="5" t="s">
        <v>349</v>
      </c>
      <c r="K33" s="5" t="s">
        <v>350</v>
      </c>
      <c r="L33" s="5" t="s">
        <v>351</v>
      </c>
    </row>
    <row r="34" customFormat="false" ht="23.85" hidden="false" customHeight="false" outlineLevel="0" collapsed="false">
      <c r="A34" s="7" t="n">
        <v>30</v>
      </c>
      <c r="B34" s="7" t="s">
        <v>253</v>
      </c>
      <c r="C34" s="7" t="s">
        <v>352</v>
      </c>
      <c r="D34" s="7" t="s">
        <v>227</v>
      </c>
      <c r="E34" s="7" t="s">
        <v>348</v>
      </c>
      <c r="F34" s="7" t="s">
        <v>292</v>
      </c>
      <c r="G34" s="7" t="n">
        <v>-46.8</v>
      </c>
      <c r="H34" s="7" t="n">
        <v>37.62</v>
      </c>
      <c r="I34" s="7" t="n">
        <v>6.33</v>
      </c>
      <c r="J34" s="7" t="s">
        <v>349</v>
      </c>
      <c r="K34" s="7" t="s">
        <v>353</v>
      </c>
      <c r="L34" s="7" t="s">
        <v>351</v>
      </c>
    </row>
    <row r="35" customFormat="false" ht="35.05" hidden="false" customHeight="false" outlineLevel="0" collapsed="false">
      <c r="A35" s="5" t="n">
        <v>31</v>
      </c>
      <c r="B35" s="5" t="s">
        <v>253</v>
      </c>
      <c r="C35" s="5" t="s">
        <v>354</v>
      </c>
      <c r="D35" s="5" t="s">
        <v>227</v>
      </c>
      <c r="E35" s="5" t="s">
        <v>348</v>
      </c>
      <c r="F35" s="5" t="s">
        <v>292</v>
      </c>
      <c r="G35" s="5" t="n">
        <v>-0.56</v>
      </c>
      <c r="H35" s="5" t="n">
        <v>36.98</v>
      </c>
      <c r="I35" s="5" t="n">
        <v>6.33</v>
      </c>
      <c r="J35" s="5" t="s">
        <v>349</v>
      </c>
      <c r="K35" s="5" t="s">
        <v>355</v>
      </c>
      <c r="L35" s="5" t="s">
        <v>356</v>
      </c>
    </row>
    <row r="36" customFormat="false" ht="35.05" hidden="false" customHeight="false" outlineLevel="0" collapsed="false">
      <c r="A36" s="7" t="n">
        <v>32</v>
      </c>
      <c r="B36" s="7" t="s">
        <v>253</v>
      </c>
      <c r="C36" s="7" t="s">
        <v>357</v>
      </c>
      <c r="D36" s="7" t="s">
        <v>227</v>
      </c>
      <c r="E36" s="7" t="s">
        <v>348</v>
      </c>
      <c r="F36" s="7" t="s">
        <v>292</v>
      </c>
      <c r="G36" s="7" t="n">
        <v>-7.17</v>
      </c>
      <c r="H36" s="7" t="n">
        <v>37.66</v>
      </c>
      <c r="I36" s="7" t="n">
        <v>6.33</v>
      </c>
      <c r="J36" s="7" t="s">
        <v>349</v>
      </c>
      <c r="K36" s="7" t="s">
        <v>358</v>
      </c>
      <c r="L36" s="7" t="s">
        <v>359</v>
      </c>
    </row>
    <row r="37" customFormat="false" ht="23.85" hidden="false" customHeight="false" outlineLevel="0" collapsed="false">
      <c r="A37" s="5" t="n">
        <v>33</v>
      </c>
      <c r="B37" s="5" t="s">
        <v>253</v>
      </c>
      <c r="C37" s="5" t="s">
        <v>290</v>
      </c>
      <c r="D37" s="5" t="s">
        <v>227</v>
      </c>
      <c r="E37" s="5" t="s">
        <v>348</v>
      </c>
      <c r="F37" s="5" t="s">
        <v>292</v>
      </c>
      <c r="G37" s="5" t="n">
        <v>-31.65</v>
      </c>
      <c r="H37" s="5" t="n">
        <v>35.3</v>
      </c>
      <c r="I37" s="5" t="n">
        <v>2.97</v>
      </c>
      <c r="J37" s="5" t="s">
        <v>349</v>
      </c>
      <c r="K37" s="5" t="s">
        <v>294</v>
      </c>
      <c r="L37" s="5" t="s">
        <v>360</v>
      </c>
    </row>
    <row r="38" customFormat="false" ht="23.85" hidden="false" customHeight="false" outlineLevel="0" collapsed="false">
      <c r="A38" s="7" t="n">
        <v>34</v>
      </c>
      <c r="B38" s="7" t="s">
        <v>253</v>
      </c>
      <c r="C38" s="7" t="s">
        <v>314</v>
      </c>
      <c r="D38" s="7" t="s">
        <v>235</v>
      </c>
      <c r="E38" s="7" t="s">
        <v>348</v>
      </c>
      <c r="F38" s="7" t="s">
        <v>292</v>
      </c>
      <c r="G38" s="7" t="n">
        <v>-43.83</v>
      </c>
      <c r="H38" s="7" t="n">
        <v>36.13</v>
      </c>
      <c r="I38" s="7" t="n">
        <v>2.98</v>
      </c>
      <c r="J38" s="7" t="s">
        <v>349</v>
      </c>
      <c r="K38" s="7" t="s">
        <v>316</v>
      </c>
      <c r="L38" s="7" t="s">
        <v>361</v>
      </c>
    </row>
    <row r="39" customFormat="false" ht="23.85" hidden="false" customHeight="false" outlineLevel="0" collapsed="false">
      <c r="A39" s="5" t="n">
        <v>35</v>
      </c>
      <c r="B39" s="5" t="s">
        <v>253</v>
      </c>
      <c r="C39" s="5" t="s">
        <v>314</v>
      </c>
      <c r="D39" s="5" t="s">
        <v>235</v>
      </c>
      <c r="E39" s="5" t="s">
        <v>348</v>
      </c>
      <c r="F39" s="5" t="s">
        <v>292</v>
      </c>
      <c r="G39" s="5" t="n">
        <v>-46.8</v>
      </c>
      <c r="H39" s="5" t="n">
        <v>36.13</v>
      </c>
      <c r="I39" s="5" t="n">
        <v>2.98</v>
      </c>
      <c r="J39" s="5" t="s">
        <v>349</v>
      </c>
      <c r="K39" s="5" t="s">
        <v>316</v>
      </c>
      <c r="L39" s="5" t="s">
        <v>362</v>
      </c>
    </row>
    <row r="40" customFormat="false" ht="23.85" hidden="false" customHeight="false" outlineLevel="0" collapsed="false">
      <c r="A40" s="7" t="n">
        <v>36</v>
      </c>
      <c r="B40" s="7" t="s">
        <v>253</v>
      </c>
      <c r="C40" s="7" t="s">
        <v>363</v>
      </c>
      <c r="D40" s="7" t="s">
        <v>225</v>
      </c>
      <c r="E40" s="7" t="s">
        <v>348</v>
      </c>
      <c r="F40" s="7" t="s">
        <v>292</v>
      </c>
      <c r="G40" s="7" t="n">
        <v>-43.83</v>
      </c>
      <c r="H40" s="7" t="n">
        <v>36.27</v>
      </c>
      <c r="I40" s="7" t="n">
        <v>6.33</v>
      </c>
      <c r="J40" s="7" t="s">
        <v>349</v>
      </c>
      <c r="K40" s="7" t="s">
        <v>364</v>
      </c>
      <c r="L40" s="7" t="s">
        <v>365</v>
      </c>
    </row>
    <row r="41" customFormat="false" ht="23.85" hidden="false" customHeight="false" outlineLevel="0" collapsed="false">
      <c r="A41" s="5" t="n">
        <v>37</v>
      </c>
      <c r="B41" s="5" t="s">
        <v>253</v>
      </c>
      <c r="C41" s="5" t="s">
        <v>366</v>
      </c>
      <c r="D41" s="5" t="s">
        <v>237</v>
      </c>
      <c r="E41" s="5" t="s">
        <v>348</v>
      </c>
      <c r="F41" s="5" t="s">
        <v>292</v>
      </c>
      <c r="G41" s="5" t="n">
        <v>-46.8</v>
      </c>
      <c r="H41" s="5" t="n">
        <v>36.3</v>
      </c>
      <c r="I41" s="5" t="n">
        <v>6.34</v>
      </c>
      <c r="J41" s="5" t="s">
        <v>349</v>
      </c>
      <c r="K41" s="5" t="s">
        <v>367</v>
      </c>
      <c r="L41" s="5" t="s">
        <v>351</v>
      </c>
    </row>
    <row r="42" customFormat="false" ht="23.85" hidden="false" customHeight="false" outlineLevel="0" collapsed="false">
      <c r="A42" s="7" t="n">
        <v>38</v>
      </c>
      <c r="B42" s="7" t="s">
        <v>253</v>
      </c>
      <c r="C42" s="7" t="s">
        <v>325</v>
      </c>
      <c r="D42" s="7" t="s">
        <v>227</v>
      </c>
      <c r="E42" s="7" t="s">
        <v>348</v>
      </c>
      <c r="F42" s="7" t="s">
        <v>292</v>
      </c>
      <c r="G42" s="7" t="n">
        <v>-33.55</v>
      </c>
      <c r="H42" s="7" t="n">
        <v>35.3</v>
      </c>
      <c r="I42" s="7" t="n">
        <v>2.97</v>
      </c>
      <c r="J42" s="7" t="s">
        <v>349</v>
      </c>
      <c r="K42" s="7" t="s">
        <v>326</v>
      </c>
      <c r="L42" s="7" t="s">
        <v>360</v>
      </c>
    </row>
    <row r="43" customFormat="false" ht="23.85" hidden="false" customHeight="false" outlineLevel="0" collapsed="false">
      <c r="A43" s="5" t="n">
        <v>39</v>
      </c>
      <c r="B43" s="5" t="s">
        <v>253</v>
      </c>
      <c r="C43" s="5" t="s">
        <v>332</v>
      </c>
      <c r="D43" s="5" t="s">
        <v>235</v>
      </c>
      <c r="E43" s="5" t="s">
        <v>348</v>
      </c>
      <c r="F43" s="5" t="s">
        <v>292</v>
      </c>
      <c r="G43" s="5" t="n">
        <v>-43.83</v>
      </c>
      <c r="H43" s="5" t="n">
        <v>38.03</v>
      </c>
      <c r="I43" s="5" t="n">
        <v>2.98</v>
      </c>
      <c r="J43" s="5" t="s">
        <v>349</v>
      </c>
      <c r="K43" s="5" t="s">
        <v>333</v>
      </c>
      <c r="L43" s="5" t="s">
        <v>361</v>
      </c>
    </row>
    <row r="44" customFormat="false" ht="23.85" hidden="false" customHeight="false" outlineLevel="0" collapsed="false">
      <c r="A44" s="7" t="n">
        <v>40</v>
      </c>
      <c r="B44" s="7" t="s">
        <v>253</v>
      </c>
      <c r="C44" s="7" t="s">
        <v>332</v>
      </c>
      <c r="D44" s="7" t="s">
        <v>235</v>
      </c>
      <c r="E44" s="7" t="s">
        <v>348</v>
      </c>
      <c r="F44" s="7" t="s">
        <v>292</v>
      </c>
      <c r="G44" s="7" t="n">
        <v>-46.8</v>
      </c>
      <c r="H44" s="7" t="n">
        <v>38.03</v>
      </c>
      <c r="I44" s="7" t="n">
        <v>2.98</v>
      </c>
      <c r="J44" s="7" t="s">
        <v>349</v>
      </c>
      <c r="K44" s="7" t="s">
        <v>333</v>
      </c>
      <c r="L44" s="7" t="s">
        <v>362</v>
      </c>
    </row>
    <row r="45" customFormat="false" ht="23.85" hidden="false" customHeight="false" outlineLevel="0" collapsed="false">
      <c r="A45" s="5" t="n">
        <v>41</v>
      </c>
      <c r="B45" s="5" t="s">
        <v>253</v>
      </c>
      <c r="C45" s="5" t="s">
        <v>368</v>
      </c>
      <c r="D45" s="5" t="s">
        <v>225</v>
      </c>
      <c r="E45" s="5" t="s">
        <v>348</v>
      </c>
      <c r="F45" s="5" t="s">
        <v>292</v>
      </c>
      <c r="G45" s="5" t="n">
        <v>-43.83</v>
      </c>
      <c r="H45" s="5" t="n">
        <v>38.17</v>
      </c>
      <c r="I45" s="5" t="n">
        <v>6.33</v>
      </c>
      <c r="J45" s="5" t="s">
        <v>349</v>
      </c>
      <c r="K45" s="5" t="s">
        <v>369</v>
      </c>
      <c r="L45" s="5" t="s">
        <v>365</v>
      </c>
    </row>
    <row r="46" customFormat="false" ht="23.85" hidden="false" customHeight="false" outlineLevel="0" collapsed="false">
      <c r="A46" s="7" t="n">
        <v>42</v>
      </c>
      <c r="B46" s="7" t="s">
        <v>253</v>
      </c>
      <c r="C46" s="7" t="s">
        <v>370</v>
      </c>
      <c r="D46" s="7" t="s">
        <v>237</v>
      </c>
      <c r="E46" s="7" t="s">
        <v>348</v>
      </c>
      <c r="F46" s="7" t="s">
        <v>292</v>
      </c>
      <c r="G46" s="7" t="n">
        <v>-46.8</v>
      </c>
      <c r="H46" s="7" t="n">
        <v>38.2</v>
      </c>
      <c r="I46" s="7" t="n">
        <v>6.34</v>
      </c>
      <c r="J46" s="7" t="s">
        <v>349</v>
      </c>
      <c r="K46" s="7" t="s">
        <v>371</v>
      </c>
      <c r="L46" s="7" t="s">
        <v>351</v>
      </c>
    </row>
    <row r="47" customFormat="false" ht="23.85" hidden="false" customHeight="false" outlineLevel="0" collapsed="false">
      <c r="A47" s="5" t="n">
        <v>43</v>
      </c>
      <c r="B47" s="5" t="s">
        <v>255</v>
      </c>
      <c r="C47" s="5" t="s">
        <v>372</v>
      </c>
      <c r="D47" s="5" t="s">
        <v>225</v>
      </c>
      <c r="E47" s="5" t="s">
        <v>373</v>
      </c>
      <c r="F47" s="5" t="s">
        <v>279</v>
      </c>
      <c r="G47" s="5" t="n">
        <v>-49.69</v>
      </c>
      <c r="H47" s="5" t="n">
        <v>68.05</v>
      </c>
      <c r="I47" s="5" t="n">
        <v>3.26</v>
      </c>
      <c r="J47" s="5" t="s">
        <v>374</v>
      </c>
      <c r="K47" s="5" t="s">
        <v>375</v>
      </c>
      <c r="L47" s="5" t="s">
        <v>376</v>
      </c>
    </row>
    <row r="48" customFormat="false" ht="23.85" hidden="false" customHeight="false" outlineLevel="0" collapsed="false">
      <c r="A48" s="7" t="n">
        <v>44</v>
      </c>
      <c r="B48" s="7" t="s">
        <v>255</v>
      </c>
      <c r="C48" s="7" t="s">
        <v>372</v>
      </c>
      <c r="D48" s="7" t="s">
        <v>225</v>
      </c>
      <c r="E48" s="7" t="s">
        <v>377</v>
      </c>
      <c r="F48" s="7" t="s">
        <v>292</v>
      </c>
      <c r="G48" s="7" t="n">
        <v>-49.69</v>
      </c>
      <c r="H48" s="7" t="n">
        <v>68.05</v>
      </c>
      <c r="I48" s="7" t="n">
        <v>3.26</v>
      </c>
      <c r="J48" s="7" t="s">
        <v>374</v>
      </c>
      <c r="K48" s="7" t="s">
        <v>375</v>
      </c>
      <c r="L48" s="7" t="s">
        <v>378</v>
      </c>
    </row>
    <row r="49" customFormat="false" ht="23.85" hidden="false" customHeight="false" outlineLevel="0" collapsed="false">
      <c r="A49" s="5" t="n">
        <v>45</v>
      </c>
      <c r="B49" s="5" t="s">
        <v>255</v>
      </c>
      <c r="C49" s="5" t="s">
        <v>379</v>
      </c>
      <c r="D49" s="5" t="s">
        <v>225</v>
      </c>
      <c r="E49" s="5" t="s">
        <v>373</v>
      </c>
      <c r="F49" s="5" t="s">
        <v>279</v>
      </c>
      <c r="G49" s="5" t="n">
        <v>-49.69</v>
      </c>
      <c r="H49" s="5" t="n">
        <v>68.75</v>
      </c>
      <c r="I49" s="5" t="n">
        <v>3.26</v>
      </c>
      <c r="J49" s="5" t="s">
        <v>374</v>
      </c>
      <c r="K49" s="5" t="s">
        <v>380</v>
      </c>
      <c r="L49" s="5" t="s">
        <v>376</v>
      </c>
    </row>
    <row r="50" customFormat="false" ht="23.85" hidden="false" customHeight="false" outlineLevel="0" collapsed="false">
      <c r="A50" s="7" t="n">
        <v>46</v>
      </c>
      <c r="B50" s="7" t="s">
        <v>255</v>
      </c>
      <c r="C50" s="7" t="s">
        <v>379</v>
      </c>
      <c r="D50" s="7" t="s">
        <v>225</v>
      </c>
      <c r="E50" s="7" t="s">
        <v>377</v>
      </c>
      <c r="F50" s="7" t="s">
        <v>292</v>
      </c>
      <c r="G50" s="7" t="n">
        <v>-49.69</v>
      </c>
      <c r="H50" s="7" t="n">
        <v>68.75</v>
      </c>
      <c r="I50" s="7" t="n">
        <v>3.26</v>
      </c>
      <c r="J50" s="7" t="s">
        <v>374</v>
      </c>
      <c r="K50" s="7" t="s">
        <v>380</v>
      </c>
      <c r="L50" s="7" t="s">
        <v>378</v>
      </c>
    </row>
    <row r="51" customFormat="false" ht="23.85" hidden="false" customHeight="false" outlineLevel="0" collapsed="false">
      <c r="A51" s="5" t="n">
        <v>47</v>
      </c>
      <c r="B51" s="5" t="s">
        <v>255</v>
      </c>
      <c r="C51" s="5" t="s">
        <v>381</v>
      </c>
      <c r="D51" s="5" t="s">
        <v>225</v>
      </c>
      <c r="E51" s="5" t="s">
        <v>373</v>
      </c>
      <c r="F51" s="5" t="s">
        <v>279</v>
      </c>
      <c r="G51" s="5" t="n">
        <v>-18.16</v>
      </c>
      <c r="H51" s="5" t="n">
        <v>67.75</v>
      </c>
      <c r="I51" s="5" t="n">
        <v>3.27</v>
      </c>
      <c r="J51" s="5" t="s">
        <v>374</v>
      </c>
      <c r="K51" s="5" t="s">
        <v>382</v>
      </c>
      <c r="L51" s="5" t="s">
        <v>383</v>
      </c>
    </row>
    <row r="52" customFormat="false" ht="23.85" hidden="false" customHeight="false" outlineLevel="0" collapsed="false">
      <c r="A52" s="7" t="n">
        <v>48</v>
      </c>
      <c r="B52" s="7" t="s">
        <v>255</v>
      </c>
      <c r="C52" s="7" t="s">
        <v>381</v>
      </c>
      <c r="D52" s="7" t="s">
        <v>225</v>
      </c>
      <c r="E52" s="7" t="s">
        <v>377</v>
      </c>
      <c r="F52" s="7" t="s">
        <v>292</v>
      </c>
      <c r="G52" s="7" t="n">
        <v>-18.16</v>
      </c>
      <c r="H52" s="7" t="n">
        <v>67.75</v>
      </c>
      <c r="I52" s="7" t="n">
        <v>3.27</v>
      </c>
      <c r="J52" s="7" t="s">
        <v>374</v>
      </c>
      <c r="K52" s="7" t="s">
        <v>382</v>
      </c>
      <c r="L52" s="7" t="s">
        <v>384</v>
      </c>
    </row>
    <row r="53" customFormat="false" ht="23.85" hidden="false" customHeight="false" outlineLevel="0" collapsed="false">
      <c r="A53" s="5" t="n">
        <v>49</v>
      </c>
      <c r="B53" s="5" t="s">
        <v>255</v>
      </c>
      <c r="C53" s="5" t="s">
        <v>385</v>
      </c>
      <c r="D53" s="5" t="s">
        <v>225</v>
      </c>
      <c r="E53" s="5" t="s">
        <v>373</v>
      </c>
      <c r="F53" s="5" t="s">
        <v>279</v>
      </c>
      <c r="G53" s="5" t="n">
        <v>-18.16</v>
      </c>
      <c r="H53" s="5" t="n">
        <v>68.45</v>
      </c>
      <c r="I53" s="5" t="n">
        <v>3.27</v>
      </c>
      <c r="J53" s="5" t="s">
        <v>374</v>
      </c>
      <c r="K53" s="5" t="s">
        <v>386</v>
      </c>
      <c r="L53" s="5" t="s">
        <v>383</v>
      </c>
    </row>
    <row r="54" customFormat="false" ht="23.85" hidden="false" customHeight="false" outlineLevel="0" collapsed="false">
      <c r="A54" s="7" t="n">
        <v>50</v>
      </c>
      <c r="B54" s="7" t="s">
        <v>255</v>
      </c>
      <c r="C54" s="7" t="s">
        <v>385</v>
      </c>
      <c r="D54" s="7" t="s">
        <v>225</v>
      </c>
      <c r="E54" s="7" t="s">
        <v>377</v>
      </c>
      <c r="F54" s="7" t="s">
        <v>292</v>
      </c>
      <c r="G54" s="7" t="n">
        <v>-18.16</v>
      </c>
      <c r="H54" s="7" t="n">
        <v>68.45</v>
      </c>
      <c r="I54" s="7" t="n">
        <v>3.27</v>
      </c>
      <c r="J54" s="7" t="s">
        <v>374</v>
      </c>
      <c r="K54" s="7" t="s">
        <v>386</v>
      </c>
      <c r="L54" s="7" t="s">
        <v>384</v>
      </c>
    </row>
    <row r="55" customFormat="false" ht="23.85" hidden="false" customHeight="false" outlineLevel="0" collapsed="false">
      <c r="A55" s="5" t="n">
        <v>51</v>
      </c>
      <c r="B55" s="5" t="s">
        <v>255</v>
      </c>
      <c r="C55" s="5" t="s">
        <v>277</v>
      </c>
      <c r="D55" s="5" t="s">
        <v>229</v>
      </c>
      <c r="E55" s="5" t="s">
        <v>387</v>
      </c>
      <c r="F55" s="5" t="s">
        <v>279</v>
      </c>
      <c r="G55" s="5" t="n">
        <v>-51.68</v>
      </c>
      <c r="H55" s="5" t="n">
        <v>37.12</v>
      </c>
      <c r="I55" s="5" t="n">
        <v>6.77</v>
      </c>
      <c r="J55" s="5" t="s">
        <v>374</v>
      </c>
      <c r="K55" s="5" t="s">
        <v>281</v>
      </c>
      <c r="L55" s="5" t="s">
        <v>388</v>
      </c>
    </row>
    <row r="56" customFormat="false" ht="23.85" hidden="false" customHeight="false" outlineLevel="0" collapsed="false">
      <c r="A56" s="7" t="n">
        <v>52</v>
      </c>
      <c r="B56" s="7" t="s">
        <v>255</v>
      </c>
      <c r="C56" s="7" t="s">
        <v>277</v>
      </c>
      <c r="D56" s="7" t="s">
        <v>229</v>
      </c>
      <c r="E56" s="7" t="s">
        <v>377</v>
      </c>
      <c r="F56" s="7" t="s">
        <v>292</v>
      </c>
      <c r="G56" s="7" t="n">
        <v>-51.68</v>
      </c>
      <c r="H56" s="7" t="n">
        <v>37.12</v>
      </c>
      <c r="I56" s="7" t="n">
        <v>6.62</v>
      </c>
      <c r="J56" s="7" t="s">
        <v>374</v>
      </c>
      <c r="K56" s="7" t="s">
        <v>281</v>
      </c>
      <c r="L56" s="7" t="s">
        <v>389</v>
      </c>
    </row>
    <row r="57" customFormat="false" ht="23.85" hidden="false" customHeight="false" outlineLevel="0" collapsed="false">
      <c r="A57" s="5" t="n">
        <v>53</v>
      </c>
      <c r="B57" s="5" t="s">
        <v>255</v>
      </c>
      <c r="C57" s="5" t="s">
        <v>283</v>
      </c>
      <c r="D57" s="5" t="s">
        <v>229</v>
      </c>
      <c r="E57" s="5" t="s">
        <v>387</v>
      </c>
      <c r="F57" s="5" t="s">
        <v>279</v>
      </c>
      <c r="G57" s="5" t="n">
        <v>-51.66</v>
      </c>
      <c r="H57" s="5" t="n">
        <v>37.72</v>
      </c>
      <c r="I57" s="5" t="n">
        <v>6.77</v>
      </c>
      <c r="J57" s="5" t="s">
        <v>374</v>
      </c>
      <c r="K57" s="5" t="s">
        <v>284</v>
      </c>
      <c r="L57" s="5" t="s">
        <v>388</v>
      </c>
    </row>
    <row r="58" customFormat="false" ht="23.85" hidden="false" customHeight="false" outlineLevel="0" collapsed="false">
      <c r="A58" s="7" t="n">
        <v>54</v>
      </c>
      <c r="B58" s="7" t="s">
        <v>255</v>
      </c>
      <c r="C58" s="7" t="s">
        <v>283</v>
      </c>
      <c r="D58" s="7" t="s">
        <v>229</v>
      </c>
      <c r="E58" s="7" t="s">
        <v>377</v>
      </c>
      <c r="F58" s="7" t="s">
        <v>292</v>
      </c>
      <c r="G58" s="7" t="n">
        <v>-51.66</v>
      </c>
      <c r="H58" s="7" t="n">
        <v>37.72</v>
      </c>
      <c r="I58" s="7" t="n">
        <v>6.62</v>
      </c>
      <c r="J58" s="7" t="s">
        <v>374</v>
      </c>
      <c r="K58" s="7" t="s">
        <v>284</v>
      </c>
      <c r="L58" s="7" t="s">
        <v>389</v>
      </c>
    </row>
    <row r="59" customFormat="false" ht="23.85" hidden="false" customHeight="false" outlineLevel="0" collapsed="false">
      <c r="A59" s="5" t="n">
        <v>55</v>
      </c>
      <c r="B59" s="5" t="s">
        <v>255</v>
      </c>
      <c r="C59" s="5" t="s">
        <v>390</v>
      </c>
      <c r="D59" s="5" t="s">
        <v>229</v>
      </c>
      <c r="E59" s="5" t="s">
        <v>387</v>
      </c>
      <c r="F59" s="5" t="s">
        <v>279</v>
      </c>
      <c r="G59" s="5" t="n">
        <v>-27.18</v>
      </c>
      <c r="H59" s="5" t="n">
        <v>36.96</v>
      </c>
      <c r="I59" s="5" t="n">
        <v>6.77</v>
      </c>
      <c r="J59" s="5" t="s">
        <v>374</v>
      </c>
      <c r="K59" s="5" t="s">
        <v>391</v>
      </c>
      <c r="L59" s="5" t="s">
        <v>392</v>
      </c>
    </row>
    <row r="60" customFormat="false" ht="23.85" hidden="false" customHeight="false" outlineLevel="0" collapsed="false">
      <c r="A60" s="7" t="n">
        <v>56</v>
      </c>
      <c r="B60" s="7" t="s">
        <v>255</v>
      </c>
      <c r="C60" s="7" t="s">
        <v>390</v>
      </c>
      <c r="D60" s="7" t="s">
        <v>229</v>
      </c>
      <c r="E60" s="7" t="s">
        <v>377</v>
      </c>
      <c r="F60" s="7" t="s">
        <v>292</v>
      </c>
      <c r="G60" s="7" t="n">
        <v>-27.18</v>
      </c>
      <c r="H60" s="7" t="n">
        <v>36.96</v>
      </c>
      <c r="I60" s="7" t="n">
        <v>6.62</v>
      </c>
      <c r="J60" s="7" t="s">
        <v>374</v>
      </c>
      <c r="K60" s="7" t="s">
        <v>391</v>
      </c>
      <c r="L60" s="7" t="s">
        <v>393</v>
      </c>
    </row>
    <row r="61" customFormat="false" ht="23.85" hidden="false" customHeight="false" outlineLevel="0" collapsed="false">
      <c r="A61" s="5" t="n">
        <v>57</v>
      </c>
      <c r="B61" s="5" t="s">
        <v>255</v>
      </c>
      <c r="C61" s="5" t="s">
        <v>394</v>
      </c>
      <c r="D61" s="5" t="s">
        <v>229</v>
      </c>
      <c r="E61" s="5" t="s">
        <v>387</v>
      </c>
      <c r="F61" s="5" t="s">
        <v>279</v>
      </c>
      <c r="G61" s="5" t="n">
        <v>-27.18</v>
      </c>
      <c r="H61" s="5" t="n">
        <v>37.55</v>
      </c>
      <c r="I61" s="5" t="n">
        <v>6.77</v>
      </c>
      <c r="J61" s="5" t="s">
        <v>374</v>
      </c>
      <c r="K61" s="5" t="s">
        <v>395</v>
      </c>
      <c r="L61" s="5" t="s">
        <v>392</v>
      </c>
    </row>
    <row r="62" customFormat="false" ht="23.85" hidden="false" customHeight="false" outlineLevel="0" collapsed="false">
      <c r="A62" s="7" t="n">
        <v>58</v>
      </c>
      <c r="B62" s="7" t="s">
        <v>255</v>
      </c>
      <c r="C62" s="7" t="s">
        <v>394</v>
      </c>
      <c r="D62" s="7" t="s">
        <v>229</v>
      </c>
      <c r="E62" s="7" t="s">
        <v>377</v>
      </c>
      <c r="F62" s="7" t="s">
        <v>292</v>
      </c>
      <c r="G62" s="7" t="n">
        <v>-27.18</v>
      </c>
      <c r="H62" s="7" t="n">
        <v>37.55</v>
      </c>
      <c r="I62" s="7" t="n">
        <v>6.62</v>
      </c>
      <c r="J62" s="7" t="s">
        <v>374</v>
      </c>
      <c r="K62" s="7" t="s">
        <v>395</v>
      </c>
      <c r="L62" s="7" t="s">
        <v>393</v>
      </c>
    </row>
    <row r="63" customFormat="false" ht="23.85" hidden="false" customHeight="false" outlineLevel="0" collapsed="false">
      <c r="A63" s="5" t="n">
        <v>59</v>
      </c>
      <c r="B63" s="5" t="s">
        <v>255</v>
      </c>
      <c r="C63" s="5" t="s">
        <v>396</v>
      </c>
      <c r="D63" s="5" t="s">
        <v>232</v>
      </c>
      <c r="E63" s="5" t="s">
        <v>373</v>
      </c>
      <c r="F63" s="5" t="s">
        <v>279</v>
      </c>
      <c r="G63" s="5" t="n">
        <v>-66.12</v>
      </c>
      <c r="H63" s="5" t="n">
        <v>36.32</v>
      </c>
      <c r="I63" s="5" t="n">
        <v>3.26</v>
      </c>
      <c r="J63" s="5" t="s">
        <v>374</v>
      </c>
      <c r="K63" s="5" t="s">
        <v>397</v>
      </c>
      <c r="L63" s="5" t="s">
        <v>398</v>
      </c>
    </row>
    <row r="64" customFormat="false" ht="23.85" hidden="false" customHeight="false" outlineLevel="0" collapsed="false">
      <c r="A64" s="7" t="n">
        <v>60</v>
      </c>
      <c r="B64" s="7" t="s">
        <v>255</v>
      </c>
      <c r="C64" s="7" t="s">
        <v>396</v>
      </c>
      <c r="D64" s="7" t="s">
        <v>232</v>
      </c>
      <c r="E64" s="7" t="s">
        <v>399</v>
      </c>
      <c r="F64" s="7" t="s">
        <v>279</v>
      </c>
      <c r="G64" s="7" t="n">
        <v>-66.12</v>
      </c>
      <c r="H64" s="7" t="n">
        <v>36.32</v>
      </c>
      <c r="I64" s="7" t="n">
        <v>5.89</v>
      </c>
      <c r="J64" s="7" t="s">
        <v>374</v>
      </c>
      <c r="K64" s="7" t="s">
        <v>397</v>
      </c>
      <c r="L64" s="7" t="s">
        <v>400</v>
      </c>
    </row>
    <row r="65" customFormat="false" ht="23.85" hidden="false" customHeight="false" outlineLevel="0" collapsed="false">
      <c r="A65" s="5" t="n">
        <v>61</v>
      </c>
      <c r="B65" s="5" t="s">
        <v>255</v>
      </c>
      <c r="C65" s="5" t="s">
        <v>396</v>
      </c>
      <c r="D65" s="5" t="s">
        <v>232</v>
      </c>
      <c r="E65" s="5" t="s">
        <v>377</v>
      </c>
      <c r="F65" s="5" t="s">
        <v>292</v>
      </c>
      <c r="G65" s="5" t="n">
        <v>-66.12</v>
      </c>
      <c r="H65" s="5" t="n">
        <v>36.32</v>
      </c>
      <c r="I65" s="5" t="n">
        <v>3.26</v>
      </c>
      <c r="J65" s="5" t="s">
        <v>374</v>
      </c>
      <c r="K65" s="5" t="s">
        <v>397</v>
      </c>
      <c r="L65" s="5" t="s">
        <v>401</v>
      </c>
    </row>
    <row r="66" customFormat="false" ht="23.85" hidden="false" customHeight="false" outlineLevel="0" collapsed="false">
      <c r="A66" s="7" t="n">
        <v>62</v>
      </c>
      <c r="B66" s="7" t="s">
        <v>255</v>
      </c>
      <c r="C66" s="7" t="s">
        <v>402</v>
      </c>
      <c r="D66" s="7" t="s">
        <v>230</v>
      </c>
      <c r="E66" s="7" t="s">
        <v>387</v>
      </c>
      <c r="F66" s="7" t="s">
        <v>279</v>
      </c>
      <c r="G66" s="7" t="n">
        <v>-66.12</v>
      </c>
      <c r="H66" s="7" t="n">
        <v>36.32</v>
      </c>
      <c r="I66" s="7" t="n">
        <v>6.97</v>
      </c>
      <c r="J66" s="7" t="s">
        <v>374</v>
      </c>
      <c r="K66" s="7" t="s">
        <v>403</v>
      </c>
      <c r="L66" s="7" t="s">
        <v>388</v>
      </c>
    </row>
    <row r="67" customFormat="false" ht="23.85" hidden="false" customHeight="false" outlineLevel="0" collapsed="false">
      <c r="A67" s="5" t="n">
        <v>63</v>
      </c>
      <c r="B67" s="5" t="s">
        <v>255</v>
      </c>
      <c r="C67" s="5" t="s">
        <v>286</v>
      </c>
      <c r="D67" s="5" t="s">
        <v>232</v>
      </c>
      <c r="E67" s="5" t="s">
        <v>373</v>
      </c>
      <c r="F67" s="5" t="s">
        <v>279</v>
      </c>
      <c r="G67" s="5" t="n">
        <v>-66.14</v>
      </c>
      <c r="H67" s="5" t="n">
        <v>38.22</v>
      </c>
      <c r="I67" s="5" t="n">
        <v>3.26</v>
      </c>
      <c r="J67" s="5" t="s">
        <v>374</v>
      </c>
      <c r="K67" s="5" t="s">
        <v>288</v>
      </c>
      <c r="L67" s="5" t="s">
        <v>398</v>
      </c>
    </row>
    <row r="68" customFormat="false" ht="23.85" hidden="false" customHeight="false" outlineLevel="0" collapsed="false">
      <c r="A68" s="7" t="n">
        <v>64</v>
      </c>
      <c r="B68" s="7" t="s">
        <v>255</v>
      </c>
      <c r="C68" s="7" t="s">
        <v>286</v>
      </c>
      <c r="D68" s="7" t="s">
        <v>232</v>
      </c>
      <c r="E68" s="7" t="s">
        <v>399</v>
      </c>
      <c r="F68" s="7" t="s">
        <v>279</v>
      </c>
      <c r="G68" s="7" t="n">
        <v>-66.14</v>
      </c>
      <c r="H68" s="7" t="n">
        <v>38.22</v>
      </c>
      <c r="I68" s="7" t="n">
        <v>5.89</v>
      </c>
      <c r="J68" s="7" t="s">
        <v>374</v>
      </c>
      <c r="K68" s="7" t="s">
        <v>288</v>
      </c>
      <c r="L68" s="7" t="s">
        <v>400</v>
      </c>
    </row>
    <row r="69" customFormat="false" ht="23.85" hidden="false" customHeight="false" outlineLevel="0" collapsed="false">
      <c r="A69" s="5" t="n">
        <v>65</v>
      </c>
      <c r="B69" s="5" t="s">
        <v>255</v>
      </c>
      <c r="C69" s="5" t="s">
        <v>286</v>
      </c>
      <c r="D69" s="5" t="s">
        <v>232</v>
      </c>
      <c r="E69" s="5" t="s">
        <v>377</v>
      </c>
      <c r="F69" s="5" t="s">
        <v>292</v>
      </c>
      <c r="G69" s="5" t="n">
        <v>-66.14</v>
      </c>
      <c r="H69" s="5" t="n">
        <v>38.22</v>
      </c>
      <c r="I69" s="5" t="n">
        <v>3.26</v>
      </c>
      <c r="J69" s="5" t="s">
        <v>374</v>
      </c>
      <c r="K69" s="5" t="s">
        <v>288</v>
      </c>
      <c r="L69" s="5" t="s">
        <v>401</v>
      </c>
    </row>
    <row r="70" customFormat="false" ht="23.85" hidden="false" customHeight="false" outlineLevel="0" collapsed="false">
      <c r="A70" s="7" t="n">
        <v>66</v>
      </c>
      <c r="B70" s="7" t="s">
        <v>255</v>
      </c>
      <c r="C70" s="7" t="s">
        <v>404</v>
      </c>
      <c r="D70" s="7" t="s">
        <v>230</v>
      </c>
      <c r="E70" s="7" t="s">
        <v>387</v>
      </c>
      <c r="F70" s="7" t="s">
        <v>279</v>
      </c>
      <c r="G70" s="7" t="n">
        <v>-66.14</v>
      </c>
      <c r="H70" s="7" t="n">
        <v>38.22</v>
      </c>
      <c r="I70" s="7" t="n">
        <v>6.97</v>
      </c>
      <c r="J70" s="7" t="s">
        <v>374</v>
      </c>
      <c r="K70" s="7" t="s">
        <v>405</v>
      </c>
      <c r="L70" s="7" t="s">
        <v>388</v>
      </c>
    </row>
    <row r="71" customFormat="false" ht="35.05" hidden="false" customHeight="false" outlineLevel="0" collapsed="false">
      <c r="A71" s="5" t="n">
        <v>67</v>
      </c>
      <c r="B71" s="5" t="s">
        <v>257</v>
      </c>
      <c r="C71" s="5" t="s">
        <v>406</v>
      </c>
      <c r="D71" s="5" t="s">
        <v>227</v>
      </c>
      <c r="E71" s="5" t="s">
        <v>407</v>
      </c>
      <c r="F71" s="5" t="s">
        <v>279</v>
      </c>
      <c r="G71" s="5" t="n">
        <v>0.38</v>
      </c>
      <c r="H71" s="5" t="n">
        <v>67.7</v>
      </c>
      <c r="I71" s="5" t="n">
        <v>2.86</v>
      </c>
      <c r="J71" s="5" t="s">
        <v>408</v>
      </c>
      <c r="K71" s="5" t="s">
        <v>409</v>
      </c>
      <c r="L71" s="5" t="s">
        <v>410</v>
      </c>
    </row>
    <row r="72" customFormat="false" ht="35.05" hidden="false" customHeight="false" outlineLevel="0" collapsed="false">
      <c r="A72" s="7" t="n">
        <v>68</v>
      </c>
      <c r="B72" s="7" t="s">
        <v>257</v>
      </c>
      <c r="C72" s="7" t="s">
        <v>406</v>
      </c>
      <c r="D72" s="7" t="s">
        <v>227</v>
      </c>
      <c r="E72" s="7" t="s">
        <v>411</v>
      </c>
      <c r="F72" s="7" t="s">
        <v>292</v>
      </c>
      <c r="G72" s="7" t="n">
        <v>0.38</v>
      </c>
      <c r="H72" s="7" t="n">
        <v>67.7</v>
      </c>
      <c r="I72" s="7" t="n">
        <v>2.86</v>
      </c>
      <c r="J72" s="7" t="s">
        <v>408</v>
      </c>
      <c r="K72" s="7" t="s">
        <v>409</v>
      </c>
      <c r="L72" s="7" t="s">
        <v>412</v>
      </c>
    </row>
    <row r="73" customFormat="false" ht="35.05" hidden="false" customHeight="false" outlineLevel="0" collapsed="false">
      <c r="A73" s="5" t="n">
        <v>69</v>
      </c>
      <c r="B73" s="5" t="s">
        <v>257</v>
      </c>
      <c r="C73" s="5" t="s">
        <v>413</v>
      </c>
      <c r="D73" s="5" t="s">
        <v>227</v>
      </c>
      <c r="E73" s="5" t="s">
        <v>407</v>
      </c>
      <c r="F73" s="5" t="s">
        <v>279</v>
      </c>
      <c r="G73" s="5" t="n">
        <v>0.38</v>
      </c>
      <c r="H73" s="5" t="n">
        <v>68.4</v>
      </c>
      <c r="I73" s="5" t="n">
        <v>2.86</v>
      </c>
      <c r="J73" s="5" t="s">
        <v>408</v>
      </c>
      <c r="K73" s="5" t="s">
        <v>414</v>
      </c>
      <c r="L73" s="5" t="s">
        <v>410</v>
      </c>
    </row>
    <row r="74" customFormat="false" ht="35.05" hidden="false" customHeight="false" outlineLevel="0" collapsed="false">
      <c r="A74" s="7" t="n">
        <v>70</v>
      </c>
      <c r="B74" s="7" t="s">
        <v>257</v>
      </c>
      <c r="C74" s="7" t="s">
        <v>413</v>
      </c>
      <c r="D74" s="7" t="s">
        <v>227</v>
      </c>
      <c r="E74" s="7" t="s">
        <v>411</v>
      </c>
      <c r="F74" s="7" t="s">
        <v>292</v>
      </c>
      <c r="G74" s="7" t="n">
        <v>0.39</v>
      </c>
      <c r="H74" s="7" t="n">
        <v>68.4</v>
      </c>
      <c r="I74" s="7" t="n">
        <v>2.86</v>
      </c>
      <c r="J74" s="7" t="s">
        <v>408</v>
      </c>
      <c r="K74" s="7" t="s">
        <v>414</v>
      </c>
      <c r="L74" s="7" t="s">
        <v>412</v>
      </c>
    </row>
    <row r="75" customFormat="false" ht="35.05" hidden="false" customHeight="false" outlineLevel="0" collapsed="false">
      <c r="A75" s="5" t="n">
        <v>71</v>
      </c>
      <c r="B75" s="5" t="s">
        <v>257</v>
      </c>
      <c r="C75" s="5" t="s">
        <v>354</v>
      </c>
      <c r="D75" s="5" t="s">
        <v>227</v>
      </c>
      <c r="E75" s="5" t="s">
        <v>415</v>
      </c>
      <c r="F75" s="5" t="s">
        <v>279</v>
      </c>
      <c r="G75" s="5" t="n">
        <v>-1.83</v>
      </c>
      <c r="H75" s="5" t="n">
        <v>37.01</v>
      </c>
      <c r="I75" s="5" t="n">
        <v>6.22</v>
      </c>
      <c r="J75" s="5" t="s">
        <v>408</v>
      </c>
      <c r="K75" s="5" t="s">
        <v>355</v>
      </c>
      <c r="L75" s="5" t="s">
        <v>416</v>
      </c>
    </row>
    <row r="76" customFormat="false" ht="35.05" hidden="false" customHeight="false" outlineLevel="0" collapsed="false">
      <c r="A76" s="7" t="n">
        <v>72</v>
      </c>
      <c r="B76" s="7" t="s">
        <v>257</v>
      </c>
      <c r="C76" s="7" t="s">
        <v>354</v>
      </c>
      <c r="D76" s="7" t="s">
        <v>227</v>
      </c>
      <c r="E76" s="7" t="s">
        <v>417</v>
      </c>
      <c r="F76" s="7" t="s">
        <v>292</v>
      </c>
      <c r="G76" s="7" t="n">
        <v>-3.09</v>
      </c>
      <c r="H76" s="7" t="n">
        <v>37.01</v>
      </c>
      <c r="I76" s="7" t="n">
        <v>6.22</v>
      </c>
      <c r="J76" s="7" t="s">
        <v>408</v>
      </c>
      <c r="K76" s="7" t="s">
        <v>355</v>
      </c>
      <c r="L76" s="7" t="s">
        <v>418</v>
      </c>
    </row>
    <row r="77" customFormat="false" ht="35.05" hidden="false" customHeight="false" outlineLevel="0" collapsed="false">
      <c r="A77" s="5" t="n">
        <v>73</v>
      </c>
      <c r="B77" s="5" t="s">
        <v>257</v>
      </c>
      <c r="C77" s="5" t="s">
        <v>357</v>
      </c>
      <c r="D77" s="5" t="s">
        <v>227</v>
      </c>
      <c r="E77" s="5" t="s">
        <v>415</v>
      </c>
      <c r="F77" s="5" t="s">
        <v>279</v>
      </c>
      <c r="G77" s="5" t="n">
        <v>-4.35</v>
      </c>
      <c r="H77" s="5" t="n">
        <v>37.58</v>
      </c>
      <c r="I77" s="5" t="n">
        <v>6.22</v>
      </c>
      <c r="J77" s="5" t="s">
        <v>408</v>
      </c>
      <c r="K77" s="5" t="s">
        <v>358</v>
      </c>
      <c r="L77" s="5" t="s">
        <v>419</v>
      </c>
    </row>
    <row r="78" customFormat="false" ht="35.05" hidden="false" customHeight="false" outlineLevel="0" collapsed="false">
      <c r="A78" s="7" t="n">
        <v>74</v>
      </c>
      <c r="B78" s="7" t="s">
        <v>257</v>
      </c>
      <c r="C78" s="7" t="s">
        <v>357</v>
      </c>
      <c r="D78" s="7" t="s">
        <v>227</v>
      </c>
      <c r="E78" s="7" t="s">
        <v>417</v>
      </c>
      <c r="F78" s="7" t="s">
        <v>292</v>
      </c>
      <c r="G78" s="7" t="n">
        <v>-3.09</v>
      </c>
      <c r="H78" s="7" t="n">
        <v>37.58</v>
      </c>
      <c r="I78" s="7" t="n">
        <v>6.22</v>
      </c>
      <c r="J78" s="7" t="s">
        <v>408</v>
      </c>
      <c r="K78" s="7" t="s">
        <v>358</v>
      </c>
      <c r="L78" s="7" t="s">
        <v>418</v>
      </c>
    </row>
    <row r="79" customFormat="false" ht="23.85" hidden="false" customHeight="false" outlineLevel="0" collapsed="false">
      <c r="A79" s="5" t="n">
        <v>75</v>
      </c>
      <c r="B79" s="5" t="s">
        <v>257</v>
      </c>
      <c r="C79" s="5" t="s">
        <v>298</v>
      </c>
      <c r="D79" s="5" t="s">
        <v>227</v>
      </c>
      <c r="E79" s="5" t="s">
        <v>415</v>
      </c>
      <c r="F79" s="5" t="s">
        <v>279</v>
      </c>
      <c r="G79" s="5" t="n">
        <v>-34.55</v>
      </c>
      <c r="H79" s="5" t="n">
        <v>42.62</v>
      </c>
      <c r="I79" s="5" t="n">
        <v>2.86</v>
      </c>
      <c r="J79" s="5" t="s">
        <v>408</v>
      </c>
      <c r="K79" s="5" t="s">
        <v>299</v>
      </c>
      <c r="L79" s="5" t="s">
        <v>420</v>
      </c>
    </row>
    <row r="80" customFormat="false" ht="23.85" hidden="false" customHeight="false" outlineLevel="0" collapsed="false">
      <c r="A80" s="7" t="n">
        <v>76</v>
      </c>
      <c r="B80" s="7" t="s">
        <v>257</v>
      </c>
      <c r="C80" s="7" t="s">
        <v>298</v>
      </c>
      <c r="D80" s="7" t="s">
        <v>227</v>
      </c>
      <c r="E80" s="7" t="s">
        <v>417</v>
      </c>
      <c r="F80" s="7" t="s">
        <v>292</v>
      </c>
      <c r="G80" s="7" t="n">
        <v>-34.55</v>
      </c>
      <c r="H80" s="7" t="n">
        <v>42.62</v>
      </c>
      <c r="I80" s="7" t="n">
        <v>2.86</v>
      </c>
      <c r="J80" s="7" t="s">
        <v>408</v>
      </c>
      <c r="K80" s="7" t="s">
        <v>299</v>
      </c>
      <c r="L80" s="7" t="s">
        <v>421</v>
      </c>
    </row>
    <row r="81" customFormat="false" ht="23.85" hidden="false" customHeight="false" outlineLevel="0" collapsed="false">
      <c r="A81" s="5" t="n">
        <v>77</v>
      </c>
      <c r="B81" s="5" t="s">
        <v>257</v>
      </c>
      <c r="C81" s="5" t="s">
        <v>303</v>
      </c>
      <c r="D81" s="5" t="s">
        <v>227</v>
      </c>
      <c r="E81" s="5" t="s">
        <v>407</v>
      </c>
      <c r="F81" s="5" t="s">
        <v>279</v>
      </c>
      <c r="G81" s="5" t="n">
        <v>-33.8</v>
      </c>
      <c r="H81" s="5" t="n">
        <v>47.7</v>
      </c>
      <c r="I81" s="5" t="n">
        <v>2.89</v>
      </c>
      <c r="J81" s="5" t="s">
        <v>408</v>
      </c>
      <c r="K81" s="5" t="s">
        <v>305</v>
      </c>
      <c r="L81" s="5" t="s">
        <v>422</v>
      </c>
    </row>
    <row r="82" customFormat="false" ht="23.85" hidden="false" customHeight="false" outlineLevel="0" collapsed="false">
      <c r="A82" s="7" t="n">
        <v>78</v>
      </c>
      <c r="B82" s="7" t="s">
        <v>257</v>
      </c>
      <c r="C82" s="7" t="s">
        <v>363</v>
      </c>
      <c r="D82" s="7" t="s">
        <v>225</v>
      </c>
      <c r="E82" s="7" t="s">
        <v>415</v>
      </c>
      <c r="F82" s="7" t="s">
        <v>279</v>
      </c>
      <c r="G82" s="7" t="n">
        <v>-40.41</v>
      </c>
      <c r="H82" s="7" t="n">
        <v>36.27</v>
      </c>
      <c r="I82" s="7" t="n">
        <v>6.22</v>
      </c>
      <c r="J82" s="7" t="s">
        <v>408</v>
      </c>
      <c r="K82" s="7" t="s">
        <v>364</v>
      </c>
      <c r="L82" s="7" t="s">
        <v>423</v>
      </c>
    </row>
    <row r="83" customFormat="false" ht="23.85" hidden="false" customHeight="false" outlineLevel="0" collapsed="false">
      <c r="A83" s="5" t="n">
        <v>79</v>
      </c>
      <c r="B83" s="5" t="s">
        <v>257</v>
      </c>
      <c r="C83" s="5" t="s">
        <v>363</v>
      </c>
      <c r="D83" s="5" t="s">
        <v>225</v>
      </c>
      <c r="E83" s="5" t="s">
        <v>415</v>
      </c>
      <c r="F83" s="5" t="s">
        <v>279</v>
      </c>
      <c r="G83" s="5" t="n">
        <v>-41.08</v>
      </c>
      <c r="H83" s="5" t="n">
        <v>36.27</v>
      </c>
      <c r="I83" s="5" t="n">
        <v>6.22</v>
      </c>
      <c r="J83" s="5" t="s">
        <v>408</v>
      </c>
      <c r="K83" s="5" t="s">
        <v>364</v>
      </c>
      <c r="L83" s="5" t="s">
        <v>424</v>
      </c>
    </row>
    <row r="84" customFormat="false" ht="23.85" hidden="false" customHeight="false" outlineLevel="0" collapsed="false">
      <c r="A84" s="7" t="n">
        <v>80</v>
      </c>
      <c r="B84" s="7" t="s">
        <v>257</v>
      </c>
      <c r="C84" s="7" t="s">
        <v>363</v>
      </c>
      <c r="D84" s="7" t="s">
        <v>225</v>
      </c>
      <c r="E84" s="7" t="s">
        <v>417</v>
      </c>
      <c r="F84" s="7" t="s">
        <v>292</v>
      </c>
      <c r="G84" s="7" t="n">
        <v>-40.61</v>
      </c>
      <c r="H84" s="7" t="n">
        <v>36.27</v>
      </c>
      <c r="I84" s="7" t="n">
        <v>6.22</v>
      </c>
      <c r="J84" s="7" t="s">
        <v>408</v>
      </c>
      <c r="K84" s="7" t="s">
        <v>364</v>
      </c>
      <c r="L84" s="7" t="s">
        <v>425</v>
      </c>
    </row>
    <row r="85" customFormat="false" ht="23.85" hidden="false" customHeight="false" outlineLevel="0" collapsed="false">
      <c r="A85" s="5" t="n">
        <v>81</v>
      </c>
      <c r="B85" s="5" t="s">
        <v>257</v>
      </c>
      <c r="C85" s="5" t="s">
        <v>363</v>
      </c>
      <c r="D85" s="5" t="s">
        <v>225</v>
      </c>
      <c r="E85" s="5" t="s">
        <v>417</v>
      </c>
      <c r="F85" s="5" t="s">
        <v>292</v>
      </c>
      <c r="G85" s="5" t="n">
        <v>-40.41</v>
      </c>
      <c r="H85" s="5" t="n">
        <v>36.27</v>
      </c>
      <c r="I85" s="5" t="n">
        <v>6.22</v>
      </c>
      <c r="J85" s="5" t="s">
        <v>408</v>
      </c>
      <c r="K85" s="5" t="s">
        <v>364</v>
      </c>
      <c r="L85" s="5" t="s">
        <v>426</v>
      </c>
    </row>
    <row r="86" customFormat="false" ht="23.85" hidden="false" customHeight="false" outlineLevel="0" collapsed="false">
      <c r="A86" s="7" t="n">
        <v>82</v>
      </c>
      <c r="B86" s="7" t="s">
        <v>257</v>
      </c>
      <c r="C86" s="7" t="s">
        <v>427</v>
      </c>
      <c r="D86" s="7" t="s">
        <v>227</v>
      </c>
      <c r="E86" s="7" t="s">
        <v>428</v>
      </c>
      <c r="F86" s="7" t="s">
        <v>279</v>
      </c>
      <c r="G86" s="7" t="n">
        <v>-34.3</v>
      </c>
      <c r="H86" s="7" t="n">
        <v>55.79</v>
      </c>
      <c r="I86" s="7" t="n">
        <v>6.22</v>
      </c>
      <c r="J86" s="7" t="s">
        <v>408</v>
      </c>
      <c r="K86" s="7" t="s">
        <v>429</v>
      </c>
      <c r="L86" s="7" t="s">
        <v>430</v>
      </c>
    </row>
    <row r="87" customFormat="false" ht="23.85" hidden="false" customHeight="false" outlineLevel="0" collapsed="false">
      <c r="A87" s="5" t="n">
        <v>83</v>
      </c>
      <c r="B87" s="5" t="s">
        <v>257</v>
      </c>
      <c r="C87" s="5" t="s">
        <v>427</v>
      </c>
      <c r="D87" s="5" t="s">
        <v>227</v>
      </c>
      <c r="E87" s="5" t="s">
        <v>428</v>
      </c>
      <c r="F87" s="5" t="s">
        <v>279</v>
      </c>
      <c r="G87" s="5" t="n">
        <v>-34.55</v>
      </c>
      <c r="H87" s="5" t="n">
        <v>52.12</v>
      </c>
      <c r="I87" s="5" t="n">
        <v>6.22</v>
      </c>
      <c r="J87" s="5" t="s">
        <v>408</v>
      </c>
      <c r="K87" s="5" t="s">
        <v>429</v>
      </c>
      <c r="L87" s="5" t="s">
        <v>431</v>
      </c>
    </row>
    <row r="88" customFormat="false" ht="23.85" hidden="false" customHeight="false" outlineLevel="0" collapsed="false">
      <c r="A88" s="7" t="n">
        <v>84</v>
      </c>
      <c r="B88" s="7" t="s">
        <v>257</v>
      </c>
      <c r="C88" s="7" t="s">
        <v>427</v>
      </c>
      <c r="D88" s="7" t="s">
        <v>227</v>
      </c>
      <c r="E88" s="7" t="s">
        <v>407</v>
      </c>
      <c r="F88" s="7" t="s">
        <v>279</v>
      </c>
      <c r="G88" s="7" t="n">
        <v>-34.3</v>
      </c>
      <c r="H88" s="7" t="n">
        <v>47.7</v>
      </c>
      <c r="I88" s="7" t="n">
        <v>6.22</v>
      </c>
      <c r="J88" s="7" t="s">
        <v>408</v>
      </c>
      <c r="K88" s="7" t="s">
        <v>429</v>
      </c>
      <c r="L88" s="7" t="s">
        <v>422</v>
      </c>
    </row>
    <row r="89" customFormat="false" ht="23.85" hidden="false" customHeight="false" outlineLevel="0" collapsed="false">
      <c r="A89" s="5" t="n">
        <v>85</v>
      </c>
      <c r="B89" s="5" t="s">
        <v>257</v>
      </c>
      <c r="C89" s="5" t="s">
        <v>427</v>
      </c>
      <c r="D89" s="5" t="s">
        <v>227</v>
      </c>
      <c r="E89" s="5" t="s">
        <v>411</v>
      </c>
      <c r="F89" s="5" t="s">
        <v>292</v>
      </c>
      <c r="G89" s="5" t="n">
        <v>-34.3</v>
      </c>
      <c r="H89" s="5" t="n">
        <v>55.96</v>
      </c>
      <c r="I89" s="5" t="n">
        <v>6.22</v>
      </c>
      <c r="J89" s="5" t="s">
        <v>408</v>
      </c>
      <c r="K89" s="5" t="s">
        <v>429</v>
      </c>
      <c r="L89" s="5" t="s">
        <v>432</v>
      </c>
    </row>
    <row r="90" customFormat="false" ht="23.85" hidden="false" customHeight="false" outlineLevel="0" collapsed="false">
      <c r="A90" s="7" t="n">
        <v>86</v>
      </c>
      <c r="B90" s="7" t="s">
        <v>257</v>
      </c>
      <c r="C90" s="7" t="s">
        <v>427</v>
      </c>
      <c r="D90" s="7" t="s">
        <v>227</v>
      </c>
      <c r="E90" s="7" t="s">
        <v>411</v>
      </c>
      <c r="F90" s="7" t="s">
        <v>292</v>
      </c>
      <c r="G90" s="7" t="n">
        <v>-34.3</v>
      </c>
      <c r="H90" s="7" t="n">
        <v>47.49</v>
      </c>
      <c r="I90" s="7" t="n">
        <v>6.22</v>
      </c>
      <c r="J90" s="7" t="s">
        <v>408</v>
      </c>
      <c r="K90" s="7" t="s">
        <v>429</v>
      </c>
      <c r="L90" s="7" t="s">
        <v>433</v>
      </c>
    </row>
    <row r="91" customFormat="false" ht="23.85" hidden="false" customHeight="false" outlineLevel="0" collapsed="false">
      <c r="A91" s="5" t="n">
        <v>87</v>
      </c>
      <c r="B91" s="5" t="s">
        <v>257</v>
      </c>
      <c r="C91" s="5" t="s">
        <v>319</v>
      </c>
      <c r="D91" s="5" t="s">
        <v>227</v>
      </c>
      <c r="E91" s="5" t="s">
        <v>415</v>
      </c>
      <c r="F91" s="5" t="s">
        <v>279</v>
      </c>
      <c r="G91" s="5" t="n">
        <v>-34.5</v>
      </c>
      <c r="H91" s="5" t="n">
        <v>38.6</v>
      </c>
      <c r="I91" s="5" t="n">
        <v>6.22</v>
      </c>
      <c r="J91" s="5" t="s">
        <v>408</v>
      </c>
      <c r="K91" s="5" t="s">
        <v>320</v>
      </c>
      <c r="L91" s="5" t="s">
        <v>434</v>
      </c>
    </row>
    <row r="92" customFormat="false" ht="23.85" hidden="false" customHeight="false" outlineLevel="0" collapsed="false">
      <c r="A92" s="7" t="n">
        <v>88</v>
      </c>
      <c r="B92" s="7" t="s">
        <v>257</v>
      </c>
      <c r="C92" s="7" t="s">
        <v>319</v>
      </c>
      <c r="D92" s="7" t="s">
        <v>227</v>
      </c>
      <c r="E92" s="7" t="s">
        <v>435</v>
      </c>
      <c r="F92" s="7" t="s">
        <v>279</v>
      </c>
      <c r="G92" s="7" t="n">
        <v>-34.55</v>
      </c>
      <c r="H92" s="7" t="n">
        <v>42.8</v>
      </c>
      <c r="I92" s="7" t="n">
        <v>6.22</v>
      </c>
      <c r="J92" s="7" t="s">
        <v>408</v>
      </c>
      <c r="K92" s="7" t="s">
        <v>320</v>
      </c>
      <c r="L92" s="7" t="s">
        <v>436</v>
      </c>
    </row>
    <row r="93" customFormat="false" ht="23.85" hidden="false" customHeight="false" outlineLevel="0" collapsed="false">
      <c r="A93" s="5" t="n">
        <v>89</v>
      </c>
      <c r="B93" s="5" t="s">
        <v>257</v>
      </c>
      <c r="C93" s="5" t="s">
        <v>319</v>
      </c>
      <c r="D93" s="5" t="s">
        <v>227</v>
      </c>
      <c r="E93" s="5" t="s">
        <v>415</v>
      </c>
      <c r="F93" s="5" t="s">
        <v>279</v>
      </c>
      <c r="G93" s="5" t="n">
        <v>-34.55</v>
      </c>
      <c r="H93" s="5" t="n">
        <v>42.62</v>
      </c>
      <c r="I93" s="5" t="n">
        <v>6.22</v>
      </c>
      <c r="J93" s="5" t="s">
        <v>408</v>
      </c>
      <c r="K93" s="5" t="s">
        <v>320</v>
      </c>
      <c r="L93" s="5" t="s">
        <v>437</v>
      </c>
    </row>
    <row r="94" customFormat="false" ht="23.85" hidden="false" customHeight="false" outlineLevel="0" collapsed="false">
      <c r="A94" s="7" t="n">
        <v>90</v>
      </c>
      <c r="B94" s="7" t="s">
        <v>257</v>
      </c>
      <c r="C94" s="7" t="s">
        <v>319</v>
      </c>
      <c r="D94" s="7" t="s">
        <v>227</v>
      </c>
      <c r="E94" s="7" t="s">
        <v>417</v>
      </c>
      <c r="F94" s="7" t="s">
        <v>292</v>
      </c>
      <c r="G94" s="7" t="n">
        <v>-34.55</v>
      </c>
      <c r="H94" s="7" t="n">
        <v>42.62</v>
      </c>
      <c r="I94" s="7" t="n">
        <v>6.22</v>
      </c>
      <c r="J94" s="7" t="s">
        <v>408</v>
      </c>
      <c r="K94" s="7" t="s">
        <v>320</v>
      </c>
      <c r="L94" s="7" t="s">
        <v>438</v>
      </c>
    </row>
    <row r="95" customFormat="false" ht="23.85" hidden="false" customHeight="false" outlineLevel="0" collapsed="false">
      <c r="A95" s="5" t="n">
        <v>91</v>
      </c>
      <c r="B95" s="5" t="s">
        <v>257</v>
      </c>
      <c r="C95" s="5" t="s">
        <v>319</v>
      </c>
      <c r="D95" s="5" t="s">
        <v>227</v>
      </c>
      <c r="E95" s="5" t="s">
        <v>417</v>
      </c>
      <c r="F95" s="5" t="s">
        <v>292</v>
      </c>
      <c r="G95" s="5" t="n">
        <v>-34.5</v>
      </c>
      <c r="H95" s="5" t="n">
        <v>38.6</v>
      </c>
      <c r="I95" s="5" t="n">
        <v>6.22</v>
      </c>
      <c r="J95" s="5" t="s">
        <v>408</v>
      </c>
      <c r="K95" s="5" t="s">
        <v>320</v>
      </c>
      <c r="L95" s="5" t="s">
        <v>439</v>
      </c>
    </row>
    <row r="96" customFormat="false" ht="23.85" hidden="false" customHeight="false" outlineLevel="0" collapsed="false">
      <c r="A96" s="7" t="n">
        <v>92</v>
      </c>
      <c r="B96" s="7" t="s">
        <v>257</v>
      </c>
      <c r="C96" s="7" t="s">
        <v>327</v>
      </c>
      <c r="D96" s="7" t="s">
        <v>227</v>
      </c>
      <c r="E96" s="7" t="s">
        <v>415</v>
      </c>
      <c r="F96" s="7" t="s">
        <v>279</v>
      </c>
      <c r="G96" s="7" t="n">
        <v>-36.82</v>
      </c>
      <c r="H96" s="7" t="n">
        <v>39.98</v>
      </c>
      <c r="I96" s="7" t="n">
        <v>2.86</v>
      </c>
      <c r="J96" s="7" t="s">
        <v>408</v>
      </c>
      <c r="K96" s="7" t="s">
        <v>328</v>
      </c>
      <c r="L96" s="7" t="s">
        <v>440</v>
      </c>
    </row>
    <row r="97" customFormat="false" ht="23.85" hidden="false" customHeight="false" outlineLevel="0" collapsed="false">
      <c r="A97" s="5" t="n">
        <v>93</v>
      </c>
      <c r="B97" s="5" t="s">
        <v>257</v>
      </c>
      <c r="C97" s="5" t="s">
        <v>327</v>
      </c>
      <c r="D97" s="5" t="s">
        <v>227</v>
      </c>
      <c r="E97" s="5" t="s">
        <v>415</v>
      </c>
      <c r="F97" s="5" t="s">
        <v>279</v>
      </c>
      <c r="G97" s="5" t="n">
        <v>-36.82</v>
      </c>
      <c r="H97" s="5" t="n">
        <v>36.87</v>
      </c>
      <c r="I97" s="5" t="n">
        <v>2.86</v>
      </c>
      <c r="J97" s="5" t="s">
        <v>408</v>
      </c>
      <c r="K97" s="5" t="s">
        <v>328</v>
      </c>
      <c r="L97" s="5" t="s">
        <v>441</v>
      </c>
    </row>
    <row r="98" customFormat="false" ht="23.85" hidden="false" customHeight="false" outlineLevel="0" collapsed="false">
      <c r="A98" s="7" t="n">
        <v>94</v>
      </c>
      <c r="B98" s="7" t="s">
        <v>257</v>
      </c>
      <c r="C98" s="7" t="s">
        <v>327</v>
      </c>
      <c r="D98" s="7" t="s">
        <v>227</v>
      </c>
      <c r="E98" s="7" t="s">
        <v>417</v>
      </c>
      <c r="F98" s="7" t="s">
        <v>292</v>
      </c>
      <c r="G98" s="7" t="n">
        <v>-36.82</v>
      </c>
      <c r="H98" s="7" t="n">
        <v>36.87</v>
      </c>
      <c r="I98" s="7" t="n">
        <v>2.86</v>
      </c>
      <c r="J98" s="7" t="s">
        <v>408</v>
      </c>
      <c r="K98" s="7" t="s">
        <v>328</v>
      </c>
      <c r="L98" s="7" t="s">
        <v>442</v>
      </c>
    </row>
    <row r="99" customFormat="false" ht="23.85" hidden="false" customHeight="false" outlineLevel="0" collapsed="false">
      <c r="A99" s="5" t="n">
        <v>95</v>
      </c>
      <c r="B99" s="5" t="s">
        <v>257</v>
      </c>
      <c r="C99" s="5" t="s">
        <v>327</v>
      </c>
      <c r="D99" s="5" t="s">
        <v>227</v>
      </c>
      <c r="E99" s="5" t="s">
        <v>417</v>
      </c>
      <c r="F99" s="5" t="s">
        <v>292</v>
      </c>
      <c r="G99" s="5" t="n">
        <v>-36.86</v>
      </c>
      <c r="H99" s="5" t="n">
        <v>39.98</v>
      </c>
      <c r="I99" s="5" t="n">
        <v>2.86</v>
      </c>
      <c r="J99" s="5" t="s">
        <v>408</v>
      </c>
      <c r="K99" s="5" t="s">
        <v>328</v>
      </c>
      <c r="L99" s="5" t="s">
        <v>443</v>
      </c>
    </row>
    <row r="100" customFormat="false" ht="23.85" hidden="false" customHeight="false" outlineLevel="0" collapsed="false">
      <c r="A100" s="7" t="n">
        <v>96</v>
      </c>
      <c r="B100" s="7" t="s">
        <v>257</v>
      </c>
      <c r="C100" s="7" t="s">
        <v>329</v>
      </c>
      <c r="D100" s="7" t="s">
        <v>236</v>
      </c>
      <c r="E100" s="7" t="s">
        <v>415</v>
      </c>
      <c r="F100" s="7" t="s">
        <v>279</v>
      </c>
      <c r="G100" s="7" t="n">
        <v>-34.47</v>
      </c>
      <c r="H100" s="7" t="n">
        <v>37.91</v>
      </c>
      <c r="I100" s="7" t="n">
        <v>2.86</v>
      </c>
      <c r="J100" s="7" t="s">
        <v>408</v>
      </c>
      <c r="K100" s="7" t="s">
        <v>330</v>
      </c>
      <c r="L100" s="7" t="s">
        <v>444</v>
      </c>
    </row>
    <row r="101" customFormat="false" ht="23.85" hidden="false" customHeight="false" outlineLevel="0" collapsed="false">
      <c r="A101" s="5" t="n">
        <v>97</v>
      </c>
      <c r="B101" s="5" t="s">
        <v>257</v>
      </c>
      <c r="C101" s="5" t="s">
        <v>329</v>
      </c>
      <c r="D101" s="5" t="s">
        <v>236</v>
      </c>
      <c r="E101" s="5" t="s">
        <v>415</v>
      </c>
      <c r="F101" s="5" t="s">
        <v>279</v>
      </c>
      <c r="G101" s="5" t="n">
        <v>-31.91</v>
      </c>
      <c r="H101" s="5" t="n">
        <v>37.91</v>
      </c>
      <c r="I101" s="5" t="n">
        <v>2.86</v>
      </c>
      <c r="J101" s="5" t="s">
        <v>408</v>
      </c>
      <c r="K101" s="5" t="s">
        <v>330</v>
      </c>
      <c r="L101" s="5" t="s">
        <v>445</v>
      </c>
    </row>
    <row r="102" customFormat="false" ht="23.85" hidden="false" customHeight="false" outlineLevel="0" collapsed="false">
      <c r="A102" s="7" t="n">
        <v>98</v>
      </c>
      <c r="B102" s="7" t="s">
        <v>257</v>
      </c>
      <c r="C102" s="7" t="s">
        <v>329</v>
      </c>
      <c r="D102" s="7" t="s">
        <v>236</v>
      </c>
      <c r="E102" s="7" t="s">
        <v>417</v>
      </c>
      <c r="F102" s="7" t="s">
        <v>292</v>
      </c>
      <c r="G102" s="7" t="n">
        <v>-34.47</v>
      </c>
      <c r="H102" s="7" t="n">
        <v>37.91</v>
      </c>
      <c r="I102" s="7" t="n">
        <v>2.86</v>
      </c>
      <c r="J102" s="7" t="s">
        <v>408</v>
      </c>
      <c r="K102" s="7" t="s">
        <v>330</v>
      </c>
      <c r="L102" s="7" t="s">
        <v>446</v>
      </c>
    </row>
    <row r="103" customFormat="false" ht="23.85" hidden="false" customHeight="false" outlineLevel="0" collapsed="false">
      <c r="A103" s="5" t="n">
        <v>99</v>
      </c>
      <c r="B103" s="5" t="s">
        <v>257</v>
      </c>
      <c r="C103" s="5" t="s">
        <v>329</v>
      </c>
      <c r="D103" s="5" t="s">
        <v>236</v>
      </c>
      <c r="E103" s="5" t="s">
        <v>417</v>
      </c>
      <c r="F103" s="5" t="s">
        <v>292</v>
      </c>
      <c r="G103" s="5" t="n">
        <v>-31.91</v>
      </c>
      <c r="H103" s="5" t="n">
        <v>37.91</v>
      </c>
      <c r="I103" s="5" t="n">
        <v>2.86</v>
      </c>
      <c r="J103" s="5" t="s">
        <v>408</v>
      </c>
      <c r="K103" s="5" t="s">
        <v>330</v>
      </c>
      <c r="L103" s="5" t="s">
        <v>447</v>
      </c>
    </row>
    <row r="104" customFormat="false" ht="23.85" hidden="false" customHeight="false" outlineLevel="0" collapsed="false">
      <c r="A104" s="7" t="n">
        <v>100</v>
      </c>
      <c r="B104" s="7" t="s">
        <v>257</v>
      </c>
      <c r="C104" s="7" t="s">
        <v>332</v>
      </c>
      <c r="D104" s="7" t="s">
        <v>235</v>
      </c>
      <c r="E104" s="7" t="s">
        <v>415</v>
      </c>
      <c r="F104" s="7" t="s">
        <v>279</v>
      </c>
      <c r="G104" s="7" t="n">
        <v>-38.39</v>
      </c>
      <c r="H104" s="7" t="n">
        <v>38.03</v>
      </c>
      <c r="I104" s="7" t="n">
        <v>2.86</v>
      </c>
      <c r="J104" s="7" t="s">
        <v>408</v>
      </c>
      <c r="K104" s="7" t="s">
        <v>333</v>
      </c>
      <c r="L104" s="7" t="s">
        <v>448</v>
      </c>
    </row>
    <row r="105" customFormat="false" ht="23.85" hidden="false" customHeight="false" outlineLevel="0" collapsed="false">
      <c r="A105" s="5" t="n">
        <v>101</v>
      </c>
      <c r="B105" s="5" t="s">
        <v>257</v>
      </c>
      <c r="C105" s="5" t="s">
        <v>332</v>
      </c>
      <c r="D105" s="5" t="s">
        <v>235</v>
      </c>
      <c r="E105" s="5" t="s">
        <v>417</v>
      </c>
      <c r="F105" s="5" t="s">
        <v>292</v>
      </c>
      <c r="G105" s="5" t="n">
        <v>-38.39</v>
      </c>
      <c r="H105" s="5" t="n">
        <v>38.03</v>
      </c>
      <c r="I105" s="5" t="n">
        <v>2.86</v>
      </c>
      <c r="J105" s="5" t="s">
        <v>408</v>
      </c>
      <c r="K105" s="5" t="s">
        <v>333</v>
      </c>
      <c r="L105" s="5" t="s">
        <v>449</v>
      </c>
    </row>
    <row r="106" customFormat="false" ht="23.85" hidden="false" customHeight="false" outlineLevel="0" collapsed="false">
      <c r="A106" s="7" t="n">
        <v>102</v>
      </c>
      <c r="B106" s="7" t="s">
        <v>257</v>
      </c>
      <c r="C106" s="7" t="s">
        <v>450</v>
      </c>
      <c r="D106" s="7" t="s">
        <v>227</v>
      </c>
      <c r="E106" s="7" t="s">
        <v>415</v>
      </c>
      <c r="F106" s="7" t="s">
        <v>279</v>
      </c>
      <c r="G106" s="7" t="n">
        <v>-68.4</v>
      </c>
      <c r="H106" s="7" t="n">
        <v>38.24</v>
      </c>
      <c r="I106" s="7" t="n">
        <v>2.86</v>
      </c>
      <c r="J106" s="7" t="s">
        <v>408</v>
      </c>
      <c r="K106" s="7" t="s">
        <v>451</v>
      </c>
      <c r="L106" s="7" t="s">
        <v>452</v>
      </c>
    </row>
    <row r="107" customFormat="false" ht="23.85" hidden="false" customHeight="false" outlineLevel="0" collapsed="false">
      <c r="A107" s="5" t="n">
        <v>103</v>
      </c>
      <c r="B107" s="5" t="s">
        <v>257</v>
      </c>
      <c r="C107" s="5" t="s">
        <v>450</v>
      </c>
      <c r="D107" s="5" t="s">
        <v>227</v>
      </c>
      <c r="E107" s="5" t="s">
        <v>417</v>
      </c>
      <c r="F107" s="5" t="s">
        <v>292</v>
      </c>
      <c r="G107" s="5" t="n">
        <v>-68.4</v>
      </c>
      <c r="H107" s="5" t="n">
        <v>38.24</v>
      </c>
      <c r="I107" s="5" t="n">
        <v>2.86</v>
      </c>
      <c r="J107" s="5" t="s">
        <v>408</v>
      </c>
      <c r="K107" s="5" t="s">
        <v>451</v>
      </c>
      <c r="L107" s="5" t="s">
        <v>453</v>
      </c>
    </row>
    <row r="108" customFormat="false" ht="23.85" hidden="false" customHeight="false" outlineLevel="0" collapsed="false">
      <c r="A108" s="7" t="n">
        <v>104</v>
      </c>
      <c r="B108" s="7" t="s">
        <v>257</v>
      </c>
      <c r="C108" s="7" t="s">
        <v>368</v>
      </c>
      <c r="D108" s="7" t="s">
        <v>225</v>
      </c>
      <c r="E108" s="7" t="s">
        <v>415</v>
      </c>
      <c r="F108" s="7" t="s">
        <v>279</v>
      </c>
      <c r="G108" s="7" t="n">
        <v>-36.37</v>
      </c>
      <c r="H108" s="7" t="n">
        <v>38.17</v>
      </c>
      <c r="I108" s="7" t="n">
        <v>6.22</v>
      </c>
      <c r="J108" s="7" t="s">
        <v>408</v>
      </c>
      <c r="K108" s="7" t="s">
        <v>369</v>
      </c>
      <c r="L108" s="7" t="s">
        <v>454</v>
      </c>
    </row>
    <row r="109" customFormat="false" ht="23.85" hidden="false" customHeight="false" outlineLevel="0" collapsed="false">
      <c r="A109" s="5" t="n">
        <v>105</v>
      </c>
      <c r="B109" s="5" t="s">
        <v>257</v>
      </c>
      <c r="C109" s="5" t="s">
        <v>368</v>
      </c>
      <c r="D109" s="5" t="s">
        <v>225</v>
      </c>
      <c r="E109" s="5" t="s">
        <v>415</v>
      </c>
      <c r="F109" s="5" t="s">
        <v>279</v>
      </c>
      <c r="G109" s="5" t="n">
        <v>-38.39</v>
      </c>
      <c r="H109" s="5" t="n">
        <v>38.17</v>
      </c>
      <c r="I109" s="5" t="n">
        <v>6.22</v>
      </c>
      <c r="J109" s="5" t="s">
        <v>408</v>
      </c>
      <c r="K109" s="5" t="s">
        <v>369</v>
      </c>
      <c r="L109" s="5" t="s">
        <v>455</v>
      </c>
    </row>
    <row r="110" customFormat="false" ht="23.85" hidden="false" customHeight="false" outlineLevel="0" collapsed="false">
      <c r="A110" s="7" t="n">
        <v>106</v>
      </c>
      <c r="B110" s="7" t="s">
        <v>257</v>
      </c>
      <c r="C110" s="7" t="s">
        <v>368</v>
      </c>
      <c r="D110" s="7" t="s">
        <v>225</v>
      </c>
      <c r="E110" s="7" t="s">
        <v>415</v>
      </c>
      <c r="F110" s="7" t="s">
        <v>279</v>
      </c>
      <c r="G110" s="7" t="n">
        <v>-40.41</v>
      </c>
      <c r="H110" s="7" t="n">
        <v>38.17</v>
      </c>
      <c r="I110" s="7" t="n">
        <v>6.22</v>
      </c>
      <c r="J110" s="7" t="s">
        <v>408</v>
      </c>
      <c r="K110" s="7" t="s">
        <v>369</v>
      </c>
      <c r="L110" s="7" t="s">
        <v>423</v>
      </c>
    </row>
    <row r="111" customFormat="false" ht="23.85" hidden="false" customHeight="false" outlineLevel="0" collapsed="false">
      <c r="A111" s="5" t="n">
        <v>107</v>
      </c>
      <c r="B111" s="5" t="s">
        <v>257</v>
      </c>
      <c r="C111" s="5" t="s">
        <v>368</v>
      </c>
      <c r="D111" s="5" t="s">
        <v>225</v>
      </c>
      <c r="E111" s="5" t="s">
        <v>415</v>
      </c>
      <c r="F111" s="5" t="s">
        <v>279</v>
      </c>
      <c r="G111" s="5" t="n">
        <v>-41.08</v>
      </c>
      <c r="H111" s="5" t="n">
        <v>38.17</v>
      </c>
      <c r="I111" s="5" t="n">
        <v>6.22</v>
      </c>
      <c r="J111" s="5" t="s">
        <v>408</v>
      </c>
      <c r="K111" s="5" t="s">
        <v>369</v>
      </c>
      <c r="L111" s="5" t="s">
        <v>424</v>
      </c>
    </row>
    <row r="112" customFormat="false" ht="23.85" hidden="false" customHeight="false" outlineLevel="0" collapsed="false">
      <c r="A112" s="7" t="n">
        <v>108</v>
      </c>
      <c r="B112" s="7" t="s">
        <v>257</v>
      </c>
      <c r="C112" s="7" t="s">
        <v>368</v>
      </c>
      <c r="D112" s="7" t="s">
        <v>225</v>
      </c>
      <c r="E112" s="7" t="s">
        <v>417</v>
      </c>
      <c r="F112" s="7" t="s">
        <v>292</v>
      </c>
      <c r="G112" s="7" t="n">
        <v>-40.61</v>
      </c>
      <c r="H112" s="7" t="n">
        <v>38.17</v>
      </c>
      <c r="I112" s="7" t="n">
        <v>6.22</v>
      </c>
      <c r="J112" s="7" t="s">
        <v>408</v>
      </c>
      <c r="K112" s="7" t="s">
        <v>369</v>
      </c>
      <c r="L112" s="7" t="s">
        <v>425</v>
      </c>
    </row>
    <row r="113" customFormat="false" ht="23.85" hidden="false" customHeight="false" outlineLevel="0" collapsed="false">
      <c r="A113" s="5" t="n">
        <v>109</v>
      </c>
      <c r="B113" s="5" t="s">
        <v>257</v>
      </c>
      <c r="C113" s="5" t="s">
        <v>368</v>
      </c>
      <c r="D113" s="5" t="s">
        <v>225</v>
      </c>
      <c r="E113" s="5" t="s">
        <v>417</v>
      </c>
      <c r="F113" s="5" t="s">
        <v>292</v>
      </c>
      <c r="G113" s="5" t="n">
        <v>-40.41</v>
      </c>
      <c r="H113" s="5" t="n">
        <v>38.17</v>
      </c>
      <c r="I113" s="5" t="n">
        <v>6.22</v>
      </c>
      <c r="J113" s="5" t="s">
        <v>408</v>
      </c>
      <c r="K113" s="5" t="s">
        <v>369</v>
      </c>
      <c r="L113" s="5" t="s">
        <v>426</v>
      </c>
    </row>
    <row r="114" customFormat="false" ht="23.85" hidden="false" customHeight="false" outlineLevel="0" collapsed="false">
      <c r="A114" s="7" t="n">
        <v>110</v>
      </c>
      <c r="B114" s="7" t="s">
        <v>257</v>
      </c>
      <c r="C114" s="7" t="s">
        <v>368</v>
      </c>
      <c r="D114" s="7" t="s">
        <v>225</v>
      </c>
      <c r="E114" s="7" t="s">
        <v>417</v>
      </c>
      <c r="F114" s="7" t="s">
        <v>292</v>
      </c>
      <c r="G114" s="7" t="n">
        <v>-38.39</v>
      </c>
      <c r="H114" s="7" t="n">
        <v>38.17</v>
      </c>
      <c r="I114" s="7" t="n">
        <v>6.22</v>
      </c>
      <c r="J114" s="7" t="s">
        <v>408</v>
      </c>
      <c r="K114" s="7" t="s">
        <v>369</v>
      </c>
      <c r="L114" s="7" t="s">
        <v>456</v>
      </c>
    </row>
    <row r="115" customFormat="false" ht="23.85" hidden="false" customHeight="false" outlineLevel="0" collapsed="false">
      <c r="A115" s="5" t="n">
        <v>111</v>
      </c>
      <c r="B115" s="5" t="s">
        <v>257</v>
      </c>
      <c r="C115" s="5" t="s">
        <v>368</v>
      </c>
      <c r="D115" s="5" t="s">
        <v>225</v>
      </c>
      <c r="E115" s="5" t="s">
        <v>417</v>
      </c>
      <c r="F115" s="5" t="s">
        <v>292</v>
      </c>
      <c r="G115" s="5" t="n">
        <v>-36.37</v>
      </c>
      <c r="H115" s="5" t="n">
        <v>38.17</v>
      </c>
      <c r="I115" s="5" t="n">
        <v>6.22</v>
      </c>
      <c r="J115" s="5" t="s">
        <v>408</v>
      </c>
      <c r="K115" s="5" t="s">
        <v>369</v>
      </c>
      <c r="L115" s="5" t="s">
        <v>457</v>
      </c>
    </row>
    <row r="116" customFormat="false" ht="23.85" hidden="false" customHeight="false" outlineLevel="0" collapsed="false">
      <c r="A116" s="7" t="n">
        <v>112</v>
      </c>
      <c r="B116" s="7" t="s">
        <v>257</v>
      </c>
      <c r="C116" s="7" t="s">
        <v>336</v>
      </c>
      <c r="D116" s="7" t="s">
        <v>227</v>
      </c>
      <c r="E116" s="7" t="s">
        <v>415</v>
      </c>
      <c r="F116" s="7" t="s">
        <v>279</v>
      </c>
      <c r="G116" s="7" t="n">
        <v>-36.4</v>
      </c>
      <c r="H116" s="7" t="n">
        <v>38.6</v>
      </c>
      <c r="I116" s="7" t="n">
        <v>6.22</v>
      </c>
      <c r="J116" s="7" t="s">
        <v>408</v>
      </c>
      <c r="K116" s="7" t="s">
        <v>338</v>
      </c>
      <c r="L116" s="7" t="s">
        <v>454</v>
      </c>
    </row>
    <row r="117" customFormat="false" ht="23.85" hidden="false" customHeight="false" outlineLevel="0" collapsed="false">
      <c r="A117" s="5" t="n">
        <v>113</v>
      </c>
      <c r="B117" s="5" t="s">
        <v>257</v>
      </c>
      <c r="C117" s="5" t="s">
        <v>336</v>
      </c>
      <c r="D117" s="5" t="s">
        <v>227</v>
      </c>
      <c r="E117" s="5" t="s">
        <v>415</v>
      </c>
      <c r="F117" s="5" t="s">
        <v>279</v>
      </c>
      <c r="G117" s="5" t="n">
        <v>-36.46</v>
      </c>
      <c r="H117" s="5" t="n">
        <v>39.98</v>
      </c>
      <c r="I117" s="5" t="n">
        <v>6.22</v>
      </c>
      <c r="J117" s="5" t="s">
        <v>408</v>
      </c>
      <c r="K117" s="5" t="s">
        <v>338</v>
      </c>
      <c r="L117" s="5" t="s">
        <v>458</v>
      </c>
    </row>
    <row r="118" customFormat="false" ht="23.85" hidden="false" customHeight="false" outlineLevel="0" collapsed="false">
      <c r="A118" s="7" t="n">
        <v>114</v>
      </c>
      <c r="B118" s="7" t="s">
        <v>257</v>
      </c>
      <c r="C118" s="7" t="s">
        <v>336</v>
      </c>
      <c r="D118" s="7" t="s">
        <v>227</v>
      </c>
      <c r="E118" s="7" t="s">
        <v>435</v>
      </c>
      <c r="F118" s="7" t="s">
        <v>279</v>
      </c>
      <c r="G118" s="7" t="n">
        <v>-36.45</v>
      </c>
      <c r="H118" s="7" t="n">
        <v>42.8</v>
      </c>
      <c r="I118" s="7" t="n">
        <v>6.22</v>
      </c>
      <c r="J118" s="7" t="s">
        <v>408</v>
      </c>
      <c r="K118" s="7" t="s">
        <v>338</v>
      </c>
      <c r="L118" s="7" t="s">
        <v>436</v>
      </c>
    </row>
    <row r="119" customFormat="false" ht="23.85" hidden="false" customHeight="false" outlineLevel="0" collapsed="false">
      <c r="A119" s="5" t="n">
        <v>115</v>
      </c>
      <c r="B119" s="5" t="s">
        <v>257</v>
      </c>
      <c r="C119" s="5" t="s">
        <v>336</v>
      </c>
      <c r="D119" s="5" t="s">
        <v>227</v>
      </c>
      <c r="E119" s="5" t="s">
        <v>417</v>
      </c>
      <c r="F119" s="5" t="s">
        <v>292</v>
      </c>
      <c r="G119" s="5" t="n">
        <v>-36.4</v>
      </c>
      <c r="H119" s="5" t="n">
        <v>38.6</v>
      </c>
      <c r="I119" s="5" t="n">
        <v>6.22</v>
      </c>
      <c r="J119" s="5" t="s">
        <v>408</v>
      </c>
      <c r="K119" s="5" t="s">
        <v>338</v>
      </c>
      <c r="L119" s="5" t="s">
        <v>457</v>
      </c>
    </row>
    <row r="120" customFormat="false" ht="23.85" hidden="false" customHeight="false" outlineLevel="0" collapsed="false">
      <c r="A120" s="7" t="n">
        <v>116</v>
      </c>
      <c r="B120" s="7" t="s">
        <v>257</v>
      </c>
      <c r="C120" s="7" t="s">
        <v>336</v>
      </c>
      <c r="D120" s="7" t="s">
        <v>227</v>
      </c>
      <c r="E120" s="7" t="s">
        <v>417</v>
      </c>
      <c r="F120" s="7" t="s">
        <v>292</v>
      </c>
      <c r="G120" s="7" t="n">
        <v>-36.46</v>
      </c>
      <c r="H120" s="7" t="n">
        <v>39.98</v>
      </c>
      <c r="I120" s="7" t="n">
        <v>6.22</v>
      </c>
      <c r="J120" s="7" t="s">
        <v>408</v>
      </c>
      <c r="K120" s="7" t="s">
        <v>338</v>
      </c>
      <c r="L120" s="7" t="s">
        <v>459</v>
      </c>
    </row>
    <row r="121" customFormat="false" ht="23.85" hidden="false" customHeight="false" outlineLevel="0" collapsed="false">
      <c r="A121" s="5" t="n">
        <v>117</v>
      </c>
      <c r="B121" s="5" t="s">
        <v>257</v>
      </c>
      <c r="C121" s="5" t="s">
        <v>460</v>
      </c>
      <c r="D121" s="5" t="s">
        <v>227</v>
      </c>
      <c r="E121" s="5" t="s">
        <v>415</v>
      </c>
      <c r="F121" s="5" t="s">
        <v>279</v>
      </c>
      <c r="G121" s="5" t="n">
        <v>-34.47</v>
      </c>
      <c r="H121" s="5" t="n">
        <v>38.15</v>
      </c>
      <c r="I121" s="5" t="n">
        <v>6.22</v>
      </c>
      <c r="J121" s="5" t="s">
        <v>408</v>
      </c>
      <c r="K121" s="5" t="s">
        <v>461</v>
      </c>
      <c r="L121" s="5" t="s">
        <v>434</v>
      </c>
    </row>
    <row r="122" customFormat="false" ht="23.85" hidden="false" customHeight="false" outlineLevel="0" collapsed="false">
      <c r="A122" s="7" t="n">
        <v>118</v>
      </c>
      <c r="B122" s="7" t="s">
        <v>257</v>
      </c>
      <c r="C122" s="7" t="s">
        <v>460</v>
      </c>
      <c r="D122" s="7" t="s">
        <v>227</v>
      </c>
      <c r="E122" s="7" t="s">
        <v>415</v>
      </c>
      <c r="F122" s="7" t="s">
        <v>279</v>
      </c>
      <c r="G122" s="7" t="n">
        <v>-31.91</v>
      </c>
      <c r="H122" s="7" t="n">
        <v>38.15</v>
      </c>
      <c r="I122" s="7" t="n">
        <v>6.22</v>
      </c>
      <c r="J122" s="7" t="s">
        <v>408</v>
      </c>
      <c r="K122" s="7" t="s">
        <v>461</v>
      </c>
      <c r="L122" s="7" t="s">
        <v>462</v>
      </c>
    </row>
    <row r="123" customFormat="false" ht="23.85" hidden="false" customHeight="false" outlineLevel="0" collapsed="false">
      <c r="A123" s="5" t="n">
        <v>119</v>
      </c>
      <c r="B123" s="5" t="s">
        <v>257</v>
      </c>
      <c r="C123" s="5" t="s">
        <v>460</v>
      </c>
      <c r="D123" s="5" t="s">
        <v>227</v>
      </c>
      <c r="E123" s="5" t="s">
        <v>417</v>
      </c>
      <c r="F123" s="5" t="s">
        <v>292</v>
      </c>
      <c r="G123" s="5" t="n">
        <v>-31.91</v>
      </c>
      <c r="H123" s="5" t="n">
        <v>38.15</v>
      </c>
      <c r="I123" s="5" t="n">
        <v>6.22</v>
      </c>
      <c r="J123" s="5" t="s">
        <v>408</v>
      </c>
      <c r="K123" s="5" t="s">
        <v>461</v>
      </c>
      <c r="L123" s="5" t="s">
        <v>463</v>
      </c>
    </row>
    <row r="124" customFormat="false" ht="23.85" hidden="false" customHeight="false" outlineLevel="0" collapsed="false">
      <c r="A124" s="7" t="n">
        <v>120</v>
      </c>
      <c r="B124" s="7" t="s">
        <v>257</v>
      </c>
      <c r="C124" s="7" t="s">
        <v>460</v>
      </c>
      <c r="D124" s="7" t="s">
        <v>227</v>
      </c>
      <c r="E124" s="7" t="s">
        <v>417</v>
      </c>
      <c r="F124" s="7" t="s">
        <v>292</v>
      </c>
      <c r="G124" s="7" t="n">
        <v>-34.47</v>
      </c>
      <c r="H124" s="7" t="n">
        <v>38.15</v>
      </c>
      <c r="I124" s="7" t="n">
        <v>6.22</v>
      </c>
      <c r="J124" s="7" t="s">
        <v>408</v>
      </c>
      <c r="K124" s="7" t="s">
        <v>461</v>
      </c>
      <c r="L124" s="7" t="s">
        <v>439</v>
      </c>
    </row>
    <row r="125" customFormat="false" ht="35.05" hidden="false" customHeight="false" outlineLevel="0" collapsed="false">
      <c r="A125" s="5" t="n">
        <v>121</v>
      </c>
      <c r="B125" s="5" t="s">
        <v>259</v>
      </c>
      <c r="C125" s="5" t="s">
        <v>464</v>
      </c>
      <c r="D125" s="5" t="s">
        <v>227</v>
      </c>
      <c r="E125" s="5" t="s">
        <v>287</v>
      </c>
      <c r="F125" s="5" t="s">
        <v>279</v>
      </c>
      <c r="G125" s="5" t="n">
        <v>-56.27</v>
      </c>
      <c r="H125" s="5" t="n">
        <v>67.81</v>
      </c>
      <c r="I125" s="5" t="n">
        <v>2.86</v>
      </c>
      <c r="J125" s="5" t="s">
        <v>465</v>
      </c>
      <c r="K125" s="5" t="s">
        <v>466</v>
      </c>
      <c r="L125" s="5" t="s">
        <v>467</v>
      </c>
    </row>
    <row r="126" customFormat="false" ht="23.85" hidden="false" customHeight="false" outlineLevel="0" collapsed="false">
      <c r="A126" s="7" t="n">
        <v>122</v>
      </c>
      <c r="B126" s="7" t="s">
        <v>259</v>
      </c>
      <c r="C126" s="7" t="s">
        <v>468</v>
      </c>
      <c r="D126" s="7" t="s">
        <v>227</v>
      </c>
      <c r="E126" s="7" t="s">
        <v>469</v>
      </c>
      <c r="F126" s="7" t="s">
        <v>279</v>
      </c>
      <c r="G126" s="7" t="n">
        <v>-45.02</v>
      </c>
      <c r="H126" s="7" t="n">
        <v>68.13</v>
      </c>
      <c r="I126" s="7" t="n">
        <v>6.22</v>
      </c>
      <c r="J126" s="7" t="s">
        <v>465</v>
      </c>
      <c r="K126" s="7" t="s">
        <v>470</v>
      </c>
      <c r="L126" s="7" t="s">
        <v>471</v>
      </c>
    </row>
    <row r="127" customFormat="false" ht="35.05" hidden="false" customHeight="false" outlineLevel="0" collapsed="false">
      <c r="A127" s="5" t="n">
        <v>123</v>
      </c>
      <c r="B127" s="5" t="s">
        <v>259</v>
      </c>
      <c r="C127" s="5" t="s">
        <v>472</v>
      </c>
      <c r="D127" s="5" t="s">
        <v>227</v>
      </c>
      <c r="E127" s="5" t="s">
        <v>287</v>
      </c>
      <c r="F127" s="5" t="s">
        <v>279</v>
      </c>
      <c r="G127" s="5" t="n">
        <v>-56.27</v>
      </c>
      <c r="H127" s="5" t="n">
        <v>67.81</v>
      </c>
      <c r="I127" s="5" t="n">
        <v>6.22</v>
      </c>
      <c r="J127" s="5" t="s">
        <v>465</v>
      </c>
      <c r="K127" s="5" t="s">
        <v>473</v>
      </c>
      <c r="L127" s="5" t="s">
        <v>474</v>
      </c>
    </row>
    <row r="128" customFormat="false" ht="35.05" hidden="false" customHeight="false" outlineLevel="0" collapsed="false">
      <c r="A128" s="7" t="n">
        <v>124</v>
      </c>
      <c r="B128" s="7" t="s">
        <v>259</v>
      </c>
      <c r="C128" s="7" t="s">
        <v>475</v>
      </c>
      <c r="D128" s="7" t="s">
        <v>227</v>
      </c>
      <c r="E128" s="7" t="s">
        <v>287</v>
      </c>
      <c r="F128" s="7" t="s">
        <v>279</v>
      </c>
      <c r="G128" s="7" t="n">
        <v>-56.27</v>
      </c>
      <c r="H128" s="7" t="n">
        <v>68.51</v>
      </c>
      <c r="I128" s="7" t="n">
        <v>2.86</v>
      </c>
      <c r="J128" s="7" t="s">
        <v>465</v>
      </c>
      <c r="K128" s="7" t="s">
        <v>476</v>
      </c>
      <c r="L128" s="7" t="s">
        <v>467</v>
      </c>
    </row>
    <row r="129" customFormat="false" ht="23.85" hidden="false" customHeight="false" outlineLevel="0" collapsed="false">
      <c r="A129" s="5" t="n">
        <v>125</v>
      </c>
      <c r="B129" s="5" t="s">
        <v>259</v>
      </c>
      <c r="C129" s="5" t="s">
        <v>477</v>
      </c>
      <c r="D129" s="5" t="s">
        <v>227</v>
      </c>
      <c r="E129" s="5" t="s">
        <v>469</v>
      </c>
      <c r="F129" s="5" t="s">
        <v>279</v>
      </c>
      <c r="G129" s="5" t="n">
        <v>-45.34</v>
      </c>
      <c r="H129" s="5" t="n">
        <v>68.72</v>
      </c>
      <c r="I129" s="5" t="n">
        <v>6.22</v>
      </c>
      <c r="J129" s="5" t="s">
        <v>465</v>
      </c>
      <c r="K129" s="5" t="s">
        <v>478</v>
      </c>
      <c r="L129" s="5" t="s">
        <v>479</v>
      </c>
    </row>
    <row r="130" customFormat="false" ht="23.85" hidden="false" customHeight="false" outlineLevel="0" collapsed="false">
      <c r="A130" s="7" t="n">
        <v>126</v>
      </c>
      <c r="B130" s="7" t="s">
        <v>259</v>
      </c>
      <c r="C130" s="7" t="s">
        <v>477</v>
      </c>
      <c r="D130" s="7" t="s">
        <v>227</v>
      </c>
      <c r="E130" s="7" t="s">
        <v>469</v>
      </c>
      <c r="F130" s="7" t="s">
        <v>279</v>
      </c>
      <c r="G130" s="7" t="n">
        <v>-45</v>
      </c>
      <c r="H130" s="7" t="n">
        <v>68.77</v>
      </c>
      <c r="I130" s="7" t="n">
        <v>6.22</v>
      </c>
      <c r="J130" s="7" t="s">
        <v>465</v>
      </c>
      <c r="K130" s="7" t="s">
        <v>478</v>
      </c>
      <c r="L130" s="7" t="s">
        <v>480</v>
      </c>
    </row>
    <row r="131" customFormat="false" ht="23.85" hidden="false" customHeight="false" outlineLevel="0" collapsed="false">
      <c r="A131" s="5" t="n">
        <v>127</v>
      </c>
      <c r="B131" s="5" t="s">
        <v>259</v>
      </c>
      <c r="C131" s="5" t="s">
        <v>477</v>
      </c>
      <c r="D131" s="5" t="s">
        <v>227</v>
      </c>
      <c r="E131" s="5" t="s">
        <v>469</v>
      </c>
      <c r="F131" s="5" t="s">
        <v>279</v>
      </c>
      <c r="G131" s="5" t="n">
        <v>-44.7</v>
      </c>
      <c r="H131" s="5" t="n">
        <v>68.71</v>
      </c>
      <c r="I131" s="5" t="n">
        <v>6.22</v>
      </c>
      <c r="J131" s="5" t="s">
        <v>465</v>
      </c>
      <c r="K131" s="5" t="s">
        <v>478</v>
      </c>
      <c r="L131" s="5" t="s">
        <v>481</v>
      </c>
    </row>
    <row r="132" customFormat="false" ht="35.05" hidden="false" customHeight="false" outlineLevel="0" collapsed="false">
      <c r="A132" s="7" t="n">
        <v>128</v>
      </c>
      <c r="B132" s="7" t="s">
        <v>259</v>
      </c>
      <c r="C132" s="7" t="s">
        <v>482</v>
      </c>
      <c r="D132" s="7" t="s">
        <v>227</v>
      </c>
      <c r="E132" s="7" t="s">
        <v>287</v>
      </c>
      <c r="F132" s="7" t="s">
        <v>279</v>
      </c>
      <c r="G132" s="7" t="n">
        <v>-56.27</v>
      </c>
      <c r="H132" s="7" t="n">
        <v>68.51</v>
      </c>
      <c r="I132" s="7" t="n">
        <v>6.22</v>
      </c>
      <c r="J132" s="7" t="s">
        <v>465</v>
      </c>
      <c r="K132" s="7" t="s">
        <v>483</v>
      </c>
      <c r="L132" s="7" t="s">
        <v>474</v>
      </c>
    </row>
    <row r="133" customFormat="false" ht="23.85" hidden="false" customHeight="false" outlineLevel="0" collapsed="false">
      <c r="A133" s="5" t="n">
        <v>129</v>
      </c>
      <c r="B133" s="5" t="s">
        <v>259</v>
      </c>
      <c r="C133" s="5" t="s">
        <v>347</v>
      </c>
      <c r="D133" s="5" t="s">
        <v>227</v>
      </c>
      <c r="E133" s="5" t="s">
        <v>287</v>
      </c>
      <c r="F133" s="5" t="s">
        <v>279</v>
      </c>
      <c r="G133" s="5" t="n">
        <v>-51.45</v>
      </c>
      <c r="H133" s="5" t="n">
        <v>37.02</v>
      </c>
      <c r="I133" s="5" t="n">
        <v>6.22</v>
      </c>
      <c r="J133" s="5" t="s">
        <v>465</v>
      </c>
      <c r="K133" s="5" t="s">
        <v>350</v>
      </c>
      <c r="L133" s="5" t="s">
        <v>484</v>
      </c>
    </row>
    <row r="134" customFormat="false" ht="23.85" hidden="false" customHeight="false" outlineLevel="0" collapsed="false">
      <c r="A134" s="7" t="n">
        <v>130</v>
      </c>
      <c r="B134" s="7" t="s">
        <v>259</v>
      </c>
      <c r="C134" s="7" t="s">
        <v>347</v>
      </c>
      <c r="D134" s="7" t="s">
        <v>227</v>
      </c>
      <c r="E134" s="7" t="s">
        <v>485</v>
      </c>
      <c r="F134" s="7" t="s">
        <v>279</v>
      </c>
      <c r="G134" s="7" t="n">
        <v>-51.1</v>
      </c>
      <c r="H134" s="7" t="n">
        <v>37.21</v>
      </c>
      <c r="I134" s="7" t="n">
        <v>6.22</v>
      </c>
      <c r="J134" s="7" t="s">
        <v>465</v>
      </c>
      <c r="K134" s="7" t="s">
        <v>350</v>
      </c>
      <c r="L134" s="7" t="s">
        <v>486</v>
      </c>
    </row>
    <row r="135" customFormat="false" ht="23.85" hidden="false" customHeight="false" outlineLevel="0" collapsed="false">
      <c r="A135" s="5" t="n">
        <v>131</v>
      </c>
      <c r="B135" s="5" t="s">
        <v>259</v>
      </c>
      <c r="C135" s="5" t="s">
        <v>487</v>
      </c>
      <c r="D135" s="5" t="s">
        <v>227</v>
      </c>
      <c r="E135" s="5" t="s">
        <v>287</v>
      </c>
      <c r="F135" s="5" t="s">
        <v>279</v>
      </c>
      <c r="G135" s="5" t="n">
        <v>-57.44</v>
      </c>
      <c r="H135" s="5" t="n">
        <v>36.58</v>
      </c>
      <c r="I135" s="5" t="n">
        <v>6.22</v>
      </c>
      <c r="J135" s="5" t="s">
        <v>465</v>
      </c>
      <c r="K135" s="5" t="s">
        <v>488</v>
      </c>
      <c r="L135" s="5" t="s">
        <v>489</v>
      </c>
    </row>
    <row r="136" customFormat="false" ht="23.85" hidden="false" customHeight="false" outlineLevel="0" collapsed="false">
      <c r="A136" s="7" t="n">
        <v>132</v>
      </c>
      <c r="B136" s="7" t="s">
        <v>259</v>
      </c>
      <c r="C136" s="7" t="s">
        <v>352</v>
      </c>
      <c r="D136" s="7" t="s">
        <v>227</v>
      </c>
      <c r="E136" s="7" t="s">
        <v>287</v>
      </c>
      <c r="F136" s="7" t="s">
        <v>279</v>
      </c>
      <c r="G136" s="7" t="n">
        <v>-46.95</v>
      </c>
      <c r="H136" s="7" t="n">
        <v>37.62</v>
      </c>
      <c r="I136" s="7" t="n">
        <v>6.22</v>
      </c>
      <c r="J136" s="7" t="s">
        <v>465</v>
      </c>
      <c r="K136" s="7" t="s">
        <v>353</v>
      </c>
      <c r="L136" s="7" t="s">
        <v>490</v>
      </c>
    </row>
    <row r="137" customFormat="false" ht="23.85" hidden="false" customHeight="false" outlineLevel="0" collapsed="false">
      <c r="A137" s="5" t="n">
        <v>133</v>
      </c>
      <c r="B137" s="5" t="s">
        <v>259</v>
      </c>
      <c r="C137" s="5" t="s">
        <v>352</v>
      </c>
      <c r="D137" s="5" t="s">
        <v>227</v>
      </c>
      <c r="E137" s="5" t="s">
        <v>485</v>
      </c>
      <c r="F137" s="5" t="s">
        <v>279</v>
      </c>
      <c r="G137" s="5" t="n">
        <v>-50.75</v>
      </c>
      <c r="H137" s="5" t="n">
        <v>37.62</v>
      </c>
      <c r="I137" s="5" t="n">
        <v>6.22</v>
      </c>
      <c r="J137" s="5" t="s">
        <v>465</v>
      </c>
      <c r="K137" s="5" t="s">
        <v>353</v>
      </c>
      <c r="L137" s="5" t="s">
        <v>491</v>
      </c>
    </row>
    <row r="138" customFormat="false" ht="23.85" hidden="false" customHeight="false" outlineLevel="0" collapsed="false">
      <c r="A138" s="7" t="n">
        <v>134</v>
      </c>
      <c r="B138" s="7" t="s">
        <v>259</v>
      </c>
      <c r="C138" s="7" t="s">
        <v>352</v>
      </c>
      <c r="D138" s="7" t="s">
        <v>227</v>
      </c>
      <c r="E138" s="7" t="s">
        <v>485</v>
      </c>
      <c r="F138" s="7" t="s">
        <v>279</v>
      </c>
      <c r="G138" s="7" t="n">
        <v>-51.46</v>
      </c>
      <c r="H138" s="7" t="n">
        <v>37.62</v>
      </c>
      <c r="I138" s="7" t="n">
        <v>6.22</v>
      </c>
      <c r="J138" s="7" t="s">
        <v>465</v>
      </c>
      <c r="K138" s="7" t="s">
        <v>353</v>
      </c>
      <c r="L138" s="7" t="s">
        <v>492</v>
      </c>
    </row>
    <row r="139" customFormat="false" ht="23.85" hidden="false" customHeight="false" outlineLevel="0" collapsed="false">
      <c r="A139" s="5" t="n">
        <v>135</v>
      </c>
      <c r="B139" s="5" t="s">
        <v>259</v>
      </c>
      <c r="C139" s="5" t="s">
        <v>352</v>
      </c>
      <c r="D139" s="5" t="s">
        <v>227</v>
      </c>
      <c r="E139" s="5" t="s">
        <v>287</v>
      </c>
      <c r="F139" s="5" t="s">
        <v>279</v>
      </c>
      <c r="G139" s="5" t="n">
        <v>-49.29</v>
      </c>
      <c r="H139" s="5" t="n">
        <v>37.62</v>
      </c>
      <c r="I139" s="5" t="n">
        <v>6.22</v>
      </c>
      <c r="J139" s="5" t="s">
        <v>465</v>
      </c>
      <c r="K139" s="5" t="s">
        <v>353</v>
      </c>
      <c r="L139" s="5" t="s">
        <v>493</v>
      </c>
    </row>
    <row r="140" customFormat="false" ht="23.85" hidden="false" customHeight="false" outlineLevel="0" collapsed="false">
      <c r="A140" s="7" t="n">
        <v>136</v>
      </c>
      <c r="B140" s="7" t="s">
        <v>259</v>
      </c>
      <c r="C140" s="7" t="s">
        <v>352</v>
      </c>
      <c r="D140" s="7" t="s">
        <v>227</v>
      </c>
      <c r="E140" s="7" t="s">
        <v>287</v>
      </c>
      <c r="F140" s="7" t="s">
        <v>279</v>
      </c>
      <c r="G140" s="7" t="n">
        <v>-47.18</v>
      </c>
      <c r="H140" s="7" t="n">
        <v>37.55</v>
      </c>
      <c r="I140" s="7" t="n">
        <v>6.22</v>
      </c>
      <c r="J140" s="7" t="s">
        <v>465</v>
      </c>
      <c r="K140" s="7" t="s">
        <v>353</v>
      </c>
      <c r="L140" s="7" t="s">
        <v>494</v>
      </c>
    </row>
    <row r="141" customFormat="false" ht="23.85" hidden="false" customHeight="false" outlineLevel="0" collapsed="false">
      <c r="A141" s="5" t="n">
        <v>137</v>
      </c>
      <c r="B141" s="5" t="s">
        <v>259</v>
      </c>
      <c r="C141" s="5" t="s">
        <v>352</v>
      </c>
      <c r="D141" s="5" t="s">
        <v>227</v>
      </c>
      <c r="E141" s="5" t="s">
        <v>287</v>
      </c>
      <c r="F141" s="5" t="s">
        <v>279</v>
      </c>
      <c r="G141" s="5" t="n">
        <v>-47.35</v>
      </c>
      <c r="H141" s="5" t="n">
        <v>37.49</v>
      </c>
      <c r="I141" s="5" t="n">
        <v>6.22</v>
      </c>
      <c r="J141" s="5" t="s">
        <v>465</v>
      </c>
      <c r="K141" s="5" t="s">
        <v>353</v>
      </c>
      <c r="L141" s="5" t="s">
        <v>495</v>
      </c>
    </row>
    <row r="142" customFormat="false" ht="23.85" hidden="false" customHeight="false" outlineLevel="0" collapsed="false">
      <c r="A142" s="7" t="n">
        <v>138</v>
      </c>
      <c r="B142" s="7" t="s">
        <v>259</v>
      </c>
      <c r="C142" s="7" t="s">
        <v>496</v>
      </c>
      <c r="D142" s="7" t="s">
        <v>227</v>
      </c>
      <c r="E142" s="7" t="s">
        <v>485</v>
      </c>
      <c r="F142" s="7" t="s">
        <v>279</v>
      </c>
      <c r="G142" s="7" t="n">
        <v>-59.25</v>
      </c>
      <c r="H142" s="7" t="n">
        <v>37.25</v>
      </c>
      <c r="I142" s="7" t="n">
        <v>6.22</v>
      </c>
      <c r="J142" s="7" t="s">
        <v>465</v>
      </c>
      <c r="K142" s="7" t="s">
        <v>497</v>
      </c>
      <c r="L142" s="7" t="s">
        <v>498</v>
      </c>
    </row>
    <row r="143" customFormat="false" ht="23.85" hidden="false" customHeight="false" outlineLevel="0" collapsed="false">
      <c r="A143" s="5" t="n">
        <v>139</v>
      </c>
      <c r="B143" s="5" t="s">
        <v>259</v>
      </c>
      <c r="C143" s="5" t="s">
        <v>496</v>
      </c>
      <c r="D143" s="5" t="s">
        <v>227</v>
      </c>
      <c r="E143" s="5" t="s">
        <v>485</v>
      </c>
      <c r="F143" s="5" t="s">
        <v>279</v>
      </c>
      <c r="G143" s="5" t="n">
        <v>-59.62</v>
      </c>
      <c r="H143" s="5" t="n">
        <v>37.47</v>
      </c>
      <c r="I143" s="5" t="n">
        <v>6.22</v>
      </c>
      <c r="J143" s="5" t="s">
        <v>465</v>
      </c>
      <c r="K143" s="5" t="s">
        <v>497</v>
      </c>
      <c r="L143" s="5" t="s">
        <v>499</v>
      </c>
    </row>
    <row r="144" customFormat="false" ht="23.85" hidden="false" customHeight="false" outlineLevel="0" collapsed="false">
      <c r="A144" s="7" t="n">
        <v>140</v>
      </c>
      <c r="B144" s="7" t="s">
        <v>259</v>
      </c>
      <c r="C144" s="7" t="s">
        <v>496</v>
      </c>
      <c r="D144" s="7" t="s">
        <v>227</v>
      </c>
      <c r="E144" s="7" t="s">
        <v>500</v>
      </c>
      <c r="F144" s="7" t="s">
        <v>279</v>
      </c>
      <c r="G144" s="7" t="n">
        <v>-59.16</v>
      </c>
      <c r="H144" s="7" t="n">
        <v>37.49</v>
      </c>
      <c r="I144" s="7" t="n">
        <v>6.22</v>
      </c>
      <c r="J144" s="7" t="s">
        <v>465</v>
      </c>
      <c r="K144" s="7" t="s">
        <v>497</v>
      </c>
      <c r="L144" s="7" t="s">
        <v>501</v>
      </c>
    </row>
    <row r="145" customFormat="false" ht="23.85" hidden="false" customHeight="false" outlineLevel="0" collapsed="false">
      <c r="A145" s="5" t="n">
        <v>141</v>
      </c>
      <c r="B145" s="5" t="s">
        <v>259</v>
      </c>
      <c r="C145" s="5" t="s">
        <v>496</v>
      </c>
      <c r="D145" s="5" t="s">
        <v>227</v>
      </c>
      <c r="E145" s="5" t="s">
        <v>502</v>
      </c>
      <c r="F145" s="5" t="s">
        <v>279</v>
      </c>
      <c r="G145" s="5" t="n">
        <v>-57.58</v>
      </c>
      <c r="H145" s="5" t="n">
        <v>37.46</v>
      </c>
      <c r="I145" s="5" t="n">
        <v>6.22</v>
      </c>
      <c r="J145" s="5" t="s">
        <v>465</v>
      </c>
      <c r="K145" s="5" t="s">
        <v>497</v>
      </c>
      <c r="L145" s="5" t="s">
        <v>503</v>
      </c>
    </row>
    <row r="146" customFormat="false" ht="23.85" hidden="false" customHeight="false" outlineLevel="0" collapsed="false">
      <c r="A146" s="7" t="n">
        <v>142</v>
      </c>
      <c r="B146" s="7" t="s">
        <v>259</v>
      </c>
      <c r="C146" s="7" t="s">
        <v>496</v>
      </c>
      <c r="D146" s="7" t="s">
        <v>227</v>
      </c>
      <c r="E146" s="7" t="s">
        <v>287</v>
      </c>
      <c r="F146" s="7" t="s">
        <v>279</v>
      </c>
      <c r="G146" s="7" t="n">
        <v>-54.07</v>
      </c>
      <c r="H146" s="7" t="n">
        <v>37.51</v>
      </c>
      <c r="I146" s="7" t="n">
        <v>6.22</v>
      </c>
      <c r="J146" s="7" t="s">
        <v>465</v>
      </c>
      <c r="K146" s="7" t="s">
        <v>497</v>
      </c>
      <c r="L146" s="7" t="s">
        <v>504</v>
      </c>
    </row>
    <row r="147" customFormat="false" ht="23.85" hidden="false" customHeight="false" outlineLevel="0" collapsed="false">
      <c r="A147" s="5" t="n">
        <v>143</v>
      </c>
      <c r="B147" s="5" t="s">
        <v>259</v>
      </c>
      <c r="C147" s="5" t="s">
        <v>496</v>
      </c>
      <c r="D147" s="5" t="s">
        <v>227</v>
      </c>
      <c r="E147" s="5" t="s">
        <v>502</v>
      </c>
      <c r="F147" s="5" t="s">
        <v>279</v>
      </c>
      <c r="G147" s="5" t="n">
        <v>-58.96</v>
      </c>
      <c r="H147" s="5" t="n">
        <v>37.41</v>
      </c>
      <c r="I147" s="5" t="n">
        <v>6.22</v>
      </c>
      <c r="J147" s="5" t="s">
        <v>465</v>
      </c>
      <c r="K147" s="5" t="s">
        <v>497</v>
      </c>
      <c r="L147" s="5" t="s">
        <v>505</v>
      </c>
    </row>
    <row r="148" customFormat="false" ht="23.85" hidden="false" customHeight="false" outlineLevel="0" collapsed="false">
      <c r="A148" s="7" t="n">
        <v>144</v>
      </c>
      <c r="B148" s="7" t="s">
        <v>259</v>
      </c>
      <c r="C148" s="7" t="s">
        <v>496</v>
      </c>
      <c r="D148" s="7" t="s">
        <v>227</v>
      </c>
      <c r="E148" s="7" t="s">
        <v>502</v>
      </c>
      <c r="F148" s="7" t="s">
        <v>279</v>
      </c>
      <c r="G148" s="7" t="n">
        <v>-58.76</v>
      </c>
      <c r="H148" s="7" t="n">
        <v>37.54</v>
      </c>
      <c r="I148" s="7" t="n">
        <v>6.22</v>
      </c>
      <c r="J148" s="7" t="s">
        <v>465</v>
      </c>
      <c r="K148" s="7" t="s">
        <v>497</v>
      </c>
      <c r="L148" s="7" t="s">
        <v>506</v>
      </c>
    </row>
    <row r="149" customFormat="false" ht="23.85" hidden="false" customHeight="false" outlineLevel="0" collapsed="false">
      <c r="A149" s="5" t="n">
        <v>145</v>
      </c>
      <c r="B149" s="5" t="s">
        <v>259</v>
      </c>
      <c r="C149" s="5" t="s">
        <v>496</v>
      </c>
      <c r="D149" s="5" t="s">
        <v>227</v>
      </c>
      <c r="E149" s="5" t="s">
        <v>502</v>
      </c>
      <c r="F149" s="5" t="s">
        <v>279</v>
      </c>
      <c r="G149" s="5" t="n">
        <v>-58.59</v>
      </c>
      <c r="H149" s="5" t="n">
        <v>37.37</v>
      </c>
      <c r="I149" s="5" t="n">
        <v>6.22</v>
      </c>
      <c r="J149" s="5" t="s">
        <v>465</v>
      </c>
      <c r="K149" s="5" t="s">
        <v>497</v>
      </c>
      <c r="L149" s="5" t="s">
        <v>507</v>
      </c>
    </row>
    <row r="150" customFormat="false" ht="35.05" hidden="false" customHeight="false" outlineLevel="0" collapsed="false">
      <c r="A150" s="7" t="n">
        <v>146</v>
      </c>
      <c r="B150" s="7" t="s">
        <v>259</v>
      </c>
      <c r="C150" s="7" t="s">
        <v>354</v>
      </c>
      <c r="D150" s="7" t="s">
        <v>227</v>
      </c>
      <c r="E150" s="7" t="s">
        <v>287</v>
      </c>
      <c r="F150" s="7" t="s">
        <v>279</v>
      </c>
      <c r="G150" s="7" t="n">
        <v>-0.55</v>
      </c>
      <c r="H150" s="7" t="n">
        <v>37.05</v>
      </c>
      <c r="I150" s="7" t="n">
        <v>6.22</v>
      </c>
      <c r="J150" s="7" t="s">
        <v>465</v>
      </c>
      <c r="K150" s="7" t="s">
        <v>355</v>
      </c>
      <c r="L150" s="7" t="s">
        <v>508</v>
      </c>
    </row>
    <row r="151" customFormat="false" ht="35.05" hidden="false" customHeight="false" outlineLevel="0" collapsed="false">
      <c r="A151" s="5" t="n">
        <v>147</v>
      </c>
      <c r="B151" s="5" t="s">
        <v>259</v>
      </c>
      <c r="C151" s="5" t="s">
        <v>354</v>
      </c>
      <c r="D151" s="5" t="s">
        <v>227</v>
      </c>
      <c r="E151" s="5" t="s">
        <v>287</v>
      </c>
      <c r="F151" s="5" t="s">
        <v>279</v>
      </c>
      <c r="G151" s="5" t="n">
        <v>-19.26</v>
      </c>
      <c r="H151" s="5" t="n">
        <v>36.98</v>
      </c>
      <c r="I151" s="5" t="n">
        <v>6.22</v>
      </c>
      <c r="J151" s="5" t="s">
        <v>465</v>
      </c>
      <c r="K151" s="5" t="s">
        <v>355</v>
      </c>
      <c r="L151" s="5" t="s">
        <v>509</v>
      </c>
    </row>
    <row r="152" customFormat="false" ht="35.05" hidden="false" customHeight="false" outlineLevel="0" collapsed="false">
      <c r="A152" s="7" t="n">
        <v>148</v>
      </c>
      <c r="B152" s="7" t="s">
        <v>259</v>
      </c>
      <c r="C152" s="7" t="s">
        <v>357</v>
      </c>
      <c r="D152" s="7" t="s">
        <v>227</v>
      </c>
      <c r="E152" s="7" t="s">
        <v>287</v>
      </c>
      <c r="F152" s="7" t="s">
        <v>279</v>
      </c>
      <c r="G152" s="7" t="n">
        <v>-0.55</v>
      </c>
      <c r="H152" s="7" t="n">
        <v>37.58</v>
      </c>
      <c r="I152" s="7" t="n">
        <v>6.22</v>
      </c>
      <c r="J152" s="7" t="s">
        <v>465</v>
      </c>
      <c r="K152" s="7" t="s">
        <v>358</v>
      </c>
      <c r="L152" s="7" t="s">
        <v>508</v>
      </c>
    </row>
    <row r="153" customFormat="false" ht="35.05" hidden="false" customHeight="false" outlineLevel="0" collapsed="false">
      <c r="A153" s="5" t="n">
        <v>149</v>
      </c>
      <c r="B153" s="5" t="s">
        <v>259</v>
      </c>
      <c r="C153" s="5" t="s">
        <v>357</v>
      </c>
      <c r="D153" s="5" t="s">
        <v>227</v>
      </c>
      <c r="E153" s="5" t="s">
        <v>287</v>
      </c>
      <c r="F153" s="5" t="s">
        <v>279</v>
      </c>
      <c r="G153" s="5" t="n">
        <v>-2.66</v>
      </c>
      <c r="H153" s="5" t="n">
        <v>37.58</v>
      </c>
      <c r="I153" s="5" t="n">
        <v>6.22</v>
      </c>
      <c r="J153" s="5" t="s">
        <v>465</v>
      </c>
      <c r="K153" s="5" t="s">
        <v>358</v>
      </c>
      <c r="L153" s="5" t="s">
        <v>510</v>
      </c>
    </row>
    <row r="154" customFormat="false" ht="35.05" hidden="false" customHeight="false" outlineLevel="0" collapsed="false">
      <c r="A154" s="7" t="n">
        <v>150</v>
      </c>
      <c r="B154" s="7" t="s">
        <v>259</v>
      </c>
      <c r="C154" s="7" t="s">
        <v>357</v>
      </c>
      <c r="D154" s="7" t="s">
        <v>227</v>
      </c>
      <c r="E154" s="7" t="s">
        <v>485</v>
      </c>
      <c r="F154" s="7" t="s">
        <v>279</v>
      </c>
      <c r="G154" s="7" t="n">
        <v>-19.26</v>
      </c>
      <c r="H154" s="7" t="n">
        <v>37.58</v>
      </c>
      <c r="I154" s="7" t="n">
        <v>6.22</v>
      </c>
      <c r="J154" s="7" t="s">
        <v>465</v>
      </c>
      <c r="K154" s="7" t="s">
        <v>358</v>
      </c>
      <c r="L154" s="7" t="s">
        <v>511</v>
      </c>
    </row>
    <row r="155" customFormat="false" ht="23.85" hidden="false" customHeight="false" outlineLevel="0" collapsed="false">
      <c r="A155" s="5" t="n">
        <v>151</v>
      </c>
      <c r="B155" s="5" t="s">
        <v>259</v>
      </c>
      <c r="C155" s="5" t="s">
        <v>512</v>
      </c>
      <c r="D155" s="5" t="s">
        <v>226</v>
      </c>
      <c r="E155" s="5" t="s">
        <v>500</v>
      </c>
      <c r="F155" s="5" t="s">
        <v>279</v>
      </c>
      <c r="G155" s="5" t="n">
        <v>-20.18</v>
      </c>
      <c r="H155" s="5" t="n">
        <v>37.56</v>
      </c>
      <c r="I155" s="5" t="n">
        <v>6.22</v>
      </c>
      <c r="J155" s="5" t="s">
        <v>465</v>
      </c>
      <c r="K155" s="5" t="s">
        <v>513</v>
      </c>
      <c r="L155" s="5" t="s">
        <v>514</v>
      </c>
    </row>
    <row r="156" customFormat="false" ht="23.85" hidden="false" customHeight="false" outlineLevel="0" collapsed="false">
      <c r="A156" s="7" t="n">
        <v>152</v>
      </c>
      <c r="B156" s="7" t="s">
        <v>259</v>
      </c>
      <c r="C156" s="7" t="s">
        <v>512</v>
      </c>
      <c r="D156" s="7" t="s">
        <v>226</v>
      </c>
      <c r="E156" s="7" t="s">
        <v>515</v>
      </c>
      <c r="F156" s="7" t="s">
        <v>279</v>
      </c>
      <c r="G156" s="7" t="n">
        <v>-23.54</v>
      </c>
      <c r="H156" s="7" t="n">
        <v>37.6</v>
      </c>
      <c r="I156" s="7" t="n">
        <v>6.22</v>
      </c>
      <c r="J156" s="7" t="s">
        <v>465</v>
      </c>
      <c r="K156" s="7" t="s">
        <v>513</v>
      </c>
      <c r="L156" s="7" t="s">
        <v>516</v>
      </c>
    </row>
    <row r="157" customFormat="false" ht="23.85" hidden="false" customHeight="false" outlineLevel="0" collapsed="false">
      <c r="A157" s="5" t="n">
        <v>153</v>
      </c>
      <c r="B157" s="5" t="s">
        <v>259</v>
      </c>
      <c r="C157" s="5" t="s">
        <v>512</v>
      </c>
      <c r="D157" s="5" t="s">
        <v>226</v>
      </c>
      <c r="E157" s="5" t="s">
        <v>485</v>
      </c>
      <c r="F157" s="5" t="s">
        <v>279</v>
      </c>
      <c r="G157" s="5" t="n">
        <v>-21.06</v>
      </c>
      <c r="H157" s="5" t="n">
        <v>37.56</v>
      </c>
      <c r="I157" s="5" t="n">
        <v>6.22</v>
      </c>
      <c r="J157" s="5" t="s">
        <v>465</v>
      </c>
      <c r="K157" s="5" t="s">
        <v>513</v>
      </c>
      <c r="L157" s="5" t="s">
        <v>517</v>
      </c>
    </row>
    <row r="158" customFormat="false" ht="23.85" hidden="false" customHeight="false" outlineLevel="0" collapsed="false">
      <c r="A158" s="7" t="n">
        <v>154</v>
      </c>
      <c r="B158" s="7" t="s">
        <v>259</v>
      </c>
      <c r="C158" s="7" t="s">
        <v>512</v>
      </c>
      <c r="D158" s="7" t="s">
        <v>226</v>
      </c>
      <c r="E158" s="7" t="s">
        <v>515</v>
      </c>
      <c r="F158" s="7" t="s">
        <v>279</v>
      </c>
      <c r="G158" s="7" t="n">
        <v>-23.94</v>
      </c>
      <c r="H158" s="7" t="n">
        <v>37.49</v>
      </c>
      <c r="I158" s="7" t="n">
        <v>6.22</v>
      </c>
      <c r="J158" s="7" t="s">
        <v>465</v>
      </c>
      <c r="K158" s="7" t="s">
        <v>513</v>
      </c>
      <c r="L158" s="7" t="s">
        <v>518</v>
      </c>
    </row>
    <row r="159" customFormat="false" ht="23.85" hidden="false" customHeight="false" outlineLevel="0" collapsed="false">
      <c r="A159" s="5" t="n">
        <v>155</v>
      </c>
      <c r="B159" s="5" t="s">
        <v>259</v>
      </c>
      <c r="C159" s="5" t="s">
        <v>512</v>
      </c>
      <c r="D159" s="5" t="s">
        <v>226</v>
      </c>
      <c r="E159" s="5" t="s">
        <v>515</v>
      </c>
      <c r="F159" s="5" t="s">
        <v>279</v>
      </c>
      <c r="G159" s="5" t="n">
        <v>-23.74</v>
      </c>
      <c r="H159" s="5" t="n">
        <v>37.51</v>
      </c>
      <c r="I159" s="5" t="n">
        <v>6.22</v>
      </c>
      <c r="J159" s="5" t="s">
        <v>465</v>
      </c>
      <c r="K159" s="5" t="s">
        <v>513</v>
      </c>
      <c r="L159" s="5" t="s">
        <v>519</v>
      </c>
    </row>
    <row r="160" customFormat="false" ht="23.85" hidden="false" customHeight="false" outlineLevel="0" collapsed="false">
      <c r="A160" s="7" t="n">
        <v>156</v>
      </c>
      <c r="B160" s="7" t="s">
        <v>259</v>
      </c>
      <c r="C160" s="7" t="s">
        <v>512</v>
      </c>
      <c r="D160" s="7" t="s">
        <v>226</v>
      </c>
      <c r="E160" s="7" t="s">
        <v>287</v>
      </c>
      <c r="F160" s="7" t="s">
        <v>279</v>
      </c>
      <c r="G160" s="7" t="n">
        <v>-23.56</v>
      </c>
      <c r="H160" s="7" t="n">
        <v>37.49</v>
      </c>
      <c r="I160" s="7" t="n">
        <v>6.22</v>
      </c>
      <c r="J160" s="7" t="s">
        <v>465</v>
      </c>
      <c r="K160" s="7" t="s">
        <v>513</v>
      </c>
      <c r="L160" s="7" t="s">
        <v>520</v>
      </c>
    </row>
    <row r="161" customFormat="false" ht="23.85" hidden="false" customHeight="false" outlineLevel="0" collapsed="false">
      <c r="A161" s="5" t="n">
        <v>157</v>
      </c>
      <c r="B161" s="5" t="s">
        <v>259</v>
      </c>
      <c r="C161" s="5" t="s">
        <v>290</v>
      </c>
      <c r="D161" s="5" t="s">
        <v>227</v>
      </c>
      <c r="E161" s="5" t="s">
        <v>287</v>
      </c>
      <c r="F161" s="5" t="s">
        <v>279</v>
      </c>
      <c r="G161" s="5" t="n">
        <v>-31.65</v>
      </c>
      <c r="H161" s="5" t="n">
        <v>22.82</v>
      </c>
      <c r="I161" s="5" t="n">
        <v>2.81</v>
      </c>
      <c r="J161" s="5" t="s">
        <v>465</v>
      </c>
      <c r="K161" s="5" t="s">
        <v>294</v>
      </c>
      <c r="L161" s="5" t="s">
        <v>521</v>
      </c>
    </row>
    <row r="162" customFormat="false" ht="23.85" hidden="false" customHeight="false" outlineLevel="0" collapsed="false">
      <c r="A162" s="7" t="n">
        <v>158</v>
      </c>
      <c r="B162" s="7" t="s">
        <v>259</v>
      </c>
      <c r="C162" s="7" t="s">
        <v>290</v>
      </c>
      <c r="D162" s="7" t="s">
        <v>227</v>
      </c>
      <c r="E162" s="7" t="s">
        <v>287</v>
      </c>
      <c r="F162" s="7" t="s">
        <v>279</v>
      </c>
      <c r="G162" s="7" t="n">
        <v>-31.65</v>
      </c>
      <c r="H162" s="7" t="n">
        <v>27.6</v>
      </c>
      <c r="I162" s="7" t="n">
        <v>2.86</v>
      </c>
      <c r="J162" s="7" t="s">
        <v>465</v>
      </c>
      <c r="K162" s="7" t="s">
        <v>294</v>
      </c>
      <c r="L162" s="7" t="s">
        <v>522</v>
      </c>
    </row>
    <row r="163" customFormat="false" ht="23.85" hidden="false" customHeight="false" outlineLevel="0" collapsed="false">
      <c r="A163" s="5" t="n">
        <v>159</v>
      </c>
      <c r="B163" s="5" t="s">
        <v>259</v>
      </c>
      <c r="C163" s="5" t="s">
        <v>290</v>
      </c>
      <c r="D163" s="5" t="s">
        <v>227</v>
      </c>
      <c r="E163" s="5" t="s">
        <v>485</v>
      </c>
      <c r="F163" s="5" t="s">
        <v>279</v>
      </c>
      <c r="G163" s="5" t="n">
        <v>-31.65</v>
      </c>
      <c r="H163" s="5" t="n">
        <v>34.89</v>
      </c>
      <c r="I163" s="5" t="n">
        <v>2.86</v>
      </c>
      <c r="J163" s="5" t="s">
        <v>465</v>
      </c>
      <c r="K163" s="5" t="s">
        <v>294</v>
      </c>
      <c r="L163" s="5" t="s">
        <v>523</v>
      </c>
    </row>
    <row r="164" customFormat="false" ht="23.85" hidden="false" customHeight="false" outlineLevel="0" collapsed="false">
      <c r="A164" s="7" t="n">
        <v>160</v>
      </c>
      <c r="B164" s="7" t="s">
        <v>259</v>
      </c>
      <c r="C164" s="7" t="s">
        <v>290</v>
      </c>
      <c r="D164" s="7" t="s">
        <v>227</v>
      </c>
      <c r="E164" s="7" t="s">
        <v>485</v>
      </c>
      <c r="F164" s="7" t="s">
        <v>279</v>
      </c>
      <c r="G164" s="7" t="n">
        <v>-31.65</v>
      </c>
      <c r="H164" s="7" t="n">
        <v>34.29</v>
      </c>
      <c r="I164" s="7" t="n">
        <v>2.86</v>
      </c>
      <c r="J164" s="7" t="s">
        <v>465</v>
      </c>
      <c r="K164" s="7" t="s">
        <v>294</v>
      </c>
      <c r="L164" s="7" t="s">
        <v>524</v>
      </c>
    </row>
    <row r="165" customFormat="false" ht="23.85" hidden="false" customHeight="false" outlineLevel="0" collapsed="false">
      <c r="A165" s="5" t="n">
        <v>161</v>
      </c>
      <c r="B165" s="5" t="s">
        <v>259</v>
      </c>
      <c r="C165" s="5" t="s">
        <v>290</v>
      </c>
      <c r="D165" s="5" t="s">
        <v>227</v>
      </c>
      <c r="E165" s="5" t="s">
        <v>287</v>
      </c>
      <c r="F165" s="5" t="s">
        <v>279</v>
      </c>
      <c r="G165" s="5" t="n">
        <v>-31.65</v>
      </c>
      <c r="H165" s="5" t="n">
        <v>30.84</v>
      </c>
      <c r="I165" s="5" t="n">
        <v>2.86</v>
      </c>
      <c r="J165" s="5" t="s">
        <v>465</v>
      </c>
      <c r="K165" s="5" t="s">
        <v>294</v>
      </c>
      <c r="L165" s="5" t="s">
        <v>525</v>
      </c>
    </row>
    <row r="166" customFormat="false" ht="23.85" hidden="false" customHeight="false" outlineLevel="0" collapsed="false">
      <c r="A166" s="7" t="n">
        <v>162</v>
      </c>
      <c r="B166" s="7" t="s">
        <v>259</v>
      </c>
      <c r="C166" s="7" t="s">
        <v>290</v>
      </c>
      <c r="D166" s="7" t="s">
        <v>227</v>
      </c>
      <c r="E166" s="7" t="s">
        <v>287</v>
      </c>
      <c r="F166" s="7" t="s">
        <v>279</v>
      </c>
      <c r="G166" s="7" t="n">
        <v>-31.71</v>
      </c>
      <c r="H166" s="7" t="n">
        <v>30.71</v>
      </c>
      <c r="I166" s="7" t="n">
        <v>2.86</v>
      </c>
      <c r="J166" s="7" t="s">
        <v>465</v>
      </c>
      <c r="K166" s="7" t="s">
        <v>294</v>
      </c>
      <c r="L166" s="7" t="s">
        <v>526</v>
      </c>
    </row>
    <row r="167" customFormat="false" ht="23.85" hidden="false" customHeight="false" outlineLevel="0" collapsed="false">
      <c r="A167" s="5" t="n">
        <v>163</v>
      </c>
      <c r="B167" s="5" t="s">
        <v>259</v>
      </c>
      <c r="C167" s="5" t="s">
        <v>298</v>
      </c>
      <c r="D167" s="5" t="s">
        <v>227</v>
      </c>
      <c r="E167" s="5" t="s">
        <v>287</v>
      </c>
      <c r="F167" s="5" t="s">
        <v>279</v>
      </c>
      <c r="G167" s="5" t="n">
        <v>-34.96</v>
      </c>
      <c r="H167" s="5" t="n">
        <v>39.1</v>
      </c>
      <c r="I167" s="5" t="n">
        <v>2.86</v>
      </c>
      <c r="J167" s="5" t="s">
        <v>465</v>
      </c>
      <c r="K167" s="5" t="s">
        <v>299</v>
      </c>
      <c r="L167" s="5" t="s">
        <v>527</v>
      </c>
    </row>
    <row r="168" customFormat="false" ht="23.85" hidden="false" customHeight="false" outlineLevel="0" collapsed="false">
      <c r="A168" s="7" t="n">
        <v>164</v>
      </c>
      <c r="B168" s="7" t="s">
        <v>259</v>
      </c>
      <c r="C168" s="7" t="s">
        <v>298</v>
      </c>
      <c r="D168" s="7" t="s">
        <v>227</v>
      </c>
      <c r="E168" s="7" t="s">
        <v>485</v>
      </c>
      <c r="F168" s="7" t="s">
        <v>279</v>
      </c>
      <c r="G168" s="7" t="n">
        <v>-34.46</v>
      </c>
      <c r="H168" s="7" t="n">
        <v>43.61</v>
      </c>
      <c r="I168" s="7" t="n">
        <v>2.86</v>
      </c>
      <c r="J168" s="7" t="s">
        <v>465</v>
      </c>
      <c r="K168" s="7" t="s">
        <v>299</v>
      </c>
      <c r="L168" s="7" t="s">
        <v>528</v>
      </c>
    </row>
    <row r="169" customFormat="false" ht="23.85" hidden="false" customHeight="false" outlineLevel="0" collapsed="false">
      <c r="A169" s="5" t="n">
        <v>165</v>
      </c>
      <c r="B169" s="5" t="s">
        <v>259</v>
      </c>
      <c r="C169" s="5" t="s">
        <v>298</v>
      </c>
      <c r="D169" s="5" t="s">
        <v>227</v>
      </c>
      <c r="E169" s="5" t="s">
        <v>500</v>
      </c>
      <c r="F169" s="5" t="s">
        <v>279</v>
      </c>
      <c r="G169" s="5" t="n">
        <v>-34.53</v>
      </c>
      <c r="H169" s="5" t="n">
        <v>42.73</v>
      </c>
      <c r="I169" s="5" t="n">
        <v>2.86</v>
      </c>
      <c r="J169" s="5" t="s">
        <v>465</v>
      </c>
      <c r="K169" s="5" t="s">
        <v>299</v>
      </c>
      <c r="L169" s="5" t="s">
        <v>529</v>
      </c>
    </row>
    <row r="170" customFormat="false" ht="23.85" hidden="false" customHeight="false" outlineLevel="0" collapsed="false">
      <c r="A170" s="7" t="n">
        <v>166</v>
      </c>
      <c r="B170" s="7" t="s">
        <v>259</v>
      </c>
      <c r="C170" s="7" t="s">
        <v>298</v>
      </c>
      <c r="D170" s="7" t="s">
        <v>227</v>
      </c>
      <c r="E170" s="7" t="s">
        <v>287</v>
      </c>
      <c r="F170" s="7" t="s">
        <v>279</v>
      </c>
      <c r="G170" s="7" t="n">
        <v>-34.14</v>
      </c>
      <c r="H170" s="7" t="n">
        <v>45.28</v>
      </c>
      <c r="I170" s="7" t="n">
        <v>2.78</v>
      </c>
      <c r="J170" s="7" t="s">
        <v>465</v>
      </c>
      <c r="K170" s="7" t="s">
        <v>299</v>
      </c>
      <c r="L170" s="7" t="s">
        <v>530</v>
      </c>
    </row>
    <row r="171" customFormat="false" ht="23.85" hidden="false" customHeight="false" outlineLevel="0" collapsed="false">
      <c r="A171" s="5" t="n">
        <v>167</v>
      </c>
      <c r="B171" s="5" t="s">
        <v>259</v>
      </c>
      <c r="C171" s="5" t="s">
        <v>303</v>
      </c>
      <c r="D171" s="5" t="s">
        <v>227</v>
      </c>
      <c r="E171" s="5" t="s">
        <v>287</v>
      </c>
      <c r="F171" s="5" t="s">
        <v>279</v>
      </c>
      <c r="G171" s="5" t="n">
        <v>-33.8</v>
      </c>
      <c r="H171" s="5" t="n">
        <v>56.54</v>
      </c>
      <c r="I171" s="5" t="n">
        <v>2.86</v>
      </c>
      <c r="J171" s="5" t="s">
        <v>465</v>
      </c>
      <c r="K171" s="5" t="s">
        <v>305</v>
      </c>
      <c r="L171" s="5" t="s">
        <v>531</v>
      </c>
    </row>
    <row r="172" customFormat="false" ht="23.85" hidden="false" customHeight="false" outlineLevel="0" collapsed="false">
      <c r="A172" s="7" t="n">
        <v>168</v>
      </c>
      <c r="B172" s="7" t="s">
        <v>259</v>
      </c>
      <c r="C172" s="7" t="s">
        <v>303</v>
      </c>
      <c r="D172" s="7" t="s">
        <v>227</v>
      </c>
      <c r="E172" s="7" t="s">
        <v>287</v>
      </c>
      <c r="F172" s="7" t="s">
        <v>279</v>
      </c>
      <c r="G172" s="7" t="n">
        <v>-33.8</v>
      </c>
      <c r="H172" s="7" t="n">
        <v>47.55</v>
      </c>
      <c r="I172" s="7" t="n">
        <v>2.76</v>
      </c>
      <c r="J172" s="7" t="s">
        <v>465</v>
      </c>
      <c r="K172" s="7" t="s">
        <v>305</v>
      </c>
      <c r="L172" s="7" t="s">
        <v>532</v>
      </c>
    </row>
    <row r="173" customFormat="false" ht="23.85" hidden="false" customHeight="false" outlineLevel="0" collapsed="false">
      <c r="A173" s="5" t="n">
        <v>169</v>
      </c>
      <c r="B173" s="5" t="s">
        <v>259</v>
      </c>
      <c r="C173" s="5" t="s">
        <v>303</v>
      </c>
      <c r="D173" s="5" t="s">
        <v>227</v>
      </c>
      <c r="E173" s="5" t="s">
        <v>287</v>
      </c>
      <c r="F173" s="5" t="s">
        <v>279</v>
      </c>
      <c r="G173" s="5" t="n">
        <v>-33.8</v>
      </c>
      <c r="H173" s="5" t="n">
        <v>50.53</v>
      </c>
      <c r="I173" s="5" t="n">
        <v>2.81</v>
      </c>
      <c r="J173" s="5" t="s">
        <v>465</v>
      </c>
      <c r="K173" s="5" t="s">
        <v>305</v>
      </c>
      <c r="L173" s="5" t="s">
        <v>533</v>
      </c>
    </row>
    <row r="174" customFormat="false" ht="23.85" hidden="false" customHeight="false" outlineLevel="0" collapsed="false">
      <c r="A174" s="7" t="n">
        <v>170</v>
      </c>
      <c r="B174" s="7" t="s">
        <v>259</v>
      </c>
      <c r="C174" s="7" t="s">
        <v>303</v>
      </c>
      <c r="D174" s="7" t="s">
        <v>227</v>
      </c>
      <c r="E174" s="7" t="s">
        <v>287</v>
      </c>
      <c r="F174" s="7" t="s">
        <v>279</v>
      </c>
      <c r="G174" s="7" t="n">
        <v>-33.8</v>
      </c>
      <c r="H174" s="7" t="n">
        <v>52.9</v>
      </c>
      <c r="I174" s="7" t="n">
        <v>2.81</v>
      </c>
      <c r="J174" s="7" t="s">
        <v>465</v>
      </c>
      <c r="K174" s="7" t="s">
        <v>305</v>
      </c>
      <c r="L174" s="7" t="s">
        <v>534</v>
      </c>
    </row>
    <row r="175" customFormat="false" ht="23.85" hidden="false" customHeight="false" outlineLevel="0" collapsed="false">
      <c r="A175" s="5" t="n">
        <v>171</v>
      </c>
      <c r="B175" s="5" t="s">
        <v>259</v>
      </c>
      <c r="C175" s="5" t="s">
        <v>303</v>
      </c>
      <c r="D175" s="5" t="s">
        <v>227</v>
      </c>
      <c r="E175" s="5" t="s">
        <v>287</v>
      </c>
      <c r="F175" s="5" t="s">
        <v>279</v>
      </c>
      <c r="G175" s="5" t="n">
        <v>-34.12</v>
      </c>
      <c r="H175" s="5" t="n">
        <v>47.36</v>
      </c>
      <c r="I175" s="5" t="n">
        <v>2.78</v>
      </c>
      <c r="J175" s="5" t="s">
        <v>465</v>
      </c>
      <c r="K175" s="5" t="s">
        <v>305</v>
      </c>
      <c r="L175" s="5" t="s">
        <v>530</v>
      </c>
    </row>
    <row r="176" customFormat="false" ht="23.85" hidden="false" customHeight="false" outlineLevel="0" collapsed="false">
      <c r="A176" s="7" t="n">
        <v>172</v>
      </c>
      <c r="B176" s="7" t="s">
        <v>259</v>
      </c>
      <c r="C176" s="7" t="s">
        <v>309</v>
      </c>
      <c r="D176" s="7" t="s">
        <v>236</v>
      </c>
      <c r="E176" s="7" t="s">
        <v>287</v>
      </c>
      <c r="F176" s="7" t="s">
        <v>279</v>
      </c>
      <c r="G176" s="7" t="n">
        <v>-36.34</v>
      </c>
      <c r="H176" s="7" t="n">
        <v>36.01</v>
      </c>
      <c r="I176" s="7" t="n">
        <v>2.86</v>
      </c>
      <c r="J176" s="7" t="s">
        <v>465</v>
      </c>
      <c r="K176" s="7" t="s">
        <v>311</v>
      </c>
      <c r="L176" s="7" t="s">
        <v>535</v>
      </c>
    </row>
    <row r="177" customFormat="false" ht="23.85" hidden="false" customHeight="false" outlineLevel="0" collapsed="false">
      <c r="A177" s="5" t="n">
        <v>173</v>
      </c>
      <c r="B177" s="5" t="s">
        <v>259</v>
      </c>
      <c r="C177" s="5" t="s">
        <v>309</v>
      </c>
      <c r="D177" s="5" t="s">
        <v>236</v>
      </c>
      <c r="E177" s="5" t="s">
        <v>287</v>
      </c>
      <c r="F177" s="5" t="s">
        <v>279</v>
      </c>
      <c r="G177" s="5" t="n">
        <v>-28.27</v>
      </c>
      <c r="H177" s="5" t="n">
        <v>36.01</v>
      </c>
      <c r="I177" s="5" t="n">
        <v>2.86</v>
      </c>
      <c r="J177" s="5" t="s">
        <v>465</v>
      </c>
      <c r="K177" s="5" t="s">
        <v>311</v>
      </c>
      <c r="L177" s="5" t="s">
        <v>536</v>
      </c>
    </row>
    <row r="178" customFormat="false" ht="23.85" hidden="false" customHeight="false" outlineLevel="0" collapsed="false">
      <c r="A178" s="7" t="n">
        <v>174</v>
      </c>
      <c r="B178" s="7" t="s">
        <v>259</v>
      </c>
      <c r="C178" s="7" t="s">
        <v>314</v>
      </c>
      <c r="D178" s="7" t="s">
        <v>235</v>
      </c>
      <c r="E178" s="7" t="s">
        <v>287</v>
      </c>
      <c r="F178" s="7" t="s">
        <v>279</v>
      </c>
      <c r="G178" s="7" t="n">
        <v>-38.84</v>
      </c>
      <c r="H178" s="7" t="n">
        <v>36.13</v>
      </c>
      <c r="I178" s="7" t="n">
        <v>2.86</v>
      </c>
      <c r="J178" s="7" t="s">
        <v>465</v>
      </c>
      <c r="K178" s="7" t="s">
        <v>316</v>
      </c>
      <c r="L178" s="7" t="s">
        <v>537</v>
      </c>
    </row>
    <row r="179" customFormat="false" ht="23.85" hidden="false" customHeight="false" outlineLevel="0" collapsed="false">
      <c r="A179" s="5" t="n">
        <v>175</v>
      </c>
      <c r="B179" s="5" t="s">
        <v>259</v>
      </c>
      <c r="C179" s="5" t="s">
        <v>314</v>
      </c>
      <c r="D179" s="5" t="s">
        <v>235</v>
      </c>
      <c r="E179" s="5" t="s">
        <v>287</v>
      </c>
      <c r="F179" s="5" t="s">
        <v>279</v>
      </c>
      <c r="G179" s="5" t="n">
        <v>-41.79</v>
      </c>
      <c r="H179" s="5" t="n">
        <v>36.13</v>
      </c>
      <c r="I179" s="5" t="n">
        <v>2.86</v>
      </c>
      <c r="J179" s="5" t="s">
        <v>465</v>
      </c>
      <c r="K179" s="5" t="s">
        <v>316</v>
      </c>
      <c r="L179" s="5" t="s">
        <v>538</v>
      </c>
    </row>
    <row r="180" customFormat="false" ht="23.85" hidden="false" customHeight="false" outlineLevel="0" collapsed="false">
      <c r="A180" s="7" t="n">
        <v>176</v>
      </c>
      <c r="B180" s="7" t="s">
        <v>259</v>
      </c>
      <c r="C180" s="7" t="s">
        <v>314</v>
      </c>
      <c r="D180" s="7" t="s">
        <v>235</v>
      </c>
      <c r="E180" s="7" t="s">
        <v>287</v>
      </c>
      <c r="F180" s="7" t="s">
        <v>279</v>
      </c>
      <c r="G180" s="7" t="n">
        <v>-37.2</v>
      </c>
      <c r="H180" s="7" t="n">
        <v>36.13</v>
      </c>
      <c r="I180" s="7" t="n">
        <v>2.86</v>
      </c>
      <c r="J180" s="7" t="s">
        <v>465</v>
      </c>
      <c r="K180" s="7" t="s">
        <v>316</v>
      </c>
      <c r="L180" s="7" t="s">
        <v>539</v>
      </c>
    </row>
    <row r="181" customFormat="false" ht="23.85" hidden="false" customHeight="false" outlineLevel="0" collapsed="false">
      <c r="A181" s="5" t="n">
        <v>177</v>
      </c>
      <c r="B181" s="5" t="s">
        <v>259</v>
      </c>
      <c r="C181" s="5" t="s">
        <v>366</v>
      </c>
      <c r="D181" s="5" t="s">
        <v>237</v>
      </c>
      <c r="E181" s="5" t="s">
        <v>287</v>
      </c>
      <c r="F181" s="5" t="s">
        <v>279</v>
      </c>
      <c r="G181" s="5" t="n">
        <v>-51.45</v>
      </c>
      <c r="H181" s="5" t="n">
        <v>36.3</v>
      </c>
      <c r="I181" s="5" t="n">
        <v>6.22</v>
      </c>
      <c r="J181" s="5" t="s">
        <v>465</v>
      </c>
      <c r="K181" s="5" t="s">
        <v>367</v>
      </c>
      <c r="L181" s="5" t="s">
        <v>484</v>
      </c>
    </row>
    <row r="182" customFormat="false" ht="23.85" hidden="false" customHeight="false" outlineLevel="0" collapsed="false">
      <c r="A182" s="7" t="n">
        <v>178</v>
      </c>
      <c r="B182" s="7" t="s">
        <v>259</v>
      </c>
      <c r="C182" s="7" t="s">
        <v>366</v>
      </c>
      <c r="D182" s="7" t="s">
        <v>237</v>
      </c>
      <c r="E182" s="7" t="s">
        <v>287</v>
      </c>
      <c r="F182" s="7" t="s">
        <v>279</v>
      </c>
      <c r="G182" s="7" t="n">
        <v>-57.44</v>
      </c>
      <c r="H182" s="7" t="n">
        <v>36.3</v>
      </c>
      <c r="I182" s="7" t="n">
        <v>6.22</v>
      </c>
      <c r="J182" s="7" t="s">
        <v>465</v>
      </c>
      <c r="K182" s="7" t="s">
        <v>367</v>
      </c>
      <c r="L182" s="7" t="s">
        <v>489</v>
      </c>
    </row>
    <row r="183" customFormat="false" ht="23.85" hidden="false" customHeight="false" outlineLevel="0" collapsed="false">
      <c r="A183" s="5" t="n">
        <v>179</v>
      </c>
      <c r="B183" s="5" t="s">
        <v>259</v>
      </c>
      <c r="C183" s="5" t="s">
        <v>427</v>
      </c>
      <c r="D183" s="5" t="s">
        <v>227</v>
      </c>
      <c r="E183" s="5" t="s">
        <v>287</v>
      </c>
      <c r="F183" s="5" t="s">
        <v>279</v>
      </c>
      <c r="G183" s="5" t="n">
        <v>-34.37</v>
      </c>
      <c r="H183" s="5" t="n">
        <v>57.09</v>
      </c>
      <c r="I183" s="5" t="n">
        <v>6.22</v>
      </c>
      <c r="J183" s="5" t="s">
        <v>465</v>
      </c>
      <c r="K183" s="5" t="s">
        <v>429</v>
      </c>
      <c r="L183" s="5" t="s">
        <v>540</v>
      </c>
    </row>
    <row r="184" customFormat="false" ht="23.85" hidden="false" customHeight="false" outlineLevel="0" collapsed="false">
      <c r="A184" s="7" t="n">
        <v>180</v>
      </c>
      <c r="B184" s="7" t="s">
        <v>259</v>
      </c>
      <c r="C184" s="7" t="s">
        <v>427</v>
      </c>
      <c r="D184" s="7" t="s">
        <v>227</v>
      </c>
      <c r="E184" s="7" t="s">
        <v>541</v>
      </c>
      <c r="F184" s="7" t="s">
        <v>279</v>
      </c>
      <c r="G184" s="7" t="n">
        <v>-34.39</v>
      </c>
      <c r="H184" s="7" t="n">
        <v>57.79</v>
      </c>
      <c r="I184" s="7" t="n">
        <v>6.22</v>
      </c>
      <c r="J184" s="7" t="s">
        <v>465</v>
      </c>
      <c r="K184" s="7" t="s">
        <v>429</v>
      </c>
      <c r="L184" s="7" t="s">
        <v>542</v>
      </c>
    </row>
    <row r="185" customFormat="false" ht="23.85" hidden="false" customHeight="false" outlineLevel="0" collapsed="false">
      <c r="A185" s="5" t="n">
        <v>181</v>
      </c>
      <c r="B185" s="5" t="s">
        <v>259</v>
      </c>
      <c r="C185" s="5" t="s">
        <v>427</v>
      </c>
      <c r="D185" s="5" t="s">
        <v>227</v>
      </c>
      <c r="E185" s="5" t="s">
        <v>287</v>
      </c>
      <c r="F185" s="5" t="s">
        <v>279</v>
      </c>
      <c r="G185" s="5" t="n">
        <v>-34.37</v>
      </c>
      <c r="H185" s="5" t="n">
        <v>59.49</v>
      </c>
      <c r="I185" s="5" t="n">
        <v>6.22</v>
      </c>
      <c r="J185" s="5" t="s">
        <v>465</v>
      </c>
      <c r="K185" s="5" t="s">
        <v>429</v>
      </c>
      <c r="L185" s="5" t="s">
        <v>543</v>
      </c>
    </row>
    <row r="186" customFormat="false" ht="23.85" hidden="false" customHeight="false" outlineLevel="0" collapsed="false">
      <c r="A186" s="7" t="n">
        <v>182</v>
      </c>
      <c r="B186" s="7" t="s">
        <v>259</v>
      </c>
      <c r="C186" s="7" t="s">
        <v>427</v>
      </c>
      <c r="D186" s="7" t="s">
        <v>227</v>
      </c>
      <c r="E186" s="7" t="s">
        <v>287</v>
      </c>
      <c r="F186" s="7" t="s">
        <v>279</v>
      </c>
      <c r="G186" s="7" t="n">
        <v>-34.13</v>
      </c>
      <c r="H186" s="7" t="n">
        <v>58.29</v>
      </c>
      <c r="I186" s="7" t="n">
        <v>6.22</v>
      </c>
      <c r="J186" s="7" t="s">
        <v>465</v>
      </c>
      <c r="K186" s="7" t="s">
        <v>429</v>
      </c>
      <c r="L186" s="7" t="s">
        <v>544</v>
      </c>
    </row>
    <row r="187" customFormat="false" ht="23.85" hidden="false" customHeight="false" outlineLevel="0" collapsed="false">
      <c r="A187" s="5" t="n">
        <v>183</v>
      </c>
      <c r="B187" s="5" t="s">
        <v>259</v>
      </c>
      <c r="C187" s="5" t="s">
        <v>319</v>
      </c>
      <c r="D187" s="5" t="s">
        <v>227</v>
      </c>
      <c r="E187" s="5" t="s">
        <v>287</v>
      </c>
      <c r="F187" s="5" t="s">
        <v>279</v>
      </c>
      <c r="G187" s="5" t="n">
        <v>-34.56</v>
      </c>
      <c r="H187" s="5" t="n">
        <v>40.01</v>
      </c>
      <c r="I187" s="5" t="n">
        <v>6.22</v>
      </c>
      <c r="J187" s="5" t="s">
        <v>465</v>
      </c>
      <c r="K187" s="5" t="s">
        <v>320</v>
      </c>
      <c r="L187" s="5" t="s">
        <v>545</v>
      </c>
    </row>
    <row r="188" customFormat="false" ht="23.85" hidden="false" customHeight="false" outlineLevel="0" collapsed="false">
      <c r="A188" s="7" t="n">
        <v>184</v>
      </c>
      <c r="B188" s="7" t="s">
        <v>259</v>
      </c>
      <c r="C188" s="7" t="s">
        <v>319</v>
      </c>
      <c r="D188" s="7" t="s">
        <v>227</v>
      </c>
      <c r="E188" s="7" t="s">
        <v>485</v>
      </c>
      <c r="F188" s="7" t="s">
        <v>279</v>
      </c>
      <c r="G188" s="7" t="n">
        <v>-34.55</v>
      </c>
      <c r="H188" s="7" t="n">
        <v>43.61</v>
      </c>
      <c r="I188" s="7" t="n">
        <v>6.22</v>
      </c>
      <c r="J188" s="7" t="s">
        <v>465</v>
      </c>
      <c r="K188" s="7" t="s">
        <v>320</v>
      </c>
      <c r="L188" s="7" t="s">
        <v>546</v>
      </c>
    </row>
    <row r="189" customFormat="false" ht="23.85" hidden="false" customHeight="false" outlineLevel="0" collapsed="false">
      <c r="A189" s="5" t="n">
        <v>185</v>
      </c>
      <c r="B189" s="5" t="s">
        <v>259</v>
      </c>
      <c r="C189" s="5" t="s">
        <v>319</v>
      </c>
      <c r="D189" s="5" t="s">
        <v>227</v>
      </c>
      <c r="E189" s="5" t="s">
        <v>500</v>
      </c>
      <c r="F189" s="5" t="s">
        <v>279</v>
      </c>
      <c r="G189" s="5" t="n">
        <v>-34.55</v>
      </c>
      <c r="H189" s="5" t="n">
        <v>42.72</v>
      </c>
      <c r="I189" s="5" t="n">
        <v>6.22</v>
      </c>
      <c r="J189" s="5" t="s">
        <v>465</v>
      </c>
      <c r="K189" s="5" t="s">
        <v>320</v>
      </c>
      <c r="L189" s="5" t="s">
        <v>547</v>
      </c>
    </row>
    <row r="190" customFormat="false" ht="23.85" hidden="false" customHeight="false" outlineLevel="0" collapsed="false">
      <c r="A190" s="7" t="n">
        <v>186</v>
      </c>
      <c r="B190" s="7" t="s">
        <v>259</v>
      </c>
      <c r="C190" s="7" t="s">
        <v>322</v>
      </c>
      <c r="D190" s="7" t="s">
        <v>227</v>
      </c>
      <c r="E190" s="7" t="s">
        <v>287</v>
      </c>
      <c r="F190" s="7" t="s">
        <v>279</v>
      </c>
      <c r="G190" s="7" t="n">
        <v>-31.88</v>
      </c>
      <c r="H190" s="7" t="n">
        <v>36.25</v>
      </c>
      <c r="I190" s="7" t="n">
        <v>6.22</v>
      </c>
      <c r="J190" s="7" t="s">
        <v>465</v>
      </c>
      <c r="K190" s="7" t="s">
        <v>323</v>
      </c>
      <c r="L190" s="7" t="s">
        <v>548</v>
      </c>
    </row>
    <row r="191" customFormat="false" ht="23.85" hidden="false" customHeight="false" outlineLevel="0" collapsed="false">
      <c r="A191" s="5" t="n">
        <v>187</v>
      </c>
      <c r="B191" s="5" t="s">
        <v>259</v>
      </c>
      <c r="C191" s="5" t="s">
        <v>325</v>
      </c>
      <c r="D191" s="5" t="s">
        <v>227</v>
      </c>
      <c r="E191" s="5" t="s">
        <v>287</v>
      </c>
      <c r="F191" s="5" t="s">
        <v>279</v>
      </c>
      <c r="G191" s="5" t="n">
        <v>-33.55</v>
      </c>
      <c r="H191" s="5" t="n">
        <v>22.82</v>
      </c>
      <c r="I191" s="5" t="n">
        <v>2.81</v>
      </c>
      <c r="J191" s="5" t="s">
        <v>465</v>
      </c>
      <c r="K191" s="5" t="s">
        <v>326</v>
      </c>
      <c r="L191" s="5" t="s">
        <v>521</v>
      </c>
    </row>
    <row r="192" customFormat="false" ht="23.85" hidden="false" customHeight="false" outlineLevel="0" collapsed="false">
      <c r="A192" s="7" t="n">
        <v>188</v>
      </c>
      <c r="B192" s="7" t="s">
        <v>259</v>
      </c>
      <c r="C192" s="7" t="s">
        <v>325</v>
      </c>
      <c r="D192" s="7" t="s">
        <v>227</v>
      </c>
      <c r="E192" s="7" t="s">
        <v>287</v>
      </c>
      <c r="F192" s="7" t="s">
        <v>279</v>
      </c>
      <c r="G192" s="7" t="n">
        <v>-33.55</v>
      </c>
      <c r="H192" s="7" t="n">
        <v>27.6</v>
      </c>
      <c r="I192" s="7" t="n">
        <v>2.86</v>
      </c>
      <c r="J192" s="7" t="s">
        <v>465</v>
      </c>
      <c r="K192" s="7" t="s">
        <v>326</v>
      </c>
      <c r="L192" s="7" t="s">
        <v>522</v>
      </c>
    </row>
    <row r="193" customFormat="false" ht="23.85" hidden="false" customHeight="false" outlineLevel="0" collapsed="false">
      <c r="A193" s="5" t="n">
        <v>189</v>
      </c>
      <c r="B193" s="5" t="s">
        <v>259</v>
      </c>
      <c r="C193" s="5" t="s">
        <v>325</v>
      </c>
      <c r="D193" s="5" t="s">
        <v>227</v>
      </c>
      <c r="E193" s="5" t="s">
        <v>287</v>
      </c>
      <c r="F193" s="5" t="s">
        <v>279</v>
      </c>
      <c r="G193" s="5" t="n">
        <v>-33.55</v>
      </c>
      <c r="H193" s="5" t="n">
        <v>34.29</v>
      </c>
      <c r="I193" s="5" t="n">
        <v>2.86</v>
      </c>
      <c r="J193" s="5" t="s">
        <v>465</v>
      </c>
      <c r="K193" s="5" t="s">
        <v>326</v>
      </c>
      <c r="L193" s="5" t="s">
        <v>549</v>
      </c>
    </row>
    <row r="194" customFormat="false" ht="23.85" hidden="false" customHeight="false" outlineLevel="0" collapsed="false">
      <c r="A194" s="7" t="n">
        <v>190</v>
      </c>
      <c r="B194" s="7" t="s">
        <v>259</v>
      </c>
      <c r="C194" s="7" t="s">
        <v>325</v>
      </c>
      <c r="D194" s="7" t="s">
        <v>227</v>
      </c>
      <c r="E194" s="7" t="s">
        <v>287</v>
      </c>
      <c r="F194" s="7" t="s">
        <v>279</v>
      </c>
      <c r="G194" s="7" t="n">
        <v>-33.55</v>
      </c>
      <c r="H194" s="7" t="n">
        <v>30.62</v>
      </c>
      <c r="I194" s="7" t="n">
        <v>2.86</v>
      </c>
      <c r="J194" s="7" t="s">
        <v>465</v>
      </c>
      <c r="K194" s="7" t="s">
        <v>326</v>
      </c>
      <c r="L194" s="7" t="s">
        <v>550</v>
      </c>
    </row>
    <row r="195" customFormat="false" ht="23.85" hidden="false" customHeight="false" outlineLevel="0" collapsed="false">
      <c r="A195" s="5" t="n">
        <v>191</v>
      </c>
      <c r="B195" s="5" t="s">
        <v>259</v>
      </c>
      <c r="C195" s="5" t="s">
        <v>329</v>
      </c>
      <c r="D195" s="5" t="s">
        <v>236</v>
      </c>
      <c r="E195" s="5" t="s">
        <v>287</v>
      </c>
      <c r="F195" s="5" t="s">
        <v>279</v>
      </c>
      <c r="G195" s="5" t="n">
        <v>-28.27</v>
      </c>
      <c r="H195" s="5" t="n">
        <v>37.99</v>
      </c>
      <c r="I195" s="5" t="n">
        <v>2.86</v>
      </c>
      <c r="J195" s="5" t="s">
        <v>465</v>
      </c>
      <c r="K195" s="5" t="s">
        <v>330</v>
      </c>
      <c r="L195" s="5" t="s">
        <v>551</v>
      </c>
    </row>
    <row r="196" customFormat="false" ht="23.85" hidden="false" customHeight="false" outlineLevel="0" collapsed="false">
      <c r="A196" s="7" t="n">
        <v>192</v>
      </c>
      <c r="B196" s="7" t="s">
        <v>259</v>
      </c>
      <c r="C196" s="7" t="s">
        <v>329</v>
      </c>
      <c r="D196" s="7" t="s">
        <v>236</v>
      </c>
      <c r="E196" s="7" t="s">
        <v>287</v>
      </c>
      <c r="F196" s="7" t="s">
        <v>279</v>
      </c>
      <c r="G196" s="7" t="n">
        <v>-30.05</v>
      </c>
      <c r="H196" s="7" t="n">
        <v>37.76</v>
      </c>
      <c r="I196" s="7" t="n">
        <v>2.86</v>
      </c>
      <c r="J196" s="7" t="s">
        <v>465</v>
      </c>
      <c r="K196" s="7" t="s">
        <v>330</v>
      </c>
      <c r="L196" s="7" t="s">
        <v>552</v>
      </c>
    </row>
    <row r="197" customFormat="false" ht="23.85" hidden="false" customHeight="false" outlineLevel="0" collapsed="false">
      <c r="A197" s="5" t="n">
        <v>193</v>
      </c>
      <c r="B197" s="5" t="s">
        <v>259</v>
      </c>
      <c r="C197" s="5" t="s">
        <v>329</v>
      </c>
      <c r="D197" s="5" t="s">
        <v>236</v>
      </c>
      <c r="E197" s="5" t="s">
        <v>553</v>
      </c>
      <c r="F197" s="5" t="s">
        <v>279</v>
      </c>
      <c r="G197" s="5" t="n">
        <v>-30.08</v>
      </c>
      <c r="H197" s="5" t="n">
        <v>37.99</v>
      </c>
      <c r="I197" s="5" t="n">
        <v>2.86</v>
      </c>
      <c r="J197" s="5" t="s">
        <v>465</v>
      </c>
      <c r="K197" s="5" t="s">
        <v>330</v>
      </c>
      <c r="L197" s="5" t="s">
        <v>554</v>
      </c>
    </row>
    <row r="198" customFormat="false" ht="23.85" hidden="false" customHeight="false" outlineLevel="0" collapsed="false">
      <c r="A198" s="7" t="n">
        <v>194</v>
      </c>
      <c r="B198" s="7" t="s">
        <v>259</v>
      </c>
      <c r="C198" s="7" t="s">
        <v>329</v>
      </c>
      <c r="D198" s="7" t="s">
        <v>236</v>
      </c>
      <c r="E198" s="7" t="s">
        <v>502</v>
      </c>
      <c r="F198" s="7" t="s">
        <v>279</v>
      </c>
      <c r="G198" s="7" t="n">
        <v>-28.15</v>
      </c>
      <c r="H198" s="7" t="n">
        <v>37.76</v>
      </c>
      <c r="I198" s="7" t="n">
        <v>2.86</v>
      </c>
      <c r="J198" s="7" t="s">
        <v>465</v>
      </c>
      <c r="K198" s="7" t="s">
        <v>330</v>
      </c>
      <c r="L198" s="7" t="s">
        <v>555</v>
      </c>
    </row>
    <row r="199" customFormat="false" ht="23.85" hidden="false" customHeight="false" outlineLevel="0" collapsed="false">
      <c r="A199" s="5" t="n">
        <v>195</v>
      </c>
      <c r="B199" s="5" t="s">
        <v>259</v>
      </c>
      <c r="C199" s="5" t="s">
        <v>329</v>
      </c>
      <c r="D199" s="5" t="s">
        <v>236</v>
      </c>
      <c r="E199" s="5" t="s">
        <v>502</v>
      </c>
      <c r="F199" s="5" t="s">
        <v>279</v>
      </c>
      <c r="G199" s="5" t="n">
        <v>-28.02</v>
      </c>
      <c r="H199" s="5" t="n">
        <v>37.68</v>
      </c>
      <c r="I199" s="5" t="n">
        <v>2.86</v>
      </c>
      <c r="J199" s="5" t="s">
        <v>465</v>
      </c>
      <c r="K199" s="5" t="s">
        <v>330</v>
      </c>
      <c r="L199" s="5" t="s">
        <v>556</v>
      </c>
    </row>
    <row r="200" customFormat="false" ht="23.85" hidden="false" customHeight="false" outlineLevel="0" collapsed="false">
      <c r="A200" s="7" t="n">
        <v>196</v>
      </c>
      <c r="B200" s="7" t="s">
        <v>259</v>
      </c>
      <c r="C200" s="7" t="s">
        <v>329</v>
      </c>
      <c r="D200" s="7" t="s">
        <v>236</v>
      </c>
      <c r="E200" s="7" t="s">
        <v>502</v>
      </c>
      <c r="F200" s="7" t="s">
        <v>279</v>
      </c>
      <c r="G200" s="7" t="n">
        <v>-28.29</v>
      </c>
      <c r="H200" s="7" t="n">
        <v>37.68</v>
      </c>
      <c r="I200" s="7" t="n">
        <v>2.86</v>
      </c>
      <c r="J200" s="7" t="s">
        <v>465</v>
      </c>
      <c r="K200" s="7" t="s">
        <v>330</v>
      </c>
      <c r="L200" s="7" t="s">
        <v>557</v>
      </c>
    </row>
    <row r="201" customFormat="false" ht="23.85" hidden="false" customHeight="false" outlineLevel="0" collapsed="false">
      <c r="A201" s="5" t="n">
        <v>197</v>
      </c>
      <c r="B201" s="5" t="s">
        <v>259</v>
      </c>
      <c r="C201" s="5" t="s">
        <v>332</v>
      </c>
      <c r="D201" s="5" t="s">
        <v>235</v>
      </c>
      <c r="E201" s="5" t="s">
        <v>287</v>
      </c>
      <c r="F201" s="5" t="s">
        <v>279</v>
      </c>
      <c r="G201" s="5" t="n">
        <v>-42.42</v>
      </c>
      <c r="H201" s="5" t="n">
        <v>38.02</v>
      </c>
      <c r="I201" s="5" t="n">
        <v>2.86</v>
      </c>
      <c r="J201" s="5" t="s">
        <v>465</v>
      </c>
      <c r="K201" s="5" t="s">
        <v>333</v>
      </c>
      <c r="L201" s="5" t="s">
        <v>558</v>
      </c>
    </row>
    <row r="202" customFormat="false" ht="23.85" hidden="false" customHeight="false" outlineLevel="0" collapsed="false">
      <c r="A202" s="7" t="n">
        <v>198</v>
      </c>
      <c r="B202" s="7" t="s">
        <v>259</v>
      </c>
      <c r="C202" s="7" t="s">
        <v>332</v>
      </c>
      <c r="D202" s="7" t="s">
        <v>235</v>
      </c>
      <c r="E202" s="7" t="s">
        <v>287</v>
      </c>
      <c r="F202" s="7" t="s">
        <v>279</v>
      </c>
      <c r="G202" s="7" t="n">
        <v>-42.91</v>
      </c>
      <c r="H202" s="7" t="n">
        <v>38.03</v>
      </c>
      <c r="I202" s="7" t="n">
        <v>2.86</v>
      </c>
      <c r="J202" s="7" t="s">
        <v>465</v>
      </c>
      <c r="K202" s="7" t="s">
        <v>333</v>
      </c>
      <c r="L202" s="7" t="s">
        <v>559</v>
      </c>
    </row>
    <row r="203" customFormat="false" ht="23.85" hidden="false" customHeight="false" outlineLevel="0" collapsed="false">
      <c r="A203" s="5" t="n">
        <v>199</v>
      </c>
      <c r="B203" s="5" t="s">
        <v>259</v>
      </c>
      <c r="C203" s="5" t="s">
        <v>332</v>
      </c>
      <c r="D203" s="5" t="s">
        <v>235</v>
      </c>
      <c r="E203" s="5" t="s">
        <v>515</v>
      </c>
      <c r="F203" s="5" t="s">
        <v>279</v>
      </c>
      <c r="G203" s="5" t="n">
        <v>-40.79</v>
      </c>
      <c r="H203" s="5" t="n">
        <v>38.03</v>
      </c>
      <c r="I203" s="5" t="n">
        <v>2.86</v>
      </c>
      <c r="J203" s="5" t="s">
        <v>465</v>
      </c>
      <c r="K203" s="5" t="s">
        <v>333</v>
      </c>
      <c r="L203" s="5" t="s">
        <v>560</v>
      </c>
    </row>
    <row r="204" customFormat="false" ht="23.85" hidden="false" customHeight="false" outlineLevel="0" collapsed="false">
      <c r="A204" s="7" t="n">
        <v>200</v>
      </c>
      <c r="B204" s="7" t="s">
        <v>259</v>
      </c>
      <c r="C204" s="7" t="s">
        <v>332</v>
      </c>
      <c r="D204" s="7" t="s">
        <v>235</v>
      </c>
      <c r="E204" s="7" t="s">
        <v>515</v>
      </c>
      <c r="F204" s="7" t="s">
        <v>279</v>
      </c>
      <c r="G204" s="7" t="n">
        <v>-41.24</v>
      </c>
      <c r="H204" s="7" t="n">
        <v>38.1</v>
      </c>
      <c r="I204" s="7" t="n">
        <v>2.86</v>
      </c>
      <c r="J204" s="7" t="s">
        <v>465</v>
      </c>
      <c r="K204" s="7" t="s">
        <v>333</v>
      </c>
      <c r="L204" s="7" t="s">
        <v>561</v>
      </c>
    </row>
    <row r="205" customFormat="false" ht="23.85" hidden="false" customHeight="false" outlineLevel="0" collapsed="false">
      <c r="A205" s="5" t="n">
        <v>201</v>
      </c>
      <c r="B205" s="5" t="s">
        <v>259</v>
      </c>
      <c r="C205" s="5" t="s">
        <v>332</v>
      </c>
      <c r="D205" s="5" t="s">
        <v>235</v>
      </c>
      <c r="E205" s="5" t="s">
        <v>515</v>
      </c>
      <c r="F205" s="5" t="s">
        <v>279</v>
      </c>
      <c r="G205" s="5" t="n">
        <v>-41.61</v>
      </c>
      <c r="H205" s="5" t="n">
        <v>37.91</v>
      </c>
      <c r="I205" s="5" t="n">
        <v>2.86</v>
      </c>
      <c r="J205" s="5" t="s">
        <v>465</v>
      </c>
      <c r="K205" s="5" t="s">
        <v>333</v>
      </c>
      <c r="L205" s="5" t="s">
        <v>562</v>
      </c>
    </row>
    <row r="206" customFormat="false" ht="23.85" hidden="false" customHeight="false" outlineLevel="0" collapsed="false">
      <c r="A206" s="7" t="n">
        <v>202</v>
      </c>
      <c r="B206" s="7" t="s">
        <v>259</v>
      </c>
      <c r="C206" s="7" t="s">
        <v>332</v>
      </c>
      <c r="D206" s="7" t="s">
        <v>235</v>
      </c>
      <c r="E206" s="7" t="s">
        <v>287</v>
      </c>
      <c r="F206" s="7" t="s">
        <v>279</v>
      </c>
      <c r="G206" s="7" t="n">
        <v>-44.89</v>
      </c>
      <c r="H206" s="7" t="n">
        <v>38.03</v>
      </c>
      <c r="I206" s="7" t="n">
        <v>2.86</v>
      </c>
      <c r="J206" s="7" t="s">
        <v>465</v>
      </c>
      <c r="K206" s="7" t="s">
        <v>333</v>
      </c>
      <c r="L206" s="7" t="s">
        <v>563</v>
      </c>
    </row>
    <row r="207" customFormat="false" ht="23.85" hidden="false" customHeight="false" outlineLevel="0" collapsed="false">
      <c r="A207" s="5" t="n">
        <v>203</v>
      </c>
      <c r="B207" s="5" t="s">
        <v>259</v>
      </c>
      <c r="C207" s="5" t="s">
        <v>332</v>
      </c>
      <c r="D207" s="5" t="s">
        <v>235</v>
      </c>
      <c r="E207" s="5" t="s">
        <v>515</v>
      </c>
      <c r="F207" s="5" t="s">
        <v>279</v>
      </c>
      <c r="G207" s="5" t="n">
        <v>-41.8</v>
      </c>
      <c r="H207" s="5" t="n">
        <v>37.84</v>
      </c>
      <c r="I207" s="5" t="n">
        <v>2.86</v>
      </c>
      <c r="J207" s="5" t="s">
        <v>465</v>
      </c>
      <c r="K207" s="5" t="s">
        <v>333</v>
      </c>
      <c r="L207" s="5" t="s">
        <v>564</v>
      </c>
    </row>
    <row r="208" customFormat="false" ht="23.85" hidden="false" customHeight="false" outlineLevel="0" collapsed="false">
      <c r="A208" s="7" t="n">
        <v>204</v>
      </c>
      <c r="B208" s="7" t="s">
        <v>259</v>
      </c>
      <c r="C208" s="7" t="s">
        <v>332</v>
      </c>
      <c r="D208" s="7" t="s">
        <v>235</v>
      </c>
      <c r="E208" s="7" t="s">
        <v>565</v>
      </c>
      <c r="F208" s="7" t="s">
        <v>279</v>
      </c>
      <c r="G208" s="7" t="n">
        <v>-38.72</v>
      </c>
      <c r="H208" s="7" t="n">
        <v>38.03</v>
      </c>
      <c r="I208" s="7" t="n">
        <v>2.86</v>
      </c>
      <c r="J208" s="7" t="s">
        <v>465</v>
      </c>
      <c r="K208" s="7" t="s">
        <v>333</v>
      </c>
      <c r="L208" s="7" t="s">
        <v>566</v>
      </c>
    </row>
    <row r="209" customFormat="false" ht="23.85" hidden="false" customHeight="false" outlineLevel="0" collapsed="false">
      <c r="A209" s="5" t="n">
        <v>205</v>
      </c>
      <c r="B209" s="5" t="s">
        <v>259</v>
      </c>
      <c r="C209" s="5" t="s">
        <v>567</v>
      </c>
      <c r="D209" s="5" t="s">
        <v>234</v>
      </c>
      <c r="E209" s="5" t="s">
        <v>287</v>
      </c>
      <c r="F209" s="5" t="s">
        <v>279</v>
      </c>
      <c r="G209" s="5" t="n">
        <v>-51.02</v>
      </c>
      <c r="H209" s="5" t="n">
        <v>38.11</v>
      </c>
      <c r="I209" s="5" t="n">
        <v>2.86</v>
      </c>
      <c r="J209" s="5" t="s">
        <v>465</v>
      </c>
      <c r="K209" s="5" t="s">
        <v>568</v>
      </c>
      <c r="L209" s="5" t="s">
        <v>569</v>
      </c>
    </row>
    <row r="210" customFormat="false" ht="23.85" hidden="false" customHeight="false" outlineLevel="0" collapsed="false">
      <c r="A210" s="7" t="n">
        <v>206</v>
      </c>
      <c r="B210" s="7" t="s">
        <v>259</v>
      </c>
      <c r="C210" s="7" t="s">
        <v>570</v>
      </c>
      <c r="D210" s="7" t="s">
        <v>233</v>
      </c>
      <c r="E210" s="7" t="s">
        <v>287</v>
      </c>
      <c r="F210" s="7" t="s">
        <v>279</v>
      </c>
      <c r="G210" s="7" t="n">
        <v>-57.62</v>
      </c>
      <c r="H210" s="7" t="n">
        <v>38.17</v>
      </c>
      <c r="I210" s="7" t="n">
        <v>2.86</v>
      </c>
      <c r="J210" s="7" t="s">
        <v>465</v>
      </c>
      <c r="K210" s="7" t="s">
        <v>571</v>
      </c>
      <c r="L210" s="7" t="s">
        <v>572</v>
      </c>
    </row>
    <row r="211" customFormat="false" ht="23.85" hidden="false" customHeight="false" outlineLevel="0" collapsed="false">
      <c r="A211" s="5" t="n">
        <v>207</v>
      </c>
      <c r="B211" s="5" t="s">
        <v>259</v>
      </c>
      <c r="C211" s="5" t="s">
        <v>570</v>
      </c>
      <c r="D211" s="5" t="s">
        <v>233</v>
      </c>
      <c r="E211" s="5" t="s">
        <v>287</v>
      </c>
      <c r="F211" s="5" t="s">
        <v>279</v>
      </c>
      <c r="G211" s="5" t="n">
        <v>-54.65</v>
      </c>
      <c r="H211" s="5" t="n">
        <v>38</v>
      </c>
      <c r="I211" s="5" t="n">
        <v>2.86</v>
      </c>
      <c r="J211" s="5" t="s">
        <v>465</v>
      </c>
      <c r="K211" s="5" t="s">
        <v>571</v>
      </c>
      <c r="L211" s="5" t="s">
        <v>573</v>
      </c>
    </row>
    <row r="212" customFormat="false" ht="23.85" hidden="false" customHeight="false" outlineLevel="0" collapsed="false">
      <c r="A212" s="7" t="n">
        <v>208</v>
      </c>
      <c r="B212" s="7" t="s">
        <v>259</v>
      </c>
      <c r="C212" s="7" t="s">
        <v>570</v>
      </c>
      <c r="D212" s="7" t="s">
        <v>233</v>
      </c>
      <c r="E212" s="7" t="s">
        <v>502</v>
      </c>
      <c r="F212" s="7" t="s">
        <v>279</v>
      </c>
      <c r="G212" s="7" t="n">
        <v>-54.82</v>
      </c>
      <c r="H212" s="7" t="n">
        <v>38.33</v>
      </c>
      <c r="I212" s="7" t="n">
        <v>2.86</v>
      </c>
      <c r="J212" s="7" t="s">
        <v>465</v>
      </c>
      <c r="K212" s="7" t="s">
        <v>571</v>
      </c>
      <c r="L212" s="7" t="s">
        <v>574</v>
      </c>
    </row>
    <row r="213" customFormat="false" ht="23.85" hidden="false" customHeight="false" outlineLevel="0" collapsed="false">
      <c r="A213" s="5" t="n">
        <v>209</v>
      </c>
      <c r="B213" s="5" t="s">
        <v>259</v>
      </c>
      <c r="C213" s="5" t="s">
        <v>570</v>
      </c>
      <c r="D213" s="5" t="s">
        <v>233</v>
      </c>
      <c r="E213" s="5" t="s">
        <v>502</v>
      </c>
      <c r="F213" s="5" t="s">
        <v>279</v>
      </c>
      <c r="G213" s="5" t="n">
        <v>-54.64</v>
      </c>
      <c r="H213" s="5" t="n">
        <v>38.21</v>
      </c>
      <c r="I213" s="5" t="n">
        <v>2.86</v>
      </c>
      <c r="J213" s="5" t="s">
        <v>465</v>
      </c>
      <c r="K213" s="5" t="s">
        <v>571</v>
      </c>
      <c r="L213" s="5" t="s">
        <v>575</v>
      </c>
    </row>
    <row r="214" customFormat="false" ht="23.85" hidden="false" customHeight="false" outlineLevel="0" collapsed="false">
      <c r="A214" s="7" t="n">
        <v>210</v>
      </c>
      <c r="B214" s="7" t="s">
        <v>259</v>
      </c>
      <c r="C214" s="7" t="s">
        <v>570</v>
      </c>
      <c r="D214" s="7" t="s">
        <v>233</v>
      </c>
      <c r="E214" s="7" t="s">
        <v>502</v>
      </c>
      <c r="F214" s="7" t="s">
        <v>279</v>
      </c>
      <c r="G214" s="7" t="n">
        <v>-54.58</v>
      </c>
      <c r="H214" s="7" t="n">
        <v>38.37</v>
      </c>
      <c r="I214" s="7" t="n">
        <v>2.86</v>
      </c>
      <c r="J214" s="7" t="s">
        <v>465</v>
      </c>
      <c r="K214" s="7" t="s">
        <v>571</v>
      </c>
      <c r="L214" s="7" t="s">
        <v>576</v>
      </c>
    </row>
    <row r="215" customFormat="false" ht="23.85" hidden="false" customHeight="false" outlineLevel="0" collapsed="false">
      <c r="A215" s="5" t="n">
        <v>211</v>
      </c>
      <c r="B215" s="5" t="s">
        <v>259</v>
      </c>
      <c r="C215" s="5" t="s">
        <v>577</v>
      </c>
      <c r="D215" s="5" t="s">
        <v>232</v>
      </c>
      <c r="E215" s="5" t="s">
        <v>287</v>
      </c>
      <c r="F215" s="5" t="s">
        <v>279</v>
      </c>
      <c r="G215" s="5" t="n">
        <v>-65.79</v>
      </c>
      <c r="H215" s="5" t="n">
        <v>38.25</v>
      </c>
      <c r="I215" s="5" t="n">
        <v>2.86</v>
      </c>
      <c r="J215" s="5" t="s">
        <v>465</v>
      </c>
      <c r="K215" s="5" t="s">
        <v>578</v>
      </c>
      <c r="L215" s="5" t="s">
        <v>289</v>
      </c>
    </row>
    <row r="216" customFormat="false" ht="23.85" hidden="false" customHeight="false" outlineLevel="0" collapsed="false">
      <c r="A216" s="7" t="n">
        <v>212</v>
      </c>
      <c r="B216" s="7" t="s">
        <v>259</v>
      </c>
      <c r="C216" s="7" t="s">
        <v>450</v>
      </c>
      <c r="D216" s="7" t="s">
        <v>227</v>
      </c>
      <c r="E216" s="7" t="s">
        <v>287</v>
      </c>
      <c r="F216" s="7" t="s">
        <v>279</v>
      </c>
      <c r="G216" s="7" t="n">
        <v>-67.34</v>
      </c>
      <c r="H216" s="7" t="n">
        <v>38.24</v>
      </c>
      <c r="I216" s="7" t="n">
        <v>2.86</v>
      </c>
      <c r="J216" s="7" t="s">
        <v>465</v>
      </c>
      <c r="K216" s="7" t="s">
        <v>451</v>
      </c>
      <c r="L216" s="7" t="s">
        <v>579</v>
      </c>
    </row>
    <row r="217" customFormat="false" ht="23.85" hidden="false" customHeight="false" outlineLevel="0" collapsed="false">
      <c r="A217" s="5" t="n">
        <v>213</v>
      </c>
      <c r="B217" s="5" t="s">
        <v>259</v>
      </c>
      <c r="C217" s="5" t="s">
        <v>368</v>
      </c>
      <c r="D217" s="5" t="s">
        <v>225</v>
      </c>
      <c r="E217" s="5" t="s">
        <v>287</v>
      </c>
      <c r="F217" s="5" t="s">
        <v>279</v>
      </c>
      <c r="G217" s="5" t="n">
        <v>-43.68</v>
      </c>
      <c r="H217" s="5" t="n">
        <v>38.17</v>
      </c>
      <c r="I217" s="5" t="n">
        <v>6.22</v>
      </c>
      <c r="J217" s="5" t="s">
        <v>465</v>
      </c>
      <c r="K217" s="5" t="s">
        <v>369</v>
      </c>
      <c r="L217" s="5" t="s">
        <v>580</v>
      </c>
    </row>
    <row r="218" customFormat="false" ht="23.85" hidden="false" customHeight="false" outlineLevel="0" collapsed="false">
      <c r="A218" s="7" t="n">
        <v>214</v>
      </c>
      <c r="B218" s="7" t="s">
        <v>259</v>
      </c>
      <c r="C218" s="7" t="s">
        <v>370</v>
      </c>
      <c r="D218" s="7" t="s">
        <v>237</v>
      </c>
      <c r="E218" s="7" t="s">
        <v>485</v>
      </c>
      <c r="F218" s="7" t="s">
        <v>279</v>
      </c>
      <c r="G218" s="7" t="n">
        <v>-59.52</v>
      </c>
      <c r="H218" s="7" t="n">
        <v>38.31</v>
      </c>
      <c r="I218" s="7" t="n">
        <v>6.22</v>
      </c>
      <c r="J218" s="7" t="s">
        <v>465</v>
      </c>
      <c r="K218" s="7" t="s">
        <v>371</v>
      </c>
      <c r="L218" s="7" t="s">
        <v>581</v>
      </c>
    </row>
    <row r="219" customFormat="false" ht="23.85" hidden="false" customHeight="false" outlineLevel="0" collapsed="false">
      <c r="A219" s="5" t="n">
        <v>215</v>
      </c>
      <c r="B219" s="5" t="s">
        <v>259</v>
      </c>
      <c r="C219" s="5" t="s">
        <v>370</v>
      </c>
      <c r="D219" s="5" t="s">
        <v>237</v>
      </c>
      <c r="E219" s="5" t="s">
        <v>485</v>
      </c>
      <c r="F219" s="5" t="s">
        <v>279</v>
      </c>
      <c r="G219" s="5" t="n">
        <v>-59.62</v>
      </c>
      <c r="H219" s="5" t="n">
        <v>38.15</v>
      </c>
      <c r="I219" s="5" t="n">
        <v>6.22</v>
      </c>
      <c r="J219" s="5" t="s">
        <v>465</v>
      </c>
      <c r="K219" s="5" t="s">
        <v>371</v>
      </c>
      <c r="L219" s="5" t="s">
        <v>499</v>
      </c>
    </row>
    <row r="220" customFormat="false" ht="23.85" hidden="false" customHeight="false" outlineLevel="0" collapsed="false">
      <c r="A220" s="7" t="n">
        <v>216</v>
      </c>
      <c r="B220" s="7" t="s">
        <v>259</v>
      </c>
      <c r="C220" s="7" t="s">
        <v>370</v>
      </c>
      <c r="D220" s="7" t="s">
        <v>237</v>
      </c>
      <c r="E220" s="7" t="s">
        <v>500</v>
      </c>
      <c r="F220" s="7" t="s">
        <v>279</v>
      </c>
      <c r="G220" s="7" t="n">
        <v>-59.16</v>
      </c>
      <c r="H220" s="7" t="n">
        <v>38.2</v>
      </c>
      <c r="I220" s="7" t="n">
        <v>6.22</v>
      </c>
      <c r="J220" s="7" t="s">
        <v>465</v>
      </c>
      <c r="K220" s="7" t="s">
        <v>371</v>
      </c>
      <c r="L220" s="7" t="s">
        <v>501</v>
      </c>
    </row>
    <row r="221" customFormat="false" ht="23.85" hidden="false" customHeight="false" outlineLevel="0" collapsed="false">
      <c r="A221" s="5" t="n">
        <v>217</v>
      </c>
      <c r="B221" s="5" t="s">
        <v>259</v>
      </c>
      <c r="C221" s="5" t="s">
        <v>370</v>
      </c>
      <c r="D221" s="5" t="s">
        <v>237</v>
      </c>
      <c r="E221" s="5" t="s">
        <v>287</v>
      </c>
      <c r="F221" s="5" t="s">
        <v>279</v>
      </c>
      <c r="G221" s="5" t="n">
        <v>-46.95</v>
      </c>
      <c r="H221" s="5" t="n">
        <v>38.2</v>
      </c>
      <c r="I221" s="5" t="n">
        <v>6.22</v>
      </c>
      <c r="J221" s="5" t="s">
        <v>465</v>
      </c>
      <c r="K221" s="5" t="s">
        <v>371</v>
      </c>
      <c r="L221" s="5" t="s">
        <v>490</v>
      </c>
    </row>
    <row r="222" customFormat="false" ht="23.85" hidden="false" customHeight="false" outlineLevel="0" collapsed="false">
      <c r="A222" s="7" t="n">
        <v>218</v>
      </c>
      <c r="B222" s="7" t="s">
        <v>259</v>
      </c>
      <c r="C222" s="7" t="s">
        <v>370</v>
      </c>
      <c r="D222" s="7" t="s">
        <v>237</v>
      </c>
      <c r="E222" s="7" t="s">
        <v>553</v>
      </c>
      <c r="F222" s="7" t="s">
        <v>279</v>
      </c>
      <c r="G222" s="7" t="n">
        <v>-45.32</v>
      </c>
      <c r="H222" s="7" t="n">
        <v>38.2</v>
      </c>
      <c r="I222" s="7" t="n">
        <v>6.22</v>
      </c>
      <c r="J222" s="7" t="s">
        <v>465</v>
      </c>
      <c r="K222" s="7" t="s">
        <v>371</v>
      </c>
      <c r="L222" s="7" t="s">
        <v>582</v>
      </c>
    </row>
    <row r="223" customFormat="false" ht="23.85" hidden="false" customHeight="false" outlineLevel="0" collapsed="false">
      <c r="A223" s="5" t="n">
        <v>219</v>
      </c>
      <c r="B223" s="5" t="s">
        <v>259</v>
      </c>
      <c r="C223" s="5" t="s">
        <v>370</v>
      </c>
      <c r="D223" s="5" t="s">
        <v>237</v>
      </c>
      <c r="E223" s="5" t="s">
        <v>502</v>
      </c>
      <c r="F223" s="5" t="s">
        <v>279</v>
      </c>
      <c r="G223" s="5" t="n">
        <v>-57.58</v>
      </c>
      <c r="H223" s="5" t="n">
        <v>38.2</v>
      </c>
      <c r="I223" s="5" t="n">
        <v>6.22</v>
      </c>
      <c r="J223" s="5" t="s">
        <v>465</v>
      </c>
      <c r="K223" s="5" t="s">
        <v>371</v>
      </c>
      <c r="L223" s="5" t="s">
        <v>503</v>
      </c>
    </row>
    <row r="224" customFormat="false" ht="23.85" hidden="false" customHeight="false" outlineLevel="0" collapsed="false">
      <c r="A224" s="7" t="n">
        <v>220</v>
      </c>
      <c r="B224" s="7" t="s">
        <v>259</v>
      </c>
      <c r="C224" s="7" t="s">
        <v>370</v>
      </c>
      <c r="D224" s="7" t="s">
        <v>237</v>
      </c>
      <c r="E224" s="7" t="s">
        <v>287</v>
      </c>
      <c r="F224" s="7" t="s">
        <v>279</v>
      </c>
      <c r="G224" s="7" t="n">
        <v>-51.45</v>
      </c>
      <c r="H224" s="7" t="n">
        <v>38.2</v>
      </c>
      <c r="I224" s="7" t="n">
        <v>6.22</v>
      </c>
      <c r="J224" s="7" t="s">
        <v>465</v>
      </c>
      <c r="K224" s="7" t="s">
        <v>371</v>
      </c>
      <c r="L224" s="7" t="s">
        <v>583</v>
      </c>
    </row>
    <row r="225" customFormat="false" ht="23.85" hidden="false" customHeight="false" outlineLevel="0" collapsed="false">
      <c r="A225" s="5" t="n">
        <v>221</v>
      </c>
      <c r="B225" s="5" t="s">
        <v>259</v>
      </c>
      <c r="C225" s="5" t="s">
        <v>370</v>
      </c>
      <c r="D225" s="5" t="s">
        <v>237</v>
      </c>
      <c r="E225" s="5" t="s">
        <v>502</v>
      </c>
      <c r="F225" s="5" t="s">
        <v>279</v>
      </c>
      <c r="G225" s="5" t="n">
        <v>-54.34</v>
      </c>
      <c r="H225" s="5" t="n">
        <v>38.24</v>
      </c>
      <c r="I225" s="5" t="n">
        <v>6.22</v>
      </c>
      <c r="J225" s="5" t="s">
        <v>465</v>
      </c>
      <c r="K225" s="5" t="s">
        <v>371</v>
      </c>
      <c r="L225" s="5" t="s">
        <v>584</v>
      </c>
    </row>
    <row r="226" customFormat="false" ht="23.85" hidden="false" customHeight="false" outlineLevel="0" collapsed="false">
      <c r="A226" s="7" t="n">
        <v>222</v>
      </c>
      <c r="B226" s="7" t="s">
        <v>259</v>
      </c>
      <c r="C226" s="7" t="s">
        <v>370</v>
      </c>
      <c r="D226" s="7" t="s">
        <v>237</v>
      </c>
      <c r="E226" s="7" t="s">
        <v>287</v>
      </c>
      <c r="F226" s="7" t="s">
        <v>279</v>
      </c>
      <c r="G226" s="7" t="n">
        <v>-54.46</v>
      </c>
      <c r="H226" s="7" t="n">
        <v>38.11</v>
      </c>
      <c r="I226" s="7" t="n">
        <v>6.22</v>
      </c>
      <c r="J226" s="7" t="s">
        <v>465</v>
      </c>
      <c r="K226" s="7" t="s">
        <v>371</v>
      </c>
      <c r="L226" s="7" t="s">
        <v>585</v>
      </c>
    </row>
    <row r="227" customFormat="false" ht="23.85" hidden="false" customHeight="false" outlineLevel="0" collapsed="false">
      <c r="A227" s="5" t="n">
        <v>223</v>
      </c>
      <c r="B227" s="5" t="s">
        <v>259</v>
      </c>
      <c r="C227" s="5" t="s">
        <v>370</v>
      </c>
      <c r="D227" s="5" t="s">
        <v>237</v>
      </c>
      <c r="E227" s="5" t="s">
        <v>287</v>
      </c>
      <c r="F227" s="5" t="s">
        <v>279</v>
      </c>
      <c r="G227" s="5" t="n">
        <v>-49.29</v>
      </c>
      <c r="H227" s="5" t="n">
        <v>38.2</v>
      </c>
      <c r="I227" s="5" t="n">
        <v>6.22</v>
      </c>
      <c r="J227" s="5" t="s">
        <v>465</v>
      </c>
      <c r="K227" s="5" t="s">
        <v>371</v>
      </c>
      <c r="L227" s="5" t="s">
        <v>493</v>
      </c>
    </row>
    <row r="228" customFormat="false" ht="23.85" hidden="false" customHeight="false" outlineLevel="0" collapsed="false">
      <c r="A228" s="7" t="n">
        <v>224</v>
      </c>
      <c r="B228" s="7" t="s">
        <v>259</v>
      </c>
      <c r="C228" s="7" t="s">
        <v>370</v>
      </c>
      <c r="D228" s="7" t="s">
        <v>237</v>
      </c>
      <c r="E228" s="7" t="s">
        <v>287</v>
      </c>
      <c r="F228" s="7" t="s">
        <v>279</v>
      </c>
      <c r="G228" s="7" t="n">
        <v>-59.91</v>
      </c>
      <c r="H228" s="7" t="n">
        <v>38.34</v>
      </c>
      <c r="I228" s="7" t="n">
        <v>6.22</v>
      </c>
      <c r="J228" s="7" t="s">
        <v>465</v>
      </c>
      <c r="K228" s="7" t="s">
        <v>371</v>
      </c>
      <c r="L228" s="7" t="s">
        <v>586</v>
      </c>
    </row>
    <row r="229" customFormat="false" ht="23.85" hidden="false" customHeight="false" outlineLevel="0" collapsed="false">
      <c r="A229" s="5" t="n">
        <v>225</v>
      </c>
      <c r="B229" s="5" t="s">
        <v>259</v>
      </c>
      <c r="C229" s="5" t="s">
        <v>370</v>
      </c>
      <c r="D229" s="5" t="s">
        <v>237</v>
      </c>
      <c r="E229" s="5" t="s">
        <v>502</v>
      </c>
      <c r="F229" s="5" t="s">
        <v>279</v>
      </c>
      <c r="G229" s="5" t="n">
        <v>-54.55</v>
      </c>
      <c r="H229" s="5" t="n">
        <v>38.29</v>
      </c>
      <c r="I229" s="5" t="n">
        <v>6.22</v>
      </c>
      <c r="J229" s="5" t="s">
        <v>465</v>
      </c>
      <c r="K229" s="5" t="s">
        <v>371</v>
      </c>
      <c r="L229" s="5" t="s">
        <v>587</v>
      </c>
    </row>
    <row r="230" customFormat="false" ht="23.85" hidden="false" customHeight="false" outlineLevel="0" collapsed="false">
      <c r="A230" s="7" t="n">
        <v>226</v>
      </c>
      <c r="B230" s="7" t="s">
        <v>259</v>
      </c>
      <c r="C230" s="7" t="s">
        <v>460</v>
      </c>
      <c r="D230" s="7" t="s">
        <v>227</v>
      </c>
      <c r="E230" s="7" t="s">
        <v>287</v>
      </c>
      <c r="F230" s="7" t="s">
        <v>279</v>
      </c>
      <c r="G230" s="7" t="n">
        <v>-31.86</v>
      </c>
      <c r="H230" s="7" t="n">
        <v>38.07</v>
      </c>
      <c r="I230" s="7" t="n">
        <v>6.22</v>
      </c>
      <c r="J230" s="7" t="s">
        <v>465</v>
      </c>
      <c r="K230" s="7" t="s">
        <v>461</v>
      </c>
      <c r="L230" s="7" t="s">
        <v>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2026-10-17T20:40:37Z</dcterms:created>
  <dc:creator>openpyxl</dc:creator>
  <dc:description/>
  <dc:language>en-US</dc:language>
  <cp:lastModifiedBy/>
  <dcterms:modified xsi:type="dcterms:W3CDTF">2026-10-17T20:40:37Z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