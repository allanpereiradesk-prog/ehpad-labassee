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comments3.xml" ContentType="application/vnd.openxmlformats-officedocument.spreadsheetml.comments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drawings/vmlDrawing1.vml" ContentType="application/vnd.openxmlformats-officedocument.vmlDrawing"/>
  <Override PartName="/xl/drawings/drawing1.xml" ContentType="application/vnd.openxmlformats-officedocument.drawing+xml"/>
  <Override PartName="/xl/drawings/vmlDrawing2.vml" ContentType="application/vnd.openxmlformats-officedocument.vmlDrawin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" sheetId="1" state="visible" r:id="rId3"/>
    <sheet name="Hypothèses" sheetId="2" state="visible" r:id="rId4"/>
    <sheet name="Tronçons" sheetId="3" state="visible" r:id="rId5"/>
  </sheets>
  <definedNames>
    <definedName function="false" hidden="true" localSheetId="2" name="_xlnm._FilterDatabase" vbProcedure="false">Tronçons!$A$4:$V$147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comments1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C5" authorId="0">
      <text>
        <r>
          <rPr>
            <sz val="10"/>
            <rFont val="Arial"/>
            <family val="2"/>
          </rPr>
          <t xml:space="preserve">CCTP § 4.10.2 : CTA 1 – Aile Nord – zone ouverte</t>
        </r>
      </text>
    </comment>
    <comment ref="C6" authorId="0">
      <text>
        <r>
          <rPr>
            <sz val="10"/>
            <rFont val="Arial"/>
            <family val="2"/>
          </rPr>
          <t xml:space="preserve">CCTP § 4.10.2 : CTA 2 – Aile Sud – zone ouverte</t>
        </r>
      </text>
    </comment>
    <comment ref="C7" authorId="0">
      <text>
        <r>
          <rPr>
            <sz val="10"/>
            <rFont val="Arial"/>
            <family val="2"/>
          </rPr>
          <t xml:space="preserve">CCTP § 4.10.2 : CTA 3 – Aile Nord – zone fermée</t>
        </r>
      </text>
    </comment>
    <comment ref="C8" authorId="0">
      <text>
        <r>
          <rPr>
            <sz val="10"/>
            <rFont val="Arial"/>
            <family val="2"/>
          </rPr>
          <t xml:space="preserve">CCTP § 4.10.2 : CTA 4 – Aile Sud – zone fermée</t>
        </r>
      </text>
    </comment>
    <comment ref="C9" authorId="0">
      <text>
        <r>
          <rPr>
            <sz val="10"/>
            <rFont val="Arial"/>
            <family val="2"/>
          </rPr>
          <t xml:space="preserve">CCTP § 4.11.2 : CTA 5 – Aile Nord – zone commune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F125" authorId="0">
      <text>
        <r>
          <rPr>
            <sz val="10"/>
            <rFont val="Arial"/>
            <family val="2"/>
          </rPr>
          <t xml:space="preserve">Passe dans le hall en double hauteur (pas de faux plafond) : tracé à valider</t>
        </r>
      </text>
    </comment>
    <comment ref="F126" authorId="0">
      <text>
        <r>
          <rPr>
            <sz val="10"/>
            <rFont val="Arial"/>
            <family val="2"/>
          </rPr>
          <t xml:space="preserve">Passe dans le hall en double hauteur (pas de faux plafond) : tracé à valider</t>
        </r>
      </text>
    </comment>
    <comment ref="F127" authorId="0">
      <text>
        <r>
          <rPr>
            <sz val="10"/>
            <rFont val="Arial"/>
            <family val="2"/>
          </rPr>
          <t xml:space="preserve">Passe dans le hall en double hauteur (pas de faux plafond) : tracé à valider</t>
        </r>
      </text>
    </comment>
  </commentList>
</comments>
</file>

<file path=xl/sharedStrings.xml><?xml version="1.0" encoding="utf-8"?>
<sst xmlns="http://schemas.openxmlformats.org/spreadsheetml/2006/main" count="1014" uniqueCount="279">
  <si>
    <t xml:space="preserve">Gaines principales de ventilation – synthèse par CTA</t>
  </si>
  <si>
    <t xml:space="preserve">EHPAD La Bassée · lot 12 CVC · méthode du CCTP § 2.2.5 (vitesse maxi selon le débit). Détail dans l'onglet « Tronçons ».</t>
  </si>
  <si>
    <t xml:space="preserve">CTA</t>
  </si>
  <si>
    <t xml:space="preserve">Réseau</t>
  </si>
  <si>
    <t xml:space="preserve">Débit CCTP (m³/h)</t>
  </si>
  <si>
    <t xml:space="preserve">Débit calculé (m³/h)</t>
  </si>
  <si>
    <t xml:space="preserve">Écart</t>
  </si>
  <si>
    <t xml:space="preserve">Gaine au départ (L × H mm)</t>
  </si>
  <si>
    <t xml:space="preserve">Vitesse au départ (m/s)</t>
  </si>
  <si>
    <t xml:space="preserve">Nombre de tronçons</t>
  </si>
  <si>
    <t xml:space="preserve">Longueur totale (m)</t>
  </si>
  <si>
    <t xml:space="preserve">Pertes circuit défavorisé (Pa)</t>
  </si>
  <si>
    <t xml:space="preserve">Tronçons trop rapides</t>
  </si>
  <si>
    <t xml:space="preserve">Tronçons trop hauts pour le plénum</t>
  </si>
  <si>
    <t xml:space="preserve">CTA 1</t>
  </si>
  <si>
    <t xml:space="preserve">CTA 1 – zone ouverte aile Nord</t>
  </si>
  <si>
    <t xml:space="preserve">CTA 2</t>
  </si>
  <si>
    <t xml:space="preserve">CTA 2 – zone ouverte aile Sud</t>
  </si>
  <si>
    <t xml:space="preserve">CTA 3</t>
  </si>
  <si>
    <t xml:space="preserve">CTA 3 – zone fermée aile Nord</t>
  </si>
  <si>
    <t xml:space="preserve">CTA 4</t>
  </si>
  <si>
    <t xml:space="preserve">CTA 4 – zone fermée aile Sud</t>
  </si>
  <si>
    <t xml:space="preserve">CTA 5</t>
  </si>
  <si>
    <t xml:space="preserve">CTA 5 – locaux communs</t>
  </si>
  <si>
    <t xml:space="preserve">À retenir</t>
  </si>
  <si>
    <t xml:space="preserve">• CTA 1, 3 et 4 : notre débit (90 m³/h × chambres) tombe exactement sur celui du CCTP. CTA 2 : une chambre de plus (+4 %).</t>
  </si>
  <si>
    <t xml:space="preserve">• CTA 5 : nos minimums réglementaires donnent moins que les 8 800 m³/h du CCTP ; le réseau est dimensionné sur nos débits, à reprendre si on garde 8 800 m³/h (sections × 1,4 environ).</t>
  </si>
  <si>
    <t xml:space="preserve">• Toutes les gaines respectent la vitesse maxi du CCTP et tiennent dans le plénum des couloirs (60 cm).</t>
  </si>
  <si>
    <t xml:space="preserve">• Pertes du circuit défavorisé = réseau seul (sans filtres, batterie, bouches), à ajouter pour choisir la pression des ventilateurs des CTA.</t>
  </si>
  <si>
    <t xml:space="preserve">• À valider : position des gaines techniques sous les CTA ; antenne nord de la CTA 5 au RDC qui traverse le hall en double hauteur.</t>
  </si>
  <si>
    <t xml:space="preserve">Hypothèses de dimensionnement des gaines</t>
  </si>
  <si>
    <t xml:space="preserve">Les cellules en bleu sont des données : on peut les modifier, tout le classeur se recalcule.</t>
  </si>
  <si>
    <t xml:space="preserve">Vitesse maximale selon le débit (CCTP lot 12 § 2.2.5)</t>
  </si>
  <si>
    <t xml:space="preserve">Débit à partir de (m³/h)</t>
  </si>
  <si>
    <t xml:space="preserve">Débit jusqu'à (m³/h)</t>
  </si>
  <si>
    <t xml:space="preserve">Vitesse maxi (m/s)</t>
  </si>
  <si>
    <t xml:space="preserve">Source : CCTP lot 12 § 2.2.5 « Calcul des conduits aérauliques » ; § 4.10.4 : « vitesse d'air basse […] ne devront pas provoquer de bruit d'écoulement ».</t>
  </si>
  <si>
    <t xml:space="preserve">Masse volumique de l'air ρ (kg/m³)</t>
  </si>
  <si>
    <t xml:space="preserve">Air à 20 °C</t>
  </si>
  <si>
    <t xml:space="preserve">Viscosité cinématique ν (m²/s)</t>
  </si>
  <si>
    <t xml:space="preserve">Rugosité de la tôle galvanisée ε (m)</t>
  </si>
  <si>
    <t xml:space="preserve">Valeur courante pour l'acier galvanisé</t>
  </si>
  <si>
    <t xml:space="preserve">Majoration pour pertes singulières (%)</t>
  </si>
  <si>
    <t xml:space="preserve">Hypothèse équipe : coudes, tés et réductions = 50 % des pertes linéaires</t>
  </si>
  <si>
    <t xml:space="preserve">Hauteur de gaine jusqu'à 2 000 m³/h (mm)</t>
  </si>
  <si>
    <t xml:space="preserve">Hypothèse équipe : gaines rectangulaires plates dans le plénum</t>
  </si>
  <si>
    <t xml:space="preserve">Hauteur de gaine de 2 000 à 4 000 m³/h (mm)</t>
  </si>
  <si>
    <t xml:space="preserve">Hypothèse équipe</t>
  </si>
  <si>
    <t xml:space="preserve">Hauteur de gaine au-delà de 4 000 m³/h (mm)</t>
  </si>
  <si>
    <t xml:space="preserve">Largeur minimale (mm)</t>
  </si>
  <si>
    <t xml:space="preserve">Pas des largeurs (mm)</t>
  </si>
  <si>
    <t xml:space="preserve">Dimensions commerciales par pas de 50 mm</t>
  </si>
  <si>
    <t xml:space="preserve">Hauteur libre du plénum des couloirs (mm)</t>
  </si>
  <si>
    <t xml:space="preserve">Maquette : faux plafond 2,50 / 5,86 m, sous-face de dalle 3,16 / 6,52 m</t>
  </si>
  <si>
    <t xml:space="preserve">• Tracé : de la CTA (toiture) à une gaine technique verticale sous la CTA, puis en faux plafond le long des couloirs. Position des gaines techniques = hypothèse équipe, à valider avec l'architecte (pas de plan CVC dans le DCE).</t>
  </si>
  <si>
    <t xml:space="preserve">• Débits : 90 m³/h soufflés par chambre et 90 m³/h repris par salle de bains (CCTP § 2.2 et § 4.10) ; locaux communs : onglet « Débits par local » du fichier des débits.</t>
  </si>
  <si>
    <t xml:space="preserve">• La reprise suit le même tracé que le soufflage, à côté, avec les mêmes débits : mêmes sections. CTA 5 : reprise supposée égale au soufflage (double flux équilibré, hypothèse équipe).</t>
  </si>
  <si>
    <t xml:space="preserve">• Chaque tronçon va d'un piquage au suivant : son débit = somme des locaux desservis en aval.</t>
  </si>
  <si>
    <t xml:space="preserve">• Pertes de charge linéaires : formule de Darcy, coefficient λ de Swamee-Jain, diamètre équivalent des gaines rectangulaires De = 1,3·(a·b)^0,625 / (a+b)^0,25.</t>
  </si>
  <si>
    <t xml:space="preserve">Dimensionnement des gaines principales, tronçon par tronçon (soufflage ; reprise identique)</t>
  </si>
  <si>
    <t xml:space="preserve">Débit en bleu = donnée (somme des locaux en aval). Le reste est calculé. X = tronçon du circuit le plus défavorisé.</t>
  </si>
  <si>
    <t xml:space="preserve">Repère</t>
  </si>
  <si>
    <t xml:space="preserve">Niveau</t>
  </si>
  <si>
    <t xml:space="preserve">Type</t>
  </si>
  <si>
    <t xml:space="preserve">Branche</t>
  </si>
  <si>
    <t xml:space="preserve">Ce que dessert le tronçon (fin de tronçon)</t>
  </si>
  <si>
    <t xml:space="preserve">Longueur (m)</t>
  </si>
  <si>
    <t xml:space="preserve">Débit (m³/h)</t>
  </si>
  <si>
    <t xml:space="preserve">Vitesse maxi CCTP (m/s)</t>
  </si>
  <si>
    <t xml:space="preserve">Section mini (m²)</t>
  </si>
  <si>
    <t xml:space="preserve">Hauteur H (mm)</t>
  </si>
  <si>
    <t xml:space="preserve">Largeur L (mm)</t>
  </si>
  <si>
    <t xml:space="preserve">Section réelle (m²)</t>
  </si>
  <si>
    <t xml:space="preserve">Vitesse réelle (m/s)</t>
  </si>
  <si>
    <t xml:space="preserve">Vitesse OK ?</t>
  </si>
  <si>
    <t xml:space="preserve">Diamètre équivalent (m)</t>
  </si>
  <si>
    <t xml:space="preserve">Reynolds</t>
  </si>
  <si>
    <t xml:space="preserve">λ</t>
  </si>
  <si>
    <t xml:space="preserve">Perte linéaire (Pa/m)</t>
  </si>
  <si>
    <t xml:space="preserve">Pertes du tronçon (Pa)</t>
  </si>
  <si>
    <t xml:space="preserve">Circuit défavorisé</t>
  </si>
  <si>
    <t xml:space="preserve">Passe dans le plénum ?</t>
  </si>
  <si>
    <t xml:space="preserve">CTA1-01</t>
  </si>
  <si>
    <t xml:space="preserve">Toiture</t>
  </si>
  <si>
    <t xml:space="preserve">Toiture (CTA → gaine)</t>
  </si>
  <si>
    <t xml:space="preserve">principal</t>
  </si>
  <si>
    <t xml:space="preserve">Sortie CTA → tête de gaine technique (toiture)</t>
  </si>
  <si>
    <t xml:space="preserve">X</t>
  </si>
  <si>
    <t xml:space="preserve">–</t>
  </si>
  <si>
    <t xml:space="preserve">CTA1-02</t>
  </si>
  <si>
    <t xml:space="preserve">N01</t>
  </si>
  <si>
    <t xml:space="preserve">Gaine technique verticale</t>
  </si>
  <si>
    <t xml:space="preserve">Gaine technique : toiture → plénum étage</t>
  </si>
  <si>
    <t xml:space="preserve">CTA1-03</t>
  </si>
  <si>
    <t xml:space="preserve">N00</t>
  </si>
  <si>
    <t xml:space="preserve">Gaine technique : étage → plénum RDC</t>
  </si>
  <si>
    <t xml:space="preserve">CTA1-04</t>
  </si>
  <si>
    <t xml:space="preserve">Faux plafond couloir</t>
  </si>
  <si>
    <t xml:space="preserve">HEB01 chambre</t>
  </si>
  <si>
    <t xml:space="preserve">CTA1-05</t>
  </si>
  <si>
    <t xml:space="preserve">CTA1-06</t>
  </si>
  <si>
    <t xml:space="preserve">CTA1-07</t>
  </si>
  <si>
    <t xml:space="preserve">CTA1-08</t>
  </si>
  <si>
    <t xml:space="preserve">CTA1-09</t>
  </si>
  <si>
    <t xml:space="preserve">HEB01 ch. couple</t>
  </si>
  <si>
    <t xml:space="preserve">CTA1-10</t>
  </si>
  <si>
    <t xml:space="preserve">CTA1-11</t>
  </si>
  <si>
    <t xml:space="preserve">CTA1-12</t>
  </si>
  <si>
    <t xml:space="preserve">CTA1-13</t>
  </si>
  <si>
    <t xml:space="preserve">CTA1-14</t>
  </si>
  <si>
    <t xml:space="preserve">CTA1-15</t>
  </si>
  <si>
    <t xml:space="preserve">CTA1-16</t>
  </si>
  <si>
    <t xml:space="preserve">CTA1-17</t>
  </si>
  <si>
    <t xml:space="preserve">CTA1-18</t>
  </si>
  <si>
    <t xml:space="preserve">CTA1-19</t>
  </si>
  <si>
    <t xml:space="preserve">CTA1-20</t>
  </si>
  <si>
    <t xml:space="preserve">CTA1-21</t>
  </si>
  <si>
    <t xml:space="preserve">CTA1-22</t>
  </si>
  <si>
    <t xml:space="preserve">CTA1-23</t>
  </si>
  <si>
    <t xml:space="preserve">CTA1-24</t>
  </si>
  <si>
    <t xml:space="preserve">CTA1-25</t>
  </si>
  <si>
    <t xml:space="preserve">CTA1-26</t>
  </si>
  <si>
    <t xml:space="preserve">CTA1-27</t>
  </si>
  <si>
    <t xml:space="preserve">CTA1-28</t>
  </si>
  <si>
    <t xml:space="preserve">CTA1-29</t>
  </si>
  <si>
    <t xml:space="preserve">CTA1-30</t>
  </si>
  <si>
    <t xml:space="preserve">CTA1-31</t>
  </si>
  <si>
    <t xml:space="preserve">CTA1-32</t>
  </si>
  <si>
    <t xml:space="preserve">CTA1-33</t>
  </si>
  <si>
    <t xml:space="preserve">CTA2-01</t>
  </si>
  <si>
    <t xml:space="preserve">CTA2-02</t>
  </si>
  <si>
    <t xml:space="preserve">CTA2-03</t>
  </si>
  <si>
    <t xml:space="preserve">CTA2-04</t>
  </si>
  <si>
    <t xml:space="preserve">CTA2-05</t>
  </si>
  <si>
    <t xml:space="preserve">CTA2-06</t>
  </si>
  <si>
    <t xml:space="preserve">CTA2-07</t>
  </si>
  <si>
    <t xml:space="preserve">CTA2-08</t>
  </si>
  <si>
    <t xml:space="preserve">CTA2-09</t>
  </si>
  <si>
    <t xml:space="preserve">CTA2-10</t>
  </si>
  <si>
    <t xml:space="preserve">HEB01 ch. bariatrique</t>
  </si>
  <si>
    <t xml:space="preserve">CTA2-11</t>
  </si>
  <si>
    <t xml:space="preserve">CTA2-12</t>
  </si>
  <si>
    <t xml:space="preserve">CTA2-13</t>
  </si>
  <si>
    <t xml:space="preserve">CTA2-14</t>
  </si>
  <si>
    <t xml:space="preserve">HEB1180 chambre</t>
  </si>
  <si>
    <t xml:space="preserve">CTA2-15</t>
  </si>
  <si>
    <t xml:space="preserve">CTA2-16</t>
  </si>
  <si>
    <t xml:space="preserve">CTA2-17</t>
  </si>
  <si>
    <t xml:space="preserve">CTA2-18</t>
  </si>
  <si>
    <t xml:space="preserve">CTA2-19</t>
  </si>
  <si>
    <t xml:space="preserve">CTA2-20</t>
  </si>
  <si>
    <t xml:space="preserve">CTA2-21</t>
  </si>
  <si>
    <t xml:space="preserve">CTA2-22</t>
  </si>
  <si>
    <t xml:space="preserve">CTA2-23</t>
  </si>
  <si>
    <t xml:space="preserve">CTA2-24</t>
  </si>
  <si>
    <t xml:space="preserve">CTA2-25</t>
  </si>
  <si>
    <t xml:space="preserve">CTA2-26</t>
  </si>
  <si>
    <t xml:space="preserve">CTA2-27</t>
  </si>
  <si>
    <t xml:space="preserve">CTA2-28</t>
  </si>
  <si>
    <t xml:space="preserve">CTA2-29</t>
  </si>
  <si>
    <t xml:space="preserve">CTA2-30</t>
  </si>
  <si>
    <t xml:space="preserve">CTA2-31</t>
  </si>
  <si>
    <t xml:space="preserve">HEB01 ch. bariatrique, HEB01 chambre</t>
  </si>
  <si>
    <t xml:space="preserve">CTA3-01</t>
  </si>
  <si>
    <t xml:space="preserve">CTA3-02</t>
  </si>
  <si>
    <t xml:space="preserve">CTA3-03</t>
  </si>
  <si>
    <t xml:space="preserve">CTA3-04</t>
  </si>
  <si>
    <t xml:space="preserve">CTA3-05</t>
  </si>
  <si>
    <t xml:space="preserve">CTA3-06</t>
  </si>
  <si>
    <t xml:space="preserve">CTA3-07</t>
  </si>
  <si>
    <t xml:space="preserve">CTA3-08</t>
  </si>
  <si>
    <t xml:space="preserve">CTA3-09</t>
  </si>
  <si>
    <t xml:space="preserve">CTA3-10</t>
  </si>
  <si>
    <t xml:space="preserve">CTA3-11</t>
  </si>
  <si>
    <t xml:space="preserve">CTA3-12</t>
  </si>
  <si>
    <t xml:space="preserve">CTA3-13</t>
  </si>
  <si>
    <t xml:space="preserve">CTA3-14</t>
  </si>
  <si>
    <t xml:space="preserve">CTA3-15</t>
  </si>
  <si>
    <t xml:space="preserve">CTA4-01</t>
  </si>
  <si>
    <t xml:space="preserve">CTA4-02</t>
  </si>
  <si>
    <t xml:space="preserve">CTA4-03</t>
  </si>
  <si>
    <t xml:space="preserve">CTA4-04</t>
  </si>
  <si>
    <t xml:space="preserve">CTA4-05</t>
  </si>
  <si>
    <t xml:space="preserve">CTA4-06</t>
  </si>
  <si>
    <t xml:space="preserve">CTA4-07</t>
  </si>
  <si>
    <t xml:space="preserve">CTA4-08</t>
  </si>
  <si>
    <t xml:space="preserve">CTA4-09</t>
  </si>
  <si>
    <t xml:space="preserve">CTA4-10</t>
  </si>
  <si>
    <t xml:space="preserve">CTA4-11</t>
  </si>
  <si>
    <t xml:space="preserve">CTA4-12</t>
  </si>
  <si>
    <t xml:space="preserve">CTA4-13</t>
  </si>
  <si>
    <t xml:space="preserve">CTA4-14</t>
  </si>
  <si>
    <t xml:space="preserve">CTA4-15</t>
  </si>
  <si>
    <t xml:space="preserve">CTA4-16</t>
  </si>
  <si>
    <t xml:space="preserve">CTA5-01</t>
  </si>
  <si>
    <t xml:space="preserve">CTA5-02</t>
  </si>
  <si>
    <t xml:space="preserve">CTA5-03</t>
  </si>
  <si>
    <t xml:space="preserve">CTA5-04</t>
  </si>
  <si>
    <t xml:space="preserve">BUR01 bur. ben.</t>
  </si>
  <si>
    <t xml:space="preserve">CTA5-05</t>
  </si>
  <si>
    <t xml:space="preserve">SOI03 soins</t>
  </si>
  <si>
    <t xml:space="preserve">CTA5-06</t>
  </si>
  <si>
    <t xml:space="preserve">LOG02 chariots</t>
  </si>
  <si>
    <t xml:space="preserve">CTA5-07</t>
  </si>
  <si>
    <t xml:space="preserve">BUR01 convivialité</t>
  </si>
  <si>
    <t xml:space="preserve">CTA5-08</t>
  </si>
  <si>
    <t xml:space="preserve">BUR01 bur. poly.</t>
  </si>
  <si>
    <t xml:space="preserve">CTA5-09</t>
  </si>
  <si>
    <t xml:space="preserve">BUR02 pc médical</t>
  </si>
  <si>
    <t xml:space="preserve">CTA5-10</t>
  </si>
  <si>
    <t xml:space="preserve">VIE05 rééducation</t>
  </si>
  <si>
    <t xml:space="preserve">CTA5-11</t>
  </si>
  <si>
    <t xml:space="preserve">SOI01 pc ide</t>
  </si>
  <si>
    <t xml:space="preserve">CTA5-12</t>
  </si>
  <si>
    <t xml:space="preserve">SOI02 prépa.</t>
  </si>
  <si>
    <t xml:space="preserve">CTA5-13</t>
  </si>
  <si>
    <t xml:space="preserve">BUR01 bur. cadre</t>
  </si>
  <si>
    <t xml:space="preserve">CTA5-14</t>
  </si>
  <si>
    <t xml:space="preserve">SOI05 transmissions</t>
  </si>
  <si>
    <t xml:space="preserve">CTA5-15</t>
  </si>
  <si>
    <t xml:space="preserve">LOG02 stock</t>
  </si>
  <si>
    <t xml:space="preserve">CTA5-16</t>
  </si>
  <si>
    <t xml:space="preserve">BUR02 accueil</t>
  </si>
  <si>
    <t xml:space="preserve">CTA5-17</t>
  </si>
  <si>
    <t xml:space="preserve">CTA5-18</t>
  </si>
  <si>
    <t xml:space="preserve">antenne 1</t>
  </si>
  <si>
    <t xml:space="preserve">CTA5-19</t>
  </si>
  <si>
    <t xml:space="preserve">antenne 2</t>
  </si>
  <si>
    <t xml:space="preserve">CTA5-20</t>
  </si>
  <si>
    <t xml:space="preserve">LOG02 stock anim.</t>
  </si>
  <si>
    <t xml:space="preserve">CTA5-21</t>
  </si>
  <si>
    <t xml:space="preserve">LOG02 boi.</t>
  </si>
  <si>
    <t xml:space="preserve">CTA5-22</t>
  </si>
  <si>
    <t xml:space="preserve">VIE04 famille, VIE02 salle à manger</t>
  </si>
  <si>
    <t xml:space="preserve">CTA5-23</t>
  </si>
  <si>
    <t xml:space="preserve">BUR01 bur. mut.</t>
  </si>
  <si>
    <t xml:space="preserve">CTA5-24</t>
  </si>
  <si>
    <t xml:space="preserve">LOG10 vêtements</t>
  </si>
  <si>
    <t xml:space="preserve">CTA5-25</t>
  </si>
  <si>
    <t xml:space="preserve">antenne</t>
  </si>
  <si>
    <t xml:space="preserve">CTA5-26</t>
  </si>
  <si>
    <t xml:space="preserve">BUR02A b. animation</t>
  </si>
  <si>
    <t xml:space="preserve">CTA5-27</t>
  </si>
  <si>
    <t xml:space="preserve">VIE06 coiffure</t>
  </si>
  <si>
    <t xml:space="preserve">CTA5-28</t>
  </si>
  <si>
    <t xml:space="preserve">LOG02 chariots, LOG06 linge P, LOG03 réserve magasin, LOG02 stock</t>
  </si>
  <si>
    <t xml:space="preserve">CTA5-29</t>
  </si>
  <si>
    <t xml:space="preserve">LOG06 linge P</t>
  </si>
  <si>
    <t xml:space="preserve">CTA5-30</t>
  </si>
  <si>
    <t xml:space="preserve">EXT03 espaces verts</t>
  </si>
  <si>
    <t xml:space="preserve">CTA5-31</t>
  </si>
  <si>
    <t xml:space="preserve">LOG09 atelier</t>
  </si>
  <si>
    <t xml:space="preserve">CTA5-32</t>
  </si>
  <si>
    <t xml:space="preserve">EXT02 mat. jardin</t>
  </si>
  <si>
    <t xml:space="preserve">CTA5-33</t>
  </si>
  <si>
    <t xml:space="preserve">LOG02 réserve centrale</t>
  </si>
  <si>
    <t xml:space="preserve">CTA5-34</t>
  </si>
  <si>
    <t xml:space="preserve">LOG03 stock mat.</t>
  </si>
  <si>
    <t xml:space="preserve">CTA5-35</t>
  </si>
  <si>
    <t xml:space="preserve">CTA5-36</t>
  </si>
  <si>
    <t xml:space="preserve">LOG03 réserve matériel</t>
  </si>
  <si>
    <t xml:space="preserve">CTA5-37</t>
  </si>
  <si>
    <t xml:space="preserve">LOG03 réserve magasin</t>
  </si>
  <si>
    <t xml:space="preserve">CTA5-38</t>
  </si>
  <si>
    <t xml:space="preserve">HEB03 salle à manger salon</t>
  </si>
  <si>
    <t xml:space="preserve">CTA5-39</t>
  </si>
  <si>
    <t xml:space="preserve">CTA5-40</t>
  </si>
  <si>
    <t xml:space="preserve">BUR06 bureau</t>
  </si>
  <si>
    <t xml:space="preserve">CTA5-41</t>
  </si>
  <si>
    <t xml:space="preserve">CTA5-42</t>
  </si>
  <si>
    <t xml:space="preserve">CTA5-43</t>
  </si>
  <si>
    <t xml:space="preserve">LOG04 linge P</t>
  </si>
  <si>
    <t xml:space="preserve">CTA5-44</t>
  </si>
  <si>
    <t xml:space="preserve">CTA5-45</t>
  </si>
  <si>
    <t xml:space="preserve">CTA5-46</t>
  </si>
  <si>
    <t xml:space="preserve">CTA5-47</t>
  </si>
  <si>
    <t xml:space="preserve">HEB04 salle à manger</t>
  </si>
  <si>
    <t xml:space="preserve">CTA5-48</t>
  </si>
  <si>
    <t xml:space="preserve">LOG02 chariots, DET01 détente, LOG06 linge P, LOG03 réserve magasin</t>
  </si>
</sst>
</file>

<file path=xl/styles.xml><?xml version="1.0" encoding="utf-8"?>
<styleSheet xmlns="http://schemas.openxmlformats.org/spreadsheetml/2006/main">
  <numFmts count="11">
    <numFmt numFmtId="164" formatCode="General"/>
    <numFmt numFmtId="165" formatCode="#,##0"/>
    <numFmt numFmtId="166" formatCode="\+0%;\-0%;0%"/>
    <numFmt numFmtId="167" formatCode="0.00"/>
    <numFmt numFmtId="168" formatCode="0"/>
    <numFmt numFmtId="169" formatCode="0.0E+00"/>
    <numFmt numFmtId="170" formatCode="0.00000"/>
    <numFmt numFmtId="171" formatCode="0%"/>
    <numFmt numFmtId="172" formatCode="0.0"/>
    <numFmt numFmtId="173" formatCode="0.000"/>
    <numFmt numFmtId="174" formatCode="0.0000"/>
  </numFmts>
  <fonts count="10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4E79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00FF"/>
      <name val="Arial"/>
      <family val="0"/>
      <charset val="1"/>
    </font>
    <font>
      <sz val="10"/>
      <name val="Arial"/>
      <family val="0"/>
      <charset val="1"/>
    </font>
    <font>
      <sz val="10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DCE6F1"/>
        <bgColor rgb="FFCCFFFF"/>
      </patternFill>
    </fill>
    <fill>
      <patternFill patternType="solid">
        <fgColor rgb="FFFFF2CC"/>
        <bgColor rgb="FFFFFFFF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6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1" xfId="0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1" fontId="7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2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3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DCE6F1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CE6F1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comments" Target="../comments1.xml"/><Relationship Id="rId2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drawing" Target="../drawings/drawing1.xml"/><Relationship Id="rId3" Type="http://schemas.openxmlformats.org/officeDocument/2006/relationships/vmlDrawing" Target="../drawings/vmlDrawing2.v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32"/>
    <col collapsed="false" customWidth="true" hidden="false" outlineLevel="0" max="4" min="3" style="0" width="11"/>
    <col collapsed="false" customWidth="true" hidden="false" outlineLevel="0" max="5" min="5" style="0" width="8"/>
    <col collapsed="false" customWidth="true" hidden="false" outlineLevel="0" max="6" min="6" style="0" width="14"/>
    <col collapsed="false" customWidth="true" hidden="false" outlineLevel="0" max="9" min="7" style="0" width="10"/>
    <col collapsed="false" customWidth="true" hidden="false" outlineLevel="0" max="10" min="10" style="0" width="13"/>
    <col collapsed="false" customWidth="true" hidden="false" outlineLevel="0" max="11" min="11" style="0" width="11"/>
    <col collapsed="false" customWidth="true" hidden="false" outlineLevel="0" max="12" min="12" style="0" width="13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43.5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 t="s">
        <v>6</v>
      </c>
      <c r="F4" s="3" t="s">
        <v>7</v>
      </c>
      <c r="G4" s="3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</row>
    <row r="5" customFormat="false" ht="15" hidden="false" customHeight="false" outlineLevel="0" collapsed="false">
      <c r="A5" s="4" t="s">
        <v>14</v>
      </c>
      <c r="B5" s="5" t="s">
        <v>15</v>
      </c>
      <c r="C5" s="6" t="n">
        <v>2520</v>
      </c>
      <c r="D5" s="7" t="n">
        <f aca="false">Tronçons!H5</f>
        <v>2520</v>
      </c>
      <c r="E5" s="8" t="n">
        <f aca="false">IF(C5&gt;0,D5/C5-1,"")</f>
        <v>0</v>
      </c>
      <c r="F5" s="5" t="str">
        <f aca="false">Tronçons!L5&amp;" × "&amp;Tronçons!K5</f>
        <v>450 × 300</v>
      </c>
      <c r="G5" s="9" t="n">
        <f aca="false">Tronçons!N5</f>
        <v>5.18518518518518</v>
      </c>
      <c r="H5" s="5" t="n">
        <f aca="false">COUNTIF(Tronçons!$A$5:$A$147,A5)</f>
        <v>33</v>
      </c>
      <c r="I5" s="10" t="n">
        <f aca="false">SUMIF(Tronçons!$A$5:$A$147,A5,Tronçons!$G$5:$G$147)</f>
        <v>61.49</v>
      </c>
      <c r="J5" s="10" t="n">
        <f aca="false">SUMIFS(Tronçons!$T$5:$T$147,Tronçons!$A$5:$A$147,A5,Tronçons!$U$5:$U$147,"X")</f>
        <v>19.8434804553539</v>
      </c>
      <c r="K5" s="5" t="n">
        <f aca="false">COUNTIFS(Tronçons!$A$5:$A$147,A5,Tronçons!$O$5:$O$147,"NON")</f>
        <v>0</v>
      </c>
      <c r="L5" s="5" t="n">
        <f aca="false">COUNTIFS(Tronçons!$A$5:$A$147,A5,Tronçons!$V$5:$V$147,"NON")</f>
        <v>0</v>
      </c>
    </row>
    <row r="6" customFormat="false" ht="15" hidden="false" customHeight="false" outlineLevel="0" collapsed="false">
      <c r="A6" s="4" t="s">
        <v>16</v>
      </c>
      <c r="B6" s="5" t="s">
        <v>17</v>
      </c>
      <c r="C6" s="6" t="n">
        <v>2330</v>
      </c>
      <c r="D6" s="7" t="n">
        <f aca="false">Tronçons!H38</f>
        <v>2430</v>
      </c>
      <c r="E6" s="8" t="n">
        <f aca="false">IF(C6&gt;0,D6/C6-1,"")</f>
        <v>0.0429184549356223</v>
      </c>
      <c r="F6" s="5" t="str">
        <f aca="false">Tronçons!L38&amp;" × "&amp;Tronçons!K38</f>
        <v>450 × 300</v>
      </c>
      <c r="G6" s="9" t="n">
        <f aca="false">Tronçons!N38</f>
        <v>5</v>
      </c>
      <c r="H6" s="5" t="n">
        <f aca="false">COUNTIF(Tronçons!$A$5:$A$147,A6)</f>
        <v>31</v>
      </c>
      <c r="I6" s="10" t="n">
        <f aca="false">SUMIF(Tronçons!$A$5:$A$147,A6,Tronçons!$G$5:$G$147)</f>
        <v>59.1</v>
      </c>
      <c r="J6" s="10" t="n">
        <f aca="false">SUMIFS(Tronçons!$T$5:$T$147,Tronçons!$A$5:$A$147,A6,Tronçons!$U$5:$U$147,"X")</f>
        <v>18.5806874995677</v>
      </c>
      <c r="K6" s="5" t="n">
        <f aca="false">COUNTIFS(Tronçons!$A$5:$A$147,A6,Tronçons!$O$5:$O$147,"NON")</f>
        <v>0</v>
      </c>
      <c r="L6" s="5" t="n">
        <f aca="false">COUNTIFS(Tronçons!$A$5:$A$147,A6,Tronçons!$V$5:$V$147,"NON")</f>
        <v>0</v>
      </c>
    </row>
    <row r="7" customFormat="false" ht="15" hidden="false" customHeight="false" outlineLevel="0" collapsed="false">
      <c r="A7" s="4" t="s">
        <v>18</v>
      </c>
      <c r="B7" s="5" t="s">
        <v>19</v>
      </c>
      <c r="C7" s="6" t="n">
        <v>1170</v>
      </c>
      <c r="D7" s="7" t="n">
        <f aca="false">Tronçons!H69</f>
        <v>1170</v>
      </c>
      <c r="E7" s="8" t="n">
        <f aca="false">IF(C7&gt;0,D7/C7-1,"")</f>
        <v>0</v>
      </c>
      <c r="F7" s="5" t="str">
        <f aca="false">Tronçons!L69&amp;" × "&amp;Tronçons!K69</f>
        <v>300 × 250</v>
      </c>
      <c r="G7" s="9" t="n">
        <f aca="false">Tronçons!N69</f>
        <v>4.33333333333333</v>
      </c>
      <c r="H7" s="5" t="n">
        <f aca="false">COUNTIF(Tronçons!$A$5:$A$147,A7)</f>
        <v>15</v>
      </c>
      <c r="I7" s="10" t="n">
        <f aca="false">SUMIF(Tronçons!$A$5:$A$147,A7,Tronçons!$G$5:$G$147)</f>
        <v>34.18</v>
      </c>
      <c r="J7" s="10" t="n">
        <f aca="false">SUMIFS(Tronçons!$T$5:$T$147,Tronçons!$A$5:$A$147,A7,Tronçons!$U$5:$U$147,"X")</f>
        <v>22.8968754056983</v>
      </c>
      <c r="K7" s="5" t="n">
        <f aca="false">COUNTIFS(Tronçons!$A$5:$A$147,A7,Tronçons!$O$5:$O$147,"NON")</f>
        <v>0</v>
      </c>
      <c r="L7" s="5" t="n">
        <f aca="false">COUNTIFS(Tronçons!$A$5:$A$147,A7,Tronçons!$V$5:$V$147,"NON")</f>
        <v>0</v>
      </c>
    </row>
    <row r="8" customFormat="false" ht="15" hidden="false" customHeight="false" outlineLevel="0" collapsed="false">
      <c r="A8" s="4" t="s">
        <v>20</v>
      </c>
      <c r="B8" s="5" t="s">
        <v>21</v>
      </c>
      <c r="C8" s="6" t="n">
        <v>1170</v>
      </c>
      <c r="D8" s="7" t="n">
        <f aca="false">Tronçons!H84</f>
        <v>1170</v>
      </c>
      <c r="E8" s="8" t="n">
        <f aca="false">IF(C8&gt;0,D8/C8-1,"")</f>
        <v>0</v>
      </c>
      <c r="F8" s="5" t="str">
        <f aca="false">Tronçons!L84&amp;" × "&amp;Tronçons!K84</f>
        <v>300 × 250</v>
      </c>
      <c r="G8" s="9" t="n">
        <f aca="false">Tronçons!N84</f>
        <v>4.33333333333333</v>
      </c>
      <c r="H8" s="5" t="n">
        <f aca="false">COUNTIF(Tronçons!$A$5:$A$147,A8)</f>
        <v>16</v>
      </c>
      <c r="I8" s="10" t="n">
        <f aca="false">SUMIF(Tronçons!$A$5:$A$147,A8,Tronçons!$G$5:$G$147)</f>
        <v>31.76</v>
      </c>
      <c r="J8" s="10" t="n">
        <f aca="false">SUMIFS(Tronçons!$T$5:$T$147,Tronçons!$A$5:$A$147,A8,Tronçons!$U$5:$U$147,"X")</f>
        <v>25.8395505888153</v>
      </c>
      <c r="K8" s="5" t="n">
        <f aca="false">COUNTIFS(Tronçons!$A$5:$A$147,A8,Tronçons!$O$5:$O$147,"NON")</f>
        <v>0</v>
      </c>
      <c r="L8" s="5" t="n">
        <f aca="false">COUNTIFS(Tronçons!$A$5:$A$147,A8,Tronçons!$V$5:$V$147,"NON")</f>
        <v>0</v>
      </c>
    </row>
    <row r="9" customFormat="false" ht="15" hidden="false" customHeight="false" outlineLevel="0" collapsed="false">
      <c r="A9" s="4" t="s">
        <v>22</v>
      </c>
      <c r="B9" s="5" t="s">
        <v>23</v>
      </c>
      <c r="C9" s="6" t="n">
        <v>8800</v>
      </c>
      <c r="D9" s="7" t="n">
        <f aca="false">Tronçons!H100</f>
        <v>6123</v>
      </c>
      <c r="E9" s="8" t="n">
        <f aca="false">IF(C9&gt;0,D9/C9-1,"")</f>
        <v>-0.304204545454545</v>
      </c>
      <c r="F9" s="5" t="str">
        <f aca="false">Tronçons!L100&amp;" × "&amp;Tronçons!K100</f>
        <v>700 × 400</v>
      </c>
      <c r="G9" s="9" t="n">
        <f aca="false">Tronçons!N100</f>
        <v>6.07440476190476</v>
      </c>
      <c r="H9" s="5" t="n">
        <f aca="false">COUNTIF(Tronçons!$A$5:$A$147,A9)</f>
        <v>48</v>
      </c>
      <c r="I9" s="10" t="n">
        <f aca="false">SUMIF(Tronçons!$A$5:$A$147,A9,Tronçons!$G$5:$G$147)</f>
        <v>147.93</v>
      </c>
      <c r="J9" s="10" t="n">
        <f aca="false">SUMIFS(Tronçons!$T$5:$T$147,Tronçons!$A$5:$A$147,A9,Tronçons!$U$5:$U$147,"X")</f>
        <v>49.4031507447305</v>
      </c>
      <c r="K9" s="5" t="n">
        <f aca="false">COUNTIFS(Tronçons!$A$5:$A$147,A9,Tronçons!$O$5:$O$147,"NON")</f>
        <v>0</v>
      </c>
      <c r="L9" s="5" t="n">
        <f aca="false">COUNTIFS(Tronçons!$A$5:$A$147,A9,Tronçons!$V$5:$V$147,"NON")</f>
        <v>0</v>
      </c>
    </row>
    <row r="11" customFormat="false" ht="15" hidden="false" customHeight="false" outlineLevel="0" collapsed="false">
      <c r="A11" s="11" t="s">
        <v>24</v>
      </c>
    </row>
    <row r="12" customFormat="false" ht="15" hidden="false" customHeight="false" outlineLevel="0" collapsed="false">
      <c r="A12" s="12" t="s">
        <v>25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</row>
    <row r="13" customFormat="false" ht="15" hidden="false" customHeight="false" outlineLevel="0" collapsed="false">
      <c r="A13" s="12" t="s">
        <v>26</v>
      </c>
      <c r="B13" s="12"/>
      <c r="C13" s="12"/>
      <c r="D13" s="12"/>
      <c r="E13" s="12"/>
      <c r="F13" s="12"/>
      <c r="G13" s="12"/>
      <c r="H13" s="12"/>
      <c r="I13" s="12"/>
      <c r="J13" s="12"/>
      <c r="K13" s="12"/>
      <c r="L13" s="12"/>
    </row>
    <row r="14" customFormat="false" ht="15" hidden="false" customHeight="false" outlineLevel="0" collapsed="false">
      <c r="A14" s="12" t="s">
        <v>27</v>
      </c>
      <c r="B14" s="12"/>
      <c r="C14" s="12"/>
      <c r="D14" s="12"/>
      <c r="E14" s="12"/>
      <c r="F14" s="12"/>
      <c r="G14" s="12"/>
      <c r="H14" s="12"/>
      <c r="I14" s="12"/>
      <c r="J14" s="12"/>
      <c r="K14" s="12"/>
      <c r="L14" s="12"/>
    </row>
    <row r="15" customFormat="false" ht="15" hidden="false" customHeight="false" outlineLevel="0" collapsed="false">
      <c r="A15" s="12" t="s">
        <v>28</v>
      </c>
      <c r="B15" s="12"/>
      <c r="C15" s="12"/>
      <c r="D15" s="12"/>
      <c r="E15" s="12"/>
      <c r="F15" s="12"/>
      <c r="G15" s="12"/>
      <c r="H15" s="12"/>
      <c r="I15" s="12"/>
      <c r="J15" s="12"/>
      <c r="K15" s="12"/>
      <c r="L15" s="12"/>
    </row>
    <row r="16" customFormat="false" ht="15" hidden="false" customHeight="false" outlineLevel="0" collapsed="false">
      <c r="A16" s="12" t="s">
        <v>29</v>
      </c>
      <c r="B16" s="12"/>
      <c r="C16" s="12"/>
      <c r="D16" s="12"/>
      <c r="E16" s="12"/>
      <c r="F16" s="12"/>
      <c r="G16" s="12"/>
      <c r="H16" s="12"/>
      <c r="I16" s="12"/>
      <c r="J16" s="12"/>
      <c r="K16" s="12"/>
      <c r="L16" s="12"/>
    </row>
  </sheetData>
  <mergeCells count="5">
    <mergeCell ref="A12:L12"/>
    <mergeCell ref="A13:L13"/>
    <mergeCell ref="A14:L14"/>
    <mergeCell ref="A15:L15"/>
    <mergeCell ref="A16:L1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7.35" hidden="false" customHeight="false" outlineLevel="0" collapsed="false">
      <c r="A1" s="1" t="s">
        <v>30</v>
      </c>
    </row>
    <row r="2" customFormat="false" ht="15" hidden="false" customHeight="false" outlineLevel="0" collapsed="false">
      <c r="A2" s="2" t="s">
        <v>31</v>
      </c>
    </row>
    <row r="4" customFormat="false" ht="15" hidden="false" customHeight="false" outlineLevel="0" collapsed="false">
      <c r="A4" s="11" t="s">
        <v>32</v>
      </c>
    </row>
    <row r="5" customFormat="false" ht="15" hidden="false" customHeight="false" outlineLevel="0" collapsed="false">
      <c r="A5" s="13" t="s">
        <v>33</v>
      </c>
      <c r="B5" s="13" t="s">
        <v>34</v>
      </c>
      <c r="C5" s="13" t="s">
        <v>35</v>
      </c>
    </row>
    <row r="6" customFormat="false" ht="15" hidden="false" customHeight="false" outlineLevel="0" collapsed="false">
      <c r="A6" s="6" t="n">
        <v>0</v>
      </c>
      <c r="B6" s="6" t="n">
        <v>300</v>
      </c>
      <c r="C6" s="14" t="n">
        <v>3</v>
      </c>
    </row>
    <row r="7" customFormat="false" ht="15" hidden="false" customHeight="false" outlineLevel="0" collapsed="false">
      <c r="A7" s="6" t="n">
        <v>300.001</v>
      </c>
      <c r="B7" s="6" t="n">
        <v>550</v>
      </c>
      <c r="C7" s="14" t="n">
        <v>3.5</v>
      </c>
    </row>
    <row r="8" customFormat="false" ht="15" hidden="false" customHeight="false" outlineLevel="0" collapsed="false">
      <c r="A8" s="6" t="n">
        <v>550.001</v>
      </c>
      <c r="B8" s="6" t="n">
        <v>800</v>
      </c>
      <c r="C8" s="14" t="n">
        <v>4</v>
      </c>
    </row>
    <row r="9" customFormat="false" ht="15" hidden="false" customHeight="false" outlineLevel="0" collapsed="false">
      <c r="A9" s="6" t="n">
        <v>800.001</v>
      </c>
      <c r="B9" s="6" t="n">
        <v>1500</v>
      </c>
      <c r="C9" s="14" t="n">
        <v>4.5</v>
      </c>
    </row>
    <row r="10" customFormat="false" ht="15" hidden="false" customHeight="false" outlineLevel="0" collapsed="false">
      <c r="A10" s="6" t="n">
        <v>1500.001</v>
      </c>
      <c r="B10" s="6" t="n">
        <v>2000</v>
      </c>
      <c r="C10" s="14" t="n">
        <v>5</v>
      </c>
    </row>
    <row r="11" customFormat="false" ht="15" hidden="false" customHeight="false" outlineLevel="0" collapsed="false">
      <c r="A11" s="6" t="n">
        <v>2000.001</v>
      </c>
      <c r="B11" s="6" t="n">
        <v>4000</v>
      </c>
      <c r="C11" s="14" t="n">
        <v>5.5</v>
      </c>
    </row>
    <row r="12" customFormat="false" ht="15" hidden="false" customHeight="false" outlineLevel="0" collapsed="false">
      <c r="A12" s="6" t="n">
        <v>4000.001</v>
      </c>
      <c r="B12" s="6" t="n">
        <v>6000</v>
      </c>
      <c r="C12" s="14" t="n">
        <v>6</v>
      </c>
    </row>
    <row r="13" customFormat="false" ht="15" hidden="false" customHeight="false" outlineLevel="0" collapsed="false">
      <c r="A13" s="6" t="n">
        <v>6000.001</v>
      </c>
      <c r="B13" s="6" t="n">
        <v>12000</v>
      </c>
      <c r="C13" s="14" t="n">
        <v>6.5</v>
      </c>
    </row>
    <row r="14" customFormat="false" ht="15" hidden="false" customHeight="false" outlineLevel="0" collapsed="false">
      <c r="A14" s="6" t="n">
        <v>12000.001</v>
      </c>
      <c r="B14" s="6" t="n">
        <v>18500</v>
      </c>
      <c r="C14" s="14" t="n">
        <v>7</v>
      </c>
    </row>
    <row r="15" customFormat="false" ht="15" hidden="false" customHeight="false" outlineLevel="0" collapsed="false">
      <c r="A15" s="6" t="n">
        <v>18500.001</v>
      </c>
      <c r="B15" s="6" t="n">
        <v>25000</v>
      </c>
      <c r="C15" s="14" t="n">
        <v>7.5</v>
      </c>
    </row>
    <row r="16" customFormat="false" ht="15" hidden="false" customHeight="false" outlineLevel="0" collapsed="false">
      <c r="A16" s="6" t="n">
        <v>25000.001</v>
      </c>
      <c r="B16" s="6" t="n">
        <v>999999</v>
      </c>
      <c r="C16" s="14" t="n">
        <v>10</v>
      </c>
    </row>
    <row r="17" customFormat="false" ht="15" hidden="false" customHeight="false" outlineLevel="0" collapsed="false">
      <c r="A17" s="2" t="s">
        <v>36</v>
      </c>
    </row>
    <row r="19" customFormat="false" ht="15" hidden="false" customHeight="false" outlineLevel="0" collapsed="false">
      <c r="A19" s="15" t="s">
        <v>37</v>
      </c>
      <c r="B19" s="16" t="n">
        <v>1.2</v>
      </c>
      <c r="C19" s="2" t="s">
        <v>38</v>
      </c>
    </row>
    <row r="20" customFormat="false" ht="15" hidden="false" customHeight="false" outlineLevel="0" collapsed="false">
      <c r="A20" s="15" t="s">
        <v>39</v>
      </c>
      <c r="B20" s="17" t="n">
        <v>1.5E-005</v>
      </c>
      <c r="C20" s="2" t="s">
        <v>38</v>
      </c>
    </row>
    <row r="21" customFormat="false" ht="15" hidden="false" customHeight="false" outlineLevel="0" collapsed="false">
      <c r="A21" s="15" t="s">
        <v>40</v>
      </c>
      <c r="B21" s="18" t="n">
        <v>0.00015</v>
      </c>
      <c r="C21" s="2" t="s">
        <v>41</v>
      </c>
    </row>
    <row r="22" customFormat="false" ht="15" hidden="false" customHeight="false" outlineLevel="0" collapsed="false">
      <c r="A22" s="15" t="s">
        <v>42</v>
      </c>
      <c r="B22" s="19" t="n">
        <v>0.5</v>
      </c>
      <c r="C22" s="2" t="s">
        <v>43</v>
      </c>
    </row>
    <row r="23" customFormat="false" ht="15" hidden="false" customHeight="false" outlineLevel="0" collapsed="false">
      <c r="A23" s="15" t="s">
        <v>44</v>
      </c>
      <c r="B23" s="16" t="n">
        <v>250</v>
      </c>
      <c r="C23" s="2" t="s">
        <v>45</v>
      </c>
    </row>
    <row r="24" customFormat="false" ht="15" hidden="false" customHeight="false" outlineLevel="0" collapsed="false">
      <c r="A24" s="15" t="s">
        <v>46</v>
      </c>
      <c r="B24" s="16" t="n">
        <v>300</v>
      </c>
      <c r="C24" s="2" t="s">
        <v>47</v>
      </c>
    </row>
    <row r="25" customFormat="false" ht="15" hidden="false" customHeight="false" outlineLevel="0" collapsed="false">
      <c r="A25" s="15" t="s">
        <v>48</v>
      </c>
      <c r="B25" s="16" t="n">
        <v>400</v>
      </c>
      <c r="C25" s="2" t="s">
        <v>47</v>
      </c>
    </row>
    <row r="26" customFormat="false" ht="15" hidden="false" customHeight="false" outlineLevel="0" collapsed="false">
      <c r="A26" s="15" t="s">
        <v>49</v>
      </c>
      <c r="B26" s="16" t="n">
        <v>200</v>
      </c>
      <c r="C26" s="2" t="s">
        <v>47</v>
      </c>
    </row>
    <row r="27" customFormat="false" ht="15" hidden="false" customHeight="false" outlineLevel="0" collapsed="false">
      <c r="A27" s="15" t="s">
        <v>50</v>
      </c>
      <c r="B27" s="16" t="n">
        <v>50</v>
      </c>
      <c r="C27" s="2" t="s">
        <v>51</v>
      </c>
    </row>
    <row r="28" customFormat="false" ht="15" hidden="false" customHeight="false" outlineLevel="0" collapsed="false">
      <c r="A28" s="15" t="s">
        <v>52</v>
      </c>
      <c r="B28" s="16" t="n">
        <v>600</v>
      </c>
      <c r="C28" s="2" t="s">
        <v>53</v>
      </c>
    </row>
    <row r="30" customFormat="false" ht="30" hidden="false" customHeight="true" outlineLevel="0" collapsed="false">
      <c r="A30" s="20" t="s">
        <v>54</v>
      </c>
      <c r="B30" s="20"/>
      <c r="C30" s="20"/>
      <c r="D30" s="20"/>
      <c r="E30" s="20"/>
      <c r="F30" s="20"/>
    </row>
    <row r="31" customFormat="false" ht="30" hidden="false" customHeight="true" outlineLevel="0" collapsed="false">
      <c r="A31" s="20" t="s">
        <v>55</v>
      </c>
      <c r="B31" s="20"/>
      <c r="C31" s="20"/>
      <c r="D31" s="20"/>
      <c r="E31" s="20"/>
      <c r="F31" s="20"/>
    </row>
    <row r="32" customFormat="false" ht="30" hidden="false" customHeight="true" outlineLevel="0" collapsed="false">
      <c r="A32" s="20" t="s">
        <v>56</v>
      </c>
      <c r="B32" s="20"/>
      <c r="C32" s="20"/>
      <c r="D32" s="20"/>
      <c r="E32" s="20"/>
      <c r="F32" s="20"/>
    </row>
    <row r="33" customFormat="false" ht="30" hidden="false" customHeight="true" outlineLevel="0" collapsed="false">
      <c r="A33" s="20" t="s">
        <v>57</v>
      </c>
      <c r="B33" s="20"/>
      <c r="C33" s="20"/>
      <c r="D33" s="20"/>
      <c r="E33" s="20"/>
      <c r="F33" s="20"/>
    </row>
    <row r="34" customFormat="false" ht="30" hidden="false" customHeight="true" outlineLevel="0" collapsed="false">
      <c r="A34" s="20" t="s">
        <v>58</v>
      </c>
      <c r="B34" s="20"/>
      <c r="C34" s="20"/>
      <c r="D34" s="20"/>
      <c r="E34" s="20"/>
      <c r="F34" s="20"/>
    </row>
  </sheetData>
  <mergeCells count="5">
    <mergeCell ref="A30:F30"/>
    <mergeCell ref="A31:F31"/>
    <mergeCell ref="A32:F32"/>
    <mergeCell ref="A33:F33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V147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10"/>
    <col collapsed="false" customWidth="true" hidden="false" outlineLevel="0" max="3" min="3" style="0" width="8"/>
    <col collapsed="false" customWidth="true" hidden="false" outlineLevel="0" max="4" min="4" style="0" width="22"/>
    <col collapsed="false" customWidth="true" hidden="false" outlineLevel="0" max="5" min="5" style="0" width="10"/>
    <col collapsed="false" customWidth="true" hidden="false" outlineLevel="0" max="6" min="6" style="0" width="46"/>
    <col collapsed="false" customWidth="true" hidden="false" outlineLevel="0" max="10" min="7" style="0" width="9"/>
    <col collapsed="false" customWidth="true" hidden="false" outlineLevel="0" max="12" min="11" style="0" width="8"/>
    <col collapsed="false" customWidth="true" hidden="false" outlineLevel="0" max="14" min="13" style="0" width="9"/>
    <col collapsed="false" customWidth="true" hidden="false" outlineLevel="0" max="15" min="15" style="0" width="8"/>
    <col collapsed="false" customWidth="true" hidden="false" outlineLevel="0" max="17" min="16" style="0" width="10"/>
    <col collapsed="false" customWidth="true" hidden="false" outlineLevel="0" max="18" min="18" style="0" width="8"/>
    <col collapsed="false" customWidth="true" hidden="false" outlineLevel="0" max="22" min="19" style="0" width="9"/>
  </cols>
  <sheetData>
    <row r="1" customFormat="false" ht="17.35" hidden="false" customHeight="false" outlineLevel="0" collapsed="false">
      <c r="A1" s="1" t="s">
        <v>59</v>
      </c>
    </row>
    <row r="2" customFormat="false" ht="15" hidden="false" customHeight="false" outlineLevel="0" collapsed="false">
      <c r="A2" s="2" t="s">
        <v>60</v>
      </c>
    </row>
    <row r="4" customFormat="false" ht="42" hidden="false" customHeight="true" outlineLevel="0" collapsed="false">
      <c r="A4" s="3" t="s">
        <v>3</v>
      </c>
      <c r="B4" s="3" t="s">
        <v>61</v>
      </c>
      <c r="C4" s="3" t="s">
        <v>62</v>
      </c>
      <c r="D4" s="3" t="s">
        <v>63</v>
      </c>
      <c r="E4" s="3" t="s">
        <v>64</v>
      </c>
      <c r="F4" s="3" t="s">
        <v>65</v>
      </c>
      <c r="G4" s="3" t="s">
        <v>66</v>
      </c>
      <c r="H4" s="3" t="s">
        <v>67</v>
      </c>
      <c r="I4" s="3" t="s">
        <v>68</v>
      </c>
      <c r="J4" s="3" t="s">
        <v>69</v>
      </c>
      <c r="K4" s="3" t="s">
        <v>70</v>
      </c>
      <c r="L4" s="3" t="s">
        <v>71</v>
      </c>
      <c r="M4" s="3" t="s">
        <v>72</v>
      </c>
      <c r="N4" s="3" t="s">
        <v>73</v>
      </c>
      <c r="O4" s="3" t="s">
        <v>74</v>
      </c>
      <c r="P4" s="3" t="s">
        <v>75</v>
      </c>
      <c r="Q4" s="3" t="s">
        <v>76</v>
      </c>
      <c r="R4" s="3" t="s">
        <v>77</v>
      </c>
      <c r="S4" s="3" t="s">
        <v>78</v>
      </c>
      <c r="T4" s="3" t="s">
        <v>79</v>
      </c>
      <c r="U4" s="3" t="s">
        <v>80</v>
      </c>
      <c r="V4" s="3" t="s">
        <v>81</v>
      </c>
    </row>
    <row r="5" customFormat="false" ht="15" hidden="false" customHeight="false" outlineLevel="0" collapsed="false">
      <c r="A5" s="21" t="s">
        <v>14</v>
      </c>
      <c r="B5" s="21" t="s">
        <v>82</v>
      </c>
      <c r="C5" s="21" t="s">
        <v>83</v>
      </c>
      <c r="D5" s="21" t="s">
        <v>84</v>
      </c>
      <c r="E5" s="21" t="s">
        <v>85</v>
      </c>
      <c r="F5" s="21" t="s">
        <v>86</v>
      </c>
      <c r="G5" s="22" t="n">
        <v>1.76</v>
      </c>
      <c r="H5" s="6" t="n">
        <v>2520</v>
      </c>
      <c r="I5" s="23" t="n">
        <f aca="false">INDEX(Hypothèses!$C$6:$C$16,MATCH(H5,Hypothèses!$A$6:$A$16,1))</f>
        <v>5.5</v>
      </c>
      <c r="J5" s="24" t="n">
        <f aca="false">H5/3600/I5</f>
        <v>0.127272727272727</v>
      </c>
      <c r="K5" s="21" t="n">
        <f aca="false">IF(H5&lt;=2000,Hypothèses!$B$23,IF(H5&lt;=4000,Hypothèses!$B$24,Hypothèses!$B$25))</f>
        <v>300</v>
      </c>
      <c r="L5" s="21" t="n">
        <f aca="false">MAX(Hypothèses!$B$26,CEILING(J5/(K5/1000)*1000,Hypothèses!$B$27))</f>
        <v>450</v>
      </c>
      <c r="M5" s="24" t="n">
        <f aca="false">L5*K5/1000000</f>
        <v>0.135</v>
      </c>
      <c r="N5" s="25" t="n">
        <f aca="false">H5/3600/M5</f>
        <v>5.18518518518518</v>
      </c>
      <c r="O5" s="21" t="str">
        <f aca="false">IF(N5&lt;=I5,"oui","NON")</f>
        <v>oui</v>
      </c>
      <c r="P5" s="24" t="n">
        <f aca="false">1.3*((L5/1000)*(K5/1000))^0.625/((L5/1000)+(K5/1000))^0.25</f>
        <v>0.399610270630551</v>
      </c>
      <c r="Q5" s="26" t="n">
        <f aca="false">N5*P5/Hypothèses!$B$20</f>
        <v>138136.883674758</v>
      </c>
      <c r="R5" s="27" t="n">
        <f aca="false">0.25/(LOG10(Hypothèses!$B$21/(3.7*P5)+5.74/Q5^0.9))^2</f>
        <v>0.0190255373172395</v>
      </c>
      <c r="S5" s="25" t="n">
        <f aca="false">R5/P5*Hypothèses!$B$19*N5^2/2</f>
        <v>0.768033356959551</v>
      </c>
      <c r="T5" s="23" t="n">
        <f aca="false">S5*G5*(1+Hypothèses!$B$22)</f>
        <v>2.02760806237322</v>
      </c>
      <c r="U5" s="5" t="s">
        <v>87</v>
      </c>
      <c r="V5" s="21" t="s">
        <v>88</v>
      </c>
    </row>
    <row r="6" customFormat="false" ht="15" hidden="false" customHeight="false" outlineLevel="0" collapsed="false">
      <c r="A6" s="21" t="s">
        <v>14</v>
      </c>
      <c r="B6" s="21" t="s">
        <v>89</v>
      </c>
      <c r="C6" s="21" t="s">
        <v>90</v>
      </c>
      <c r="D6" s="21" t="s">
        <v>91</v>
      </c>
      <c r="E6" s="21" t="s">
        <v>85</v>
      </c>
      <c r="F6" s="21" t="s">
        <v>92</v>
      </c>
      <c r="G6" s="22" t="n">
        <v>1.45</v>
      </c>
      <c r="H6" s="6" t="n">
        <v>2520</v>
      </c>
      <c r="I6" s="23" t="n">
        <f aca="false">INDEX(Hypothèses!$C$6:$C$16,MATCH(H6,Hypothèses!$A$6:$A$16,1))</f>
        <v>5.5</v>
      </c>
      <c r="J6" s="24" t="n">
        <f aca="false">H6/3600/I6</f>
        <v>0.127272727272727</v>
      </c>
      <c r="K6" s="21" t="n">
        <f aca="false">IF(H6&lt;=2000,Hypothèses!$B$23,IF(H6&lt;=4000,Hypothèses!$B$24,Hypothèses!$B$25))</f>
        <v>300</v>
      </c>
      <c r="L6" s="21" t="n">
        <f aca="false">MAX(Hypothèses!$B$26,CEILING(J6/(K6/1000)*1000,Hypothèses!$B$27))</f>
        <v>450</v>
      </c>
      <c r="M6" s="24" t="n">
        <f aca="false">L6*K6/1000000</f>
        <v>0.135</v>
      </c>
      <c r="N6" s="25" t="n">
        <f aca="false">H6/3600/M6</f>
        <v>5.18518518518518</v>
      </c>
      <c r="O6" s="21" t="str">
        <f aca="false">IF(N6&lt;=I6,"oui","NON")</f>
        <v>oui</v>
      </c>
      <c r="P6" s="24" t="n">
        <f aca="false">1.3*((L6/1000)*(K6/1000))^0.625/((L6/1000)+(K6/1000))^0.25</f>
        <v>0.399610270630551</v>
      </c>
      <c r="Q6" s="26" t="n">
        <f aca="false">N6*P6/Hypothèses!$B$20</f>
        <v>138136.883674758</v>
      </c>
      <c r="R6" s="27" t="n">
        <f aca="false">0.25/(LOG10(Hypothèses!$B$21/(3.7*P6)+5.74/Q6^0.9))^2</f>
        <v>0.0190255373172395</v>
      </c>
      <c r="S6" s="25" t="n">
        <f aca="false">R6/P6*Hypothèses!$B$19*N6^2/2</f>
        <v>0.768033356959551</v>
      </c>
      <c r="T6" s="23" t="n">
        <f aca="false">S6*G6*(1+Hypothèses!$B$22)</f>
        <v>1.67047255138702</v>
      </c>
      <c r="U6" s="5" t="s">
        <v>87</v>
      </c>
      <c r="V6" s="21" t="s">
        <v>88</v>
      </c>
    </row>
    <row r="7" customFormat="false" ht="15" hidden="false" customHeight="false" outlineLevel="0" collapsed="false">
      <c r="A7" s="21" t="s">
        <v>14</v>
      </c>
      <c r="B7" s="21" t="s">
        <v>93</v>
      </c>
      <c r="C7" s="21" t="s">
        <v>94</v>
      </c>
      <c r="D7" s="21" t="s">
        <v>91</v>
      </c>
      <c r="E7" s="21" t="s">
        <v>85</v>
      </c>
      <c r="F7" s="21" t="s">
        <v>95</v>
      </c>
      <c r="G7" s="22" t="n">
        <v>3.36</v>
      </c>
      <c r="H7" s="6" t="n">
        <v>1260</v>
      </c>
      <c r="I7" s="23" t="n">
        <f aca="false">INDEX(Hypothèses!$C$6:$C$16,MATCH(H7,Hypothèses!$A$6:$A$16,1))</f>
        <v>4.5</v>
      </c>
      <c r="J7" s="24" t="n">
        <f aca="false">H7/3600/I7</f>
        <v>0.0777777777777778</v>
      </c>
      <c r="K7" s="21" t="n">
        <f aca="false">IF(H7&lt;=2000,Hypothèses!$B$23,IF(H7&lt;=4000,Hypothèses!$B$24,Hypothèses!$B$25))</f>
        <v>250</v>
      </c>
      <c r="L7" s="21" t="n">
        <f aca="false">MAX(Hypothèses!$B$26,CEILING(J7/(K7/1000)*1000,Hypothèses!$B$27))</f>
        <v>350</v>
      </c>
      <c r="M7" s="24" t="n">
        <f aca="false">L7*K7/1000000</f>
        <v>0.0875</v>
      </c>
      <c r="N7" s="25" t="n">
        <f aca="false">H7/3600/M7</f>
        <v>4</v>
      </c>
      <c r="O7" s="21" t="str">
        <f aca="false">IF(N7&lt;=I7,"oui","NON")</f>
        <v>oui</v>
      </c>
      <c r="P7" s="24" t="n">
        <f aca="false">1.3*((L7/1000)*(K7/1000))^0.625/((L7/1000)+(K7/1000))^0.25</f>
        <v>0.322225994577571</v>
      </c>
      <c r="Q7" s="26" t="n">
        <f aca="false">N7*P7/Hypothèses!$B$20</f>
        <v>85926.9318873524</v>
      </c>
      <c r="R7" s="27" t="n">
        <f aca="false">0.25/(LOG10(Hypothèses!$B$21/(3.7*P7)+5.74/Q7^0.9))^2</f>
        <v>0.0206860350433237</v>
      </c>
      <c r="S7" s="25" t="n">
        <f aca="false">R7/P7*Hypothèses!$B$19*N7^2/2</f>
        <v>0.616293966836063</v>
      </c>
      <c r="T7" s="23" t="n">
        <f aca="false">S7*G7*(1+Hypothèses!$B$22)</f>
        <v>3.10612159285376</v>
      </c>
      <c r="U7" s="5" t="s">
        <v>87</v>
      </c>
      <c r="V7" s="21" t="s">
        <v>88</v>
      </c>
    </row>
    <row r="8" customFormat="false" ht="15" hidden="false" customHeight="false" outlineLevel="0" collapsed="false">
      <c r="A8" s="21" t="s">
        <v>14</v>
      </c>
      <c r="B8" s="21" t="s">
        <v>96</v>
      </c>
      <c r="C8" s="21" t="s">
        <v>90</v>
      </c>
      <c r="D8" s="21" t="s">
        <v>97</v>
      </c>
      <c r="E8" s="21" t="s">
        <v>85</v>
      </c>
      <c r="F8" s="21" t="s">
        <v>98</v>
      </c>
      <c r="G8" s="22" t="n">
        <v>3.19</v>
      </c>
      <c r="H8" s="6" t="n">
        <v>360</v>
      </c>
      <c r="I8" s="23" t="n">
        <f aca="false">INDEX(Hypothèses!$C$6:$C$16,MATCH(H8,Hypothèses!$A$6:$A$16,1))</f>
        <v>3.5</v>
      </c>
      <c r="J8" s="24" t="n">
        <f aca="false">H8/3600/I8</f>
        <v>0.0285714285714286</v>
      </c>
      <c r="K8" s="21" t="n">
        <f aca="false">IF(H8&lt;=2000,Hypothèses!$B$23,IF(H8&lt;=4000,Hypothèses!$B$24,Hypothèses!$B$25))</f>
        <v>250</v>
      </c>
      <c r="L8" s="21" t="n">
        <f aca="false">MAX(Hypothèses!$B$26,CEILING(J8/(K8/1000)*1000,Hypothèses!$B$27))</f>
        <v>200</v>
      </c>
      <c r="M8" s="24" t="n">
        <f aca="false">L8*K8/1000000</f>
        <v>0.05</v>
      </c>
      <c r="N8" s="25" t="n">
        <f aca="false">H8/3600/M8</f>
        <v>2</v>
      </c>
      <c r="O8" s="21" t="str">
        <f aca="false">IF(N8&lt;=I8,"oui","NON")</f>
        <v>oui</v>
      </c>
      <c r="P8" s="24" t="n">
        <f aca="false">1.3*((L8/1000)*(K8/1000))^0.625/((L8/1000)+(K8/1000))^0.25</f>
        <v>0.244059926740309</v>
      </c>
      <c r="Q8" s="26" t="n">
        <f aca="false">N8*P8/Hypothèses!$B$20</f>
        <v>32541.3235653746</v>
      </c>
      <c r="R8" s="27" t="n">
        <f aca="false">0.25/(LOG10(Hypothèses!$B$21/(3.7*P8)+5.74/Q8^0.9))^2</f>
        <v>0.02476271558301</v>
      </c>
      <c r="S8" s="25" t="n">
        <f aca="false">R8/P8*Hypothèses!$B$19*N8^2/2</f>
        <v>0.243507888382105</v>
      </c>
      <c r="T8" s="23" t="n">
        <f aca="false">S8*G8*(1+Hypothèses!$B$22)</f>
        <v>1.16518524590837</v>
      </c>
      <c r="U8" s="5"/>
      <c r="V8" s="21" t="str">
        <f aca="false">IF(K8&lt;=Hypothèses!$B$28-100,"oui","NON")</f>
        <v>oui</v>
      </c>
    </row>
    <row r="9" customFormat="false" ht="15" hidden="false" customHeight="false" outlineLevel="0" collapsed="false">
      <c r="A9" s="21" t="s">
        <v>14</v>
      </c>
      <c r="B9" s="21" t="s">
        <v>99</v>
      </c>
      <c r="C9" s="21" t="s">
        <v>90</v>
      </c>
      <c r="D9" s="21" t="s">
        <v>97</v>
      </c>
      <c r="E9" s="21" t="s">
        <v>85</v>
      </c>
      <c r="F9" s="21" t="s">
        <v>98</v>
      </c>
      <c r="G9" s="22" t="n">
        <v>0.84</v>
      </c>
      <c r="H9" s="6" t="n">
        <v>270</v>
      </c>
      <c r="I9" s="23" t="n">
        <f aca="false">INDEX(Hypothèses!$C$6:$C$16,MATCH(H9,Hypothèses!$A$6:$A$16,1))</f>
        <v>3</v>
      </c>
      <c r="J9" s="24" t="n">
        <f aca="false">H9/3600/I9</f>
        <v>0.025</v>
      </c>
      <c r="K9" s="21" t="n">
        <f aca="false">IF(H9&lt;=2000,Hypothèses!$B$23,IF(H9&lt;=4000,Hypothèses!$B$24,Hypothèses!$B$25))</f>
        <v>250</v>
      </c>
      <c r="L9" s="21" t="n">
        <f aca="false">MAX(Hypothèses!$B$26,CEILING(J9/(K9/1000)*1000,Hypothèses!$B$27))</f>
        <v>200</v>
      </c>
      <c r="M9" s="24" t="n">
        <f aca="false">L9*K9/1000000</f>
        <v>0.05</v>
      </c>
      <c r="N9" s="25" t="n">
        <f aca="false">H9/3600/M9</f>
        <v>1.5</v>
      </c>
      <c r="O9" s="21" t="str">
        <f aca="false">IF(N9&lt;=I9,"oui","NON")</f>
        <v>oui</v>
      </c>
      <c r="P9" s="24" t="n">
        <f aca="false">1.3*((L9/1000)*(K9/1000))^0.625/((L9/1000)+(K9/1000))^0.25</f>
        <v>0.244059926740309</v>
      </c>
      <c r="Q9" s="26" t="n">
        <f aca="false">N9*P9/Hypothèses!$B$20</f>
        <v>24405.9926740309</v>
      </c>
      <c r="R9" s="27" t="n">
        <f aca="false">0.25/(LOG10(Hypothèses!$B$21/(3.7*P9)+5.74/Q9^0.9))^2</f>
        <v>0.0261757755144053</v>
      </c>
      <c r="S9" s="25" t="n">
        <f aca="false">R9/P9*Hypothèses!$B$19*N9^2/2</f>
        <v>0.144789426992034</v>
      </c>
      <c r="T9" s="23" t="n">
        <f aca="false">S9*G9*(1+Hypothèses!$B$22)</f>
        <v>0.182434678009963</v>
      </c>
      <c r="U9" s="5"/>
      <c r="V9" s="21" t="str">
        <f aca="false">IF(K9&lt;=Hypothèses!$B$28-100,"oui","NON")</f>
        <v>oui</v>
      </c>
    </row>
    <row r="10" customFormat="false" ht="15" hidden="false" customHeight="false" outlineLevel="0" collapsed="false">
      <c r="A10" s="21" t="s">
        <v>14</v>
      </c>
      <c r="B10" s="21" t="s">
        <v>100</v>
      </c>
      <c r="C10" s="21" t="s">
        <v>90</v>
      </c>
      <c r="D10" s="21" t="s">
        <v>97</v>
      </c>
      <c r="E10" s="21" t="s">
        <v>85</v>
      </c>
      <c r="F10" s="21" t="s">
        <v>98</v>
      </c>
      <c r="G10" s="22" t="n">
        <v>3.56</v>
      </c>
      <c r="H10" s="6" t="n">
        <v>180</v>
      </c>
      <c r="I10" s="23" t="n">
        <f aca="false">INDEX(Hypothèses!$C$6:$C$16,MATCH(H10,Hypothèses!$A$6:$A$16,1))</f>
        <v>3</v>
      </c>
      <c r="J10" s="24" t="n">
        <f aca="false">H10/3600/I10</f>
        <v>0.0166666666666667</v>
      </c>
      <c r="K10" s="21" t="n">
        <f aca="false">IF(H10&lt;=2000,Hypothèses!$B$23,IF(H10&lt;=4000,Hypothèses!$B$24,Hypothèses!$B$25))</f>
        <v>250</v>
      </c>
      <c r="L10" s="21" t="n">
        <f aca="false">MAX(Hypothèses!$B$26,CEILING(J10/(K10/1000)*1000,Hypothèses!$B$27))</f>
        <v>200</v>
      </c>
      <c r="M10" s="24" t="n">
        <f aca="false">L10*K10/1000000</f>
        <v>0.05</v>
      </c>
      <c r="N10" s="25" t="n">
        <f aca="false">H10/3600/M10</f>
        <v>1</v>
      </c>
      <c r="O10" s="21" t="str">
        <f aca="false">IF(N10&lt;=I10,"oui","NON")</f>
        <v>oui</v>
      </c>
      <c r="P10" s="24" t="n">
        <f aca="false">1.3*((L10/1000)*(K10/1000))^0.625/((L10/1000)+(K10/1000))^0.25</f>
        <v>0.244059926740309</v>
      </c>
      <c r="Q10" s="26" t="n">
        <f aca="false">N10*P10/Hypothèses!$B$20</f>
        <v>16270.6617826873</v>
      </c>
      <c r="R10" s="27" t="n">
        <f aca="false">0.25/(LOG10(Hypothèses!$B$21/(3.7*P10)+5.74/Q10^0.9))^2</f>
        <v>0.0285334679281754</v>
      </c>
      <c r="S10" s="25" t="n">
        <f aca="false">R10/P10*Hypothèses!$B$19*N10^2/2</f>
        <v>0.0701470371869846</v>
      </c>
      <c r="T10" s="23" t="n">
        <f aca="false">S10*G10*(1+Hypothèses!$B$22)</f>
        <v>0.374585178578498</v>
      </c>
      <c r="U10" s="5"/>
      <c r="V10" s="21" t="str">
        <f aca="false">IF(K10&lt;=Hypothèses!$B$28-100,"oui","NON")</f>
        <v>oui</v>
      </c>
    </row>
    <row r="11" customFormat="false" ht="15" hidden="false" customHeight="false" outlineLevel="0" collapsed="false">
      <c r="A11" s="21" t="s">
        <v>14</v>
      </c>
      <c r="B11" s="21" t="s">
        <v>101</v>
      </c>
      <c r="C11" s="21" t="s">
        <v>90</v>
      </c>
      <c r="D11" s="21" t="s">
        <v>97</v>
      </c>
      <c r="E11" s="21" t="s">
        <v>85</v>
      </c>
      <c r="F11" s="21" t="s">
        <v>98</v>
      </c>
      <c r="G11" s="22" t="n">
        <v>0.21</v>
      </c>
      <c r="H11" s="6" t="n">
        <v>90</v>
      </c>
      <c r="I11" s="23" t="n">
        <f aca="false">INDEX(Hypothèses!$C$6:$C$16,MATCH(H11,Hypothèses!$A$6:$A$16,1))</f>
        <v>3</v>
      </c>
      <c r="J11" s="24" t="n">
        <f aca="false">H11/3600/I11</f>
        <v>0.00833333333333333</v>
      </c>
      <c r="K11" s="21" t="n">
        <f aca="false">IF(H11&lt;=2000,Hypothèses!$B$23,IF(H11&lt;=4000,Hypothèses!$B$24,Hypothèses!$B$25))</f>
        <v>250</v>
      </c>
      <c r="L11" s="21" t="n">
        <f aca="false">MAX(Hypothèses!$B$26,CEILING(J11/(K11/1000)*1000,Hypothèses!$B$27))</f>
        <v>200</v>
      </c>
      <c r="M11" s="24" t="n">
        <f aca="false">L11*K11/1000000</f>
        <v>0.05</v>
      </c>
      <c r="N11" s="25" t="n">
        <f aca="false">H11/3600/M11</f>
        <v>0.5</v>
      </c>
      <c r="O11" s="21" t="str">
        <f aca="false">IF(N11&lt;=I11,"oui","NON")</f>
        <v>oui</v>
      </c>
      <c r="P11" s="24" t="n">
        <f aca="false">1.3*((L11/1000)*(K11/1000))^0.625/((L11/1000)+(K11/1000))^0.25</f>
        <v>0.244059926740309</v>
      </c>
      <c r="Q11" s="26" t="n">
        <f aca="false">N11*P11/Hypothèses!$B$20</f>
        <v>8135.33089134364</v>
      </c>
      <c r="R11" s="27" t="n">
        <f aca="false">0.25/(LOG10(Hypothèses!$B$21/(3.7*P11)+5.74/Q11^0.9))^2</f>
        <v>0.033772654686126</v>
      </c>
      <c r="S11" s="25" t="n">
        <f aca="false">R11/P11*Hypothèses!$B$19*N11^2/2</f>
        <v>0.0207567799867008</v>
      </c>
      <c r="T11" s="23" t="n">
        <f aca="false">S11*G11*(1+Hypothèses!$B$22)</f>
        <v>0.00653838569581074</v>
      </c>
      <c r="U11" s="5"/>
      <c r="V11" s="21" t="str">
        <f aca="false">IF(K11&lt;=Hypothèses!$B$28-100,"oui","NON")</f>
        <v>oui</v>
      </c>
    </row>
    <row r="12" customFormat="false" ht="15" hidden="false" customHeight="false" outlineLevel="0" collapsed="false">
      <c r="A12" s="21" t="s">
        <v>14</v>
      </c>
      <c r="B12" s="21" t="s">
        <v>102</v>
      </c>
      <c r="C12" s="21" t="s">
        <v>90</v>
      </c>
      <c r="D12" s="21" t="s">
        <v>97</v>
      </c>
      <c r="E12" s="21" t="s">
        <v>85</v>
      </c>
      <c r="F12" s="21" t="s">
        <v>98</v>
      </c>
      <c r="G12" s="22" t="n">
        <v>0.44</v>
      </c>
      <c r="H12" s="6" t="n">
        <v>900</v>
      </c>
      <c r="I12" s="23" t="n">
        <f aca="false">INDEX(Hypothèses!$C$6:$C$16,MATCH(H12,Hypothèses!$A$6:$A$16,1))</f>
        <v>4.5</v>
      </c>
      <c r="J12" s="24" t="n">
        <f aca="false">H12/3600/I12</f>
        <v>0.0555555555555556</v>
      </c>
      <c r="K12" s="21" t="n">
        <f aca="false">IF(H12&lt;=2000,Hypothèses!$B$23,IF(H12&lt;=4000,Hypothèses!$B$24,Hypothèses!$B$25))</f>
        <v>250</v>
      </c>
      <c r="L12" s="21" t="n">
        <f aca="false">MAX(Hypothèses!$B$26,CEILING(J12/(K12/1000)*1000,Hypothèses!$B$27))</f>
        <v>250</v>
      </c>
      <c r="M12" s="24" t="n">
        <f aca="false">L12*K12/1000000</f>
        <v>0.0625</v>
      </c>
      <c r="N12" s="25" t="n">
        <f aca="false">H12/3600/M12</f>
        <v>4</v>
      </c>
      <c r="O12" s="21" t="str">
        <f aca="false">IF(N12&lt;=I12,"oui","NON")</f>
        <v>oui</v>
      </c>
      <c r="P12" s="24" t="n">
        <f aca="false">1.3*((L12/1000)*(K12/1000))^0.625/((L12/1000)+(K12/1000))^0.25</f>
        <v>0.273291334957457</v>
      </c>
      <c r="Q12" s="26" t="n">
        <f aca="false">N12*P12/Hypothèses!$B$20</f>
        <v>72877.6893219886</v>
      </c>
      <c r="R12" s="27" t="n">
        <f aca="false">0.25/(LOG10(Hypothèses!$B$21/(3.7*P12)+5.74/Q12^0.9))^2</f>
        <v>0.0215081903576626</v>
      </c>
      <c r="S12" s="25" t="n">
        <f aca="false">R12/P12*Hypothèses!$B$19*N12^2/2</f>
        <v>0.755525701046112</v>
      </c>
      <c r="T12" s="23" t="n">
        <f aca="false">S12*G12*(1+Hypothèses!$B$22)</f>
        <v>0.498646962690434</v>
      </c>
      <c r="U12" s="5"/>
      <c r="V12" s="21" t="str">
        <f aca="false">IF(K12&lt;=Hypothèses!$B$28-100,"oui","NON")</f>
        <v>oui</v>
      </c>
    </row>
    <row r="13" customFormat="false" ht="15" hidden="false" customHeight="false" outlineLevel="0" collapsed="false">
      <c r="A13" s="21" t="s">
        <v>14</v>
      </c>
      <c r="B13" s="21" t="s">
        <v>103</v>
      </c>
      <c r="C13" s="21" t="s">
        <v>90</v>
      </c>
      <c r="D13" s="21" t="s">
        <v>97</v>
      </c>
      <c r="E13" s="21" t="s">
        <v>85</v>
      </c>
      <c r="F13" s="21" t="s">
        <v>104</v>
      </c>
      <c r="G13" s="22" t="n">
        <v>0.41</v>
      </c>
      <c r="H13" s="6" t="n">
        <v>810</v>
      </c>
      <c r="I13" s="23" t="n">
        <f aca="false">INDEX(Hypothèses!$C$6:$C$16,MATCH(H13,Hypothèses!$A$6:$A$16,1))</f>
        <v>4.5</v>
      </c>
      <c r="J13" s="24" t="n">
        <f aca="false">H13/3600/I13</f>
        <v>0.05</v>
      </c>
      <c r="K13" s="21" t="n">
        <f aca="false">IF(H13&lt;=2000,Hypothèses!$B$23,IF(H13&lt;=4000,Hypothèses!$B$24,Hypothèses!$B$25))</f>
        <v>250</v>
      </c>
      <c r="L13" s="21" t="n">
        <f aca="false">MAX(Hypothèses!$B$26,CEILING(J13/(K13/1000)*1000,Hypothèses!$B$27))</f>
        <v>200</v>
      </c>
      <c r="M13" s="24" t="n">
        <f aca="false">L13*K13/1000000</f>
        <v>0.05</v>
      </c>
      <c r="N13" s="25" t="n">
        <f aca="false">H13/3600/M13</f>
        <v>4.5</v>
      </c>
      <c r="O13" s="21" t="str">
        <f aca="false">IF(N13&lt;=I13,"oui","NON")</f>
        <v>oui</v>
      </c>
      <c r="P13" s="24" t="n">
        <f aca="false">1.3*((L13/1000)*(K13/1000))^0.625/((L13/1000)+(K13/1000))^0.25</f>
        <v>0.244059926740309</v>
      </c>
      <c r="Q13" s="26" t="n">
        <f aca="false">N13*P13/Hypothèses!$B$20</f>
        <v>73217.9780220928</v>
      </c>
      <c r="R13" s="27" t="n">
        <f aca="false">0.25/(LOG10(Hypothèses!$B$21/(3.7*P13)+5.74/Q13^0.9))^2</f>
        <v>0.0217407914266501</v>
      </c>
      <c r="S13" s="25" t="n">
        <f aca="false">R13/P13*Hypothèses!$B$19*N13^2/2</f>
        <v>1.08231867214672</v>
      </c>
      <c r="T13" s="23" t="n">
        <f aca="false">S13*G13*(1+Hypothèses!$B$22)</f>
        <v>0.665625983370236</v>
      </c>
      <c r="U13" s="5"/>
      <c r="V13" s="21" t="str">
        <f aca="false">IF(K13&lt;=Hypothèses!$B$28-100,"oui","NON")</f>
        <v>oui</v>
      </c>
    </row>
    <row r="14" customFormat="false" ht="15" hidden="false" customHeight="false" outlineLevel="0" collapsed="false">
      <c r="A14" s="21" t="s">
        <v>14</v>
      </c>
      <c r="B14" s="21" t="s">
        <v>105</v>
      </c>
      <c r="C14" s="21" t="s">
        <v>90</v>
      </c>
      <c r="D14" s="21" t="s">
        <v>97</v>
      </c>
      <c r="E14" s="21" t="s">
        <v>85</v>
      </c>
      <c r="F14" s="21" t="s">
        <v>104</v>
      </c>
      <c r="G14" s="22" t="n">
        <v>4.19</v>
      </c>
      <c r="H14" s="6" t="n">
        <v>720</v>
      </c>
      <c r="I14" s="23" t="n">
        <f aca="false">INDEX(Hypothèses!$C$6:$C$16,MATCH(H14,Hypothèses!$A$6:$A$16,1))</f>
        <v>4</v>
      </c>
      <c r="J14" s="24" t="n">
        <f aca="false">H14/3600/I14</f>
        <v>0.05</v>
      </c>
      <c r="K14" s="21" t="n">
        <f aca="false">IF(H14&lt;=2000,Hypothèses!$B$23,IF(H14&lt;=4000,Hypothèses!$B$24,Hypothèses!$B$25))</f>
        <v>250</v>
      </c>
      <c r="L14" s="21" t="n">
        <f aca="false">MAX(Hypothèses!$B$26,CEILING(J14/(K14/1000)*1000,Hypothèses!$B$27))</f>
        <v>200</v>
      </c>
      <c r="M14" s="24" t="n">
        <f aca="false">L14*K14/1000000</f>
        <v>0.05</v>
      </c>
      <c r="N14" s="25" t="n">
        <f aca="false">H14/3600/M14</f>
        <v>4</v>
      </c>
      <c r="O14" s="21" t="str">
        <f aca="false">IF(N14&lt;=I14,"oui","NON")</f>
        <v>oui</v>
      </c>
      <c r="P14" s="24" t="n">
        <f aca="false">1.3*((L14/1000)*(K14/1000))^0.625/((L14/1000)+(K14/1000))^0.25</f>
        <v>0.244059926740309</v>
      </c>
      <c r="Q14" s="26" t="n">
        <f aca="false">N14*P14/Hypothèses!$B$20</f>
        <v>65082.6471307491</v>
      </c>
      <c r="R14" s="27" t="n">
        <f aca="false">0.25/(LOG10(Hypothèses!$B$21/(3.7*P14)+5.74/Q14^0.9))^2</f>
        <v>0.0221017738290741</v>
      </c>
      <c r="S14" s="25" t="n">
        <f aca="false">R14/P14*Hypothèses!$B$19*N14^2/2</f>
        <v>0.869364469591424</v>
      </c>
      <c r="T14" s="23" t="n">
        <f aca="false">S14*G14*(1+Hypothèses!$B$22)</f>
        <v>5.4639556913821</v>
      </c>
      <c r="U14" s="5"/>
      <c r="V14" s="21" t="str">
        <f aca="false">IF(K14&lt;=Hypothèses!$B$28-100,"oui","NON")</f>
        <v>oui</v>
      </c>
    </row>
    <row r="15" customFormat="false" ht="15" hidden="false" customHeight="false" outlineLevel="0" collapsed="false">
      <c r="A15" s="21" t="s">
        <v>14</v>
      </c>
      <c r="B15" s="21" t="s">
        <v>106</v>
      </c>
      <c r="C15" s="21" t="s">
        <v>90</v>
      </c>
      <c r="D15" s="21" t="s">
        <v>97</v>
      </c>
      <c r="E15" s="21" t="s">
        <v>85</v>
      </c>
      <c r="F15" s="21"/>
      <c r="G15" s="22" t="n">
        <v>1.47</v>
      </c>
      <c r="H15" s="6" t="n">
        <v>630</v>
      </c>
      <c r="I15" s="23" t="n">
        <f aca="false">INDEX(Hypothèses!$C$6:$C$16,MATCH(H15,Hypothèses!$A$6:$A$16,1))</f>
        <v>4</v>
      </c>
      <c r="J15" s="24" t="n">
        <f aca="false">H15/3600/I15</f>
        <v>0.04375</v>
      </c>
      <c r="K15" s="21" t="n">
        <f aca="false">IF(H15&lt;=2000,Hypothèses!$B$23,IF(H15&lt;=4000,Hypothèses!$B$24,Hypothèses!$B$25))</f>
        <v>250</v>
      </c>
      <c r="L15" s="21" t="n">
        <f aca="false">MAX(Hypothèses!$B$26,CEILING(J15/(K15/1000)*1000,Hypothèses!$B$27))</f>
        <v>200</v>
      </c>
      <c r="M15" s="24" t="n">
        <f aca="false">L15*K15/1000000</f>
        <v>0.05</v>
      </c>
      <c r="N15" s="25" t="n">
        <f aca="false">H15/3600/M15</f>
        <v>3.5</v>
      </c>
      <c r="O15" s="21" t="str">
        <f aca="false">IF(N15&lt;=I15,"oui","NON")</f>
        <v>oui</v>
      </c>
      <c r="P15" s="24" t="n">
        <f aca="false">1.3*((L15/1000)*(K15/1000))^0.625/((L15/1000)+(K15/1000))^0.25</f>
        <v>0.244059926740309</v>
      </c>
      <c r="Q15" s="26" t="n">
        <f aca="false">N15*P15/Hypothèses!$B$20</f>
        <v>56947.3162394055</v>
      </c>
      <c r="R15" s="27" t="n">
        <f aca="false">0.25/(LOG10(Hypothèses!$B$21/(3.7*P15)+5.74/Q15^0.9))^2</f>
        <v>0.0225408508367514</v>
      </c>
      <c r="S15" s="25" t="n">
        <f aca="false">R15/P15*Hypothèses!$B$19*N15^2/2</f>
        <v>0.678830219540338</v>
      </c>
      <c r="T15" s="23" t="n">
        <f aca="false">S15*G15*(1+Hypothèses!$B$22)</f>
        <v>1.49682063408644</v>
      </c>
      <c r="U15" s="5"/>
      <c r="V15" s="21" t="str">
        <f aca="false">IF(K15&lt;=Hypothèses!$B$28-100,"oui","NON")</f>
        <v>oui</v>
      </c>
    </row>
    <row r="16" customFormat="false" ht="15" hidden="false" customHeight="false" outlineLevel="0" collapsed="false">
      <c r="A16" s="21" t="s">
        <v>14</v>
      </c>
      <c r="B16" s="21" t="s">
        <v>107</v>
      </c>
      <c r="C16" s="21" t="s">
        <v>90</v>
      </c>
      <c r="D16" s="21" t="s">
        <v>97</v>
      </c>
      <c r="E16" s="21" t="s">
        <v>85</v>
      </c>
      <c r="F16" s="21" t="s">
        <v>98</v>
      </c>
      <c r="G16" s="22" t="n">
        <v>0.45</v>
      </c>
      <c r="H16" s="6" t="n">
        <v>630</v>
      </c>
      <c r="I16" s="23" t="n">
        <f aca="false">INDEX(Hypothèses!$C$6:$C$16,MATCH(H16,Hypothèses!$A$6:$A$16,1))</f>
        <v>4</v>
      </c>
      <c r="J16" s="24" t="n">
        <f aca="false">H16/3600/I16</f>
        <v>0.04375</v>
      </c>
      <c r="K16" s="21" t="n">
        <f aca="false">IF(H16&lt;=2000,Hypothèses!$B$23,IF(H16&lt;=4000,Hypothèses!$B$24,Hypothèses!$B$25))</f>
        <v>250</v>
      </c>
      <c r="L16" s="21" t="n">
        <f aca="false">MAX(Hypothèses!$B$26,CEILING(J16/(K16/1000)*1000,Hypothèses!$B$27))</f>
        <v>200</v>
      </c>
      <c r="M16" s="24" t="n">
        <f aca="false">L16*K16/1000000</f>
        <v>0.05</v>
      </c>
      <c r="N16" s="25" t="n">
        <f aca="false">H16/3600/M16</f>
        <v>3.5</v>
      </c>
      <c r="O16" s="21" t="str">
        <f aca="false">IF(N16&lt;=I16,"oui","NON")</f>
        <v>oui</v>
      </c>
      <c r="P16" s="24" t="n">
        <f aca="false">1.3*((L16/1000)*(K16/1000))^0.625/((L16/1000)+(K16/1000))^0.25</f>
        <v>0.244059926740309</v>
      </c>
      <c r="Q16" s="26" t="n">
        <f aca="false">N16*P16/Hypothèses!$B$20</f>
        <v>56947.3162394055</v>
      </c>
      <c r="R16" s="27" t="n">
        <f aca="false">0.25/(LOG10(Hypothèses!$B$21/(3.7*P16)+5.74/Q16^0.9))^2</f>
        <v>0.0225408508367514</v>
      </c>
      <c r="S16" s="25" t="n">
        <f aca="false">R16/P16*Hypothèses!$B$19*N16^2/2</f>
        <v>0.678830219540338</v>
      </c>
      <c r="T16" s="23" t="n">
        <f aca="false">S16*G16*(1+Hypothèses!$B$22)</f>
        <v>0.458210398189728</v>
      </c>
      <c r="U16" s="5"/>
      <c r="V16" s="21" t="str">
        <f aca="false">IF(K16&lt;=Hypothèses!$B$28-100,"oui","NON")</f>
        <v>oui</v>
      </c>
    </row>
    <row r="17" customFormat="false" ht="15" hidden="false" customHeight="false" outlineLevel="0" collapsed="false">
      <c r="A17" s="21" t="s">
        <v>14</v>
      </c>
      <c r="B17" s="21" t="s">
        <v>108</v>
      </c>
      <c r="C17" s="21" t="s">
        <v>90</v>
      </c>
      <c r="D17" s="21" t="s">
        <v>97</v>
      </c>
      <c r="E17" s="21" t="s">
        <v>85</v>
      </c>
      <c r="F17" s="21" t="s">
        <v>98</v>
      </c>
      <c r="G17" s="22" t="n">
        <v>2.66</v>
      </c>
      <c r="H17" s="6" t="n">
        <v>540</v>
      </c>
      <c r="I17" s="23" t="n">
        <f aca="false">INDEX(Hypothèses!$C$6:$C$16,MATCH(H17,Hypothèses!$A$6:$A$16,1))</f>
        <v>3.5</v>
      </c>
      <c r="J17" s="24" t="n">
        <f aca="false">H17/3600/I17</f>
        <v>0.0428571428571429</v>
      </c>
      <c r="K17" s="21" t="n">
        <f aca="false">IF(H17&lt;=2000,Hypothèses!$B$23,IF(H17&lt;=4000,Hypothèses!$B$24,Hypothèses!$B$25))</f>
        <v>250</v>
      </c>
      <c r="L17" s="21" t="n">
        <f aca="false">MAX(Hypothèses!$B$26,CEILING(J17/(K17/1000)*1000,Hypothèses!$B$27))</f>
        <v>200</v>
      </c>
      <c r="M17" s="24" t="n">
        <f aca="false">L17*K17/1000000</f>
        <v>0.05</v>
      </c>
      <c r="N17" s="25" t="n">
        <f aca="false">H17/3600/M17</f>
        <v>3</v>
      </c>
      <c r="O17" s="21" t="str">
        <f aca="false">IF(N17&lt;=I17,"oui","NON")</f>
        <v>oui</v>
      </c>
      <c r="P17" s="24" t="n">
        <f aca="false">1.3*((L17/1000)*(K17/1000))^0.625/((L17/1000)+(K17/1000))^0.25</f>
        <v>0.244059926740309</v>
      </c>
      <c r="Q17" s="26" t="n">
        <f aca="false">N17*P17/Hypothèses!$B$20</f>
        <v>48811.9853480618</v>
      </c>
      <c r="R17" s="27" t="n">
        <f aca="false">0.25/(LOG10(Hypothèses!$B$21/(3.7*P17)+5.74/Q17^0.9))^2</f>
        <v>0.0230891942725925</v>
      </c>
      <c r="S17" s="25" t="n">
        <f aca="false">R17/P17*Hypothèses!$B$19*N17^2/2</f>
        <v>0.510864895918232</v>
      </c>
      <c r="T17" s="23" t="n">
        <f aca="false">S17*G17*(1+Hypothèses!$B$22)</f>
        <v>2.03835093471375</v>
      </c>
      <c r="U17" s="5"/>
      <c r="V17" s="21" t="str">
        <f aca="false">IF(K17&lt;=Hypothèses!$B$28-100,"oui","NON")</f>
        <v>oui</v>
      </c>
    </row>
    <row r="18" customFormat="false" ht="15" hidden="false" customHeight="false" outlineLevel="0" collapsed="false">
      <c r="A18" s="21" t="s">
        <v>14</v>
      </c>
      <c r="B18" s="21" t="s">
        <v>109</v>
      </c>
      <c r="C18" s="21" t="s">
        <v>90</v>
      </c>
      <c r="D18" s="21" t="s">
        <v>97</v>
      </c>
      <c r="E18" s="21" t="s">
        <v>85</v>
      </c>
      <c r="F18" s="21" t="s">
        <v>98</v>
      </c>
      <c r="G18" s="22" t="n">
        <v>1.81</v>
      </c>
      <c r="H18" s="6" t="n">
        <v>450</v>
      </c>
      <c r="I18" s="23" t="n">
        <f aca="false">INDEX(Hypothèses!$C$6:$C$16,MATCH(H18,Hypothèses!$A$6:$A$16,1))</f>
        <v>3.5</v>
      </c>
      <c r="J18" s="24" t="n">
        <f aca="false">H18/3600/I18</f>
        <v>0.0357142857142857</v>
      </c>
      <c r="K18" s="21" t="n">
        <f aca="false">IF(H18&lt;=2000,Hypothèses!$B$23,IF(H18&lt;=4000,Hypothèses!$B$24,Hypothèses!$B$25))</f>
        <v>250</v>
      </c>
      <c r="L18" s="21" t="n">
        <f aca="false">MAX(Hypothèses!$B$26,CEILING(J18/(K18/1000)*1000,Hypothèses!$B$27))</f>
        <v>200</v>
      </c>
      <c r="M18" s="24" t="n">
        <f aca="false">L18*K18/1000000</f>
        <v>0.05</v>
      </c>
      <c r="N18" s="25" t="n">
        <f aca="false">H18/3600/M18</f>
        <v>2.5</v>
      </c>
      <c r="O18" s="21" t="str">
        <f aca="false">IF(N18&lt;=I18,"oui","NON")</f>
        <v>oui</v>
      </c>
      <c r="P18" s="24" t="n">
        <f aca="false">1.3*((L18/1000)*(K18/1000))^0.625/((L18/1000)+(K18/1000))^0.25</f>
        <v>0.244059926740309</v>
      </c>
      <c r="Q18" s="26" t="n">
        <f aca="false">N18*P18/Hypothèses!$B$20</f>
        <v>40676.6544567182</v>
      </c>
      <c r="R18" s="27" t="n">
        <f aca="false">0.25/(LOG10(Hypothèses!$B$21/(3.7*P18)+5.74/Q18^0.9))^2</f>
        <v>0.0237985309638672</v>
      </c>
      <c r="S18" s="25" t="n">
        <f aca="false">R18/P18*Hypothèses!$B$19*N18^2/2</f>
        <v>0.365666302971</v>
      </c>
      <c r="T18" s="23" t="n">
        <f aca="false">S18*G18*(1+Hypothèses!$B$22)</f>
        <v>0.992784012566266</v>
      </c>
      <c r="U18" s="5"/>
      <c r="V18" s="21" t="str">
        <f aca="false">IF(K18&lt;=Hypothèses!$B$28-100,"oui","NON")</f>
        <v>oui</v>
      </c>
    </row>
    <row r="19" customFormat="false" ht="15" hidden="false" customHeight="false" outlineLevel="0" collapsed="false">
      <c r="A19" s="21" t="s">
        <v>14</v>
      </c>
      <c r="B19" s="21" t="s">
        <v>110</v>
      </c>
      <c r="C19" s="21" t="s">
        <v>90</v>
      </c>
      <c r="D19" s="21" t="s">
        <v>97</v>
      </c>
      <c r="E19" s="21" t="s">
        <v>85</v>
      </c>
      <c r="F19" s="21" t="s">
        <v>98</v>
      </c>
      <c r="G19" s="22" t="n">
        <v>1.93</v>
      </c>
      <c r="H19" s="6" t="n">
        <v>360</v>
      </c>
      <c r="I19" s="23" t="n">
        <f aca="false">INDEX(Hypothèses!$C$6:$C$16,MATCH(H19,Hypothèses!$A$6:$A$16,1))</f>
        <v>3.5</v>
      </c>
      <c r="J19" s="24" t="n">
        <f aca="false">H19/3600/I19</f>
        <v>0.0285714285714286</v>
      </c>
      <c r="K19" s="21" t="n">
        <f aca="false">IF(H19&lt;=2000,Hypothèses!$B$23,IF(H19&lt;=4000,Hypothèses!$B$24,Hypothèses!$B$25))</f>
        <v>250</v>
      </c>
      <c r="L19" s="21" t="n">
        <f aca="false">MAX(Hypothèses!$B$26,CEILING(J19/(K19/1000)*1000,Hypothèses!$B$27))</f>
        <v>200</v>
      </c>
      <c r="M19" s="24" t="n">
        <f aca="false">L19*K19/1000000</f>
        <v>0.05</v>
      </c>
      <c r="N19" s="25" t="n">
        <f aca="false">H19/3600/M19</f>
        <v>2</v>
      </c>
      <c r="O19" s="21" t="str">
        <f aca="false">IF(N19&lt;=I19,"oui","NON")</f>
        <v>oui</v>
      </c>
      <c r="P19" s="24" t="n">
        <f aca="false">1.3*((L19/1000)*(K19/1000))^0.625/((L19/1000)+(K19/1000))^0.25</f>
        <v>0.244059926740309</v>
      </c>
      <c r="Q19" s="26" t="n">
        <f aca="false">N19*P19/Hypothèses!$B$20</f>
        <v>32541.3235653746</v>
      </c>
      <c r="R19" s="27" t="n">
        <f aca="false">0.25/(LOG10(Hypothèses!$B$21/(3.7*P19)+5.74/Q19^0.9))^2</f>
        <v>0.02476271558301</v>
      </c>
      <c r="S19" s="25" t="n">
        <f aca="false">R19/P19*Hypothèses!$B$19*N19^2/2</f>
        <v>0.243507888382105</v>
      </c>
      <c r="T19" s="23" t="n">
        <f aca="false">S19*G19*(1+Hypothèses!$B$22)</f>
        <v>0.704955336866195</v>
      </c>
      <c r="U19" s="5"/>
      <c r="V19" s="21" t="str">
        <f aca="false">IF(K19&lt;=Hypothèses!$B$28-100,"oui","NON")</f>
        <v>oui</v>
      </c>
    </row>
    <row r="20" customFormat="false" ht="15" hidden="false" customHeight="false" outlineLevel="0" collapsed="false">
      <c r="A20" s="21" t="s">
        <v>14</v>
      </c>
      <c r="B20" s="21" t="s">
        <v>111</v>
      </c>
      <c r="C20" s="21" t="s">
        <v>90</v>
      </c>
      <c r="D20" s="21" t="s">
        <v>97</v>
      </c>
      <c r="E20" s="21" t="s">
        <v>85</v>
      </c>
      <c r="F20" s="21" t="s">
        <v>98</v>
      </c>
      <c r="G20" s="22" t="n">
        <v>1.83</v>
      </c>
      <c r="H20" s="6" t="n">
        <v>270</v>
      </c>
      <c r="I20" s="23" t="n">
        <f aca="false">INDEX(Hypothèses!$C$6:$C$16,MATCH(H20,Hypothèses!$A$6:$A$16,1))</f>
        <v>3</v>
      </c>
      <c r="J20" s="24" t="n">
        <f aca="false">H20/3600/I20</f>
        <v>0.025</v>
      </c>
      <c r="K20" s="21" t="n">
        <f aca="false">IF(H20&lt;=2000,Hypothèses!$B$23,IF(H20&lt;=4000,Hypothèses!$B$24,Hypothèses!$B$25))</f>
        <v>250</v>
      </c>
      <c r="L20" s="21" t="n">
        <f aca="false">MAX(Hypothèses!$B$26,CEILING(J20/(K20/1000)*1000,Hypothèses!$B$27))</f>
        <v>200</v>
      </c>
      <c r="M20" s="24" t="n">
        <f aca="false">L20*K20/1000000</f>
        <v>0.05</v>
      </c>
      <c r="N20" s="25" t="n">
        <f aca="false">H20/3600/M20</f>
        <v>1.5</v>
      </c>
      <c r="O20" s="21" t="str">
        <f aca="false">IF(N20&lt;=I20,"oui","NON")</f>
        <v>oui</v>
      </c>
      <c r="P20" s="24" t="n">
        <f aca="false">1.3*((L20/1000)*(K20/1000))^0.625/((L20/1000)+(K20/1000))^0.25</f>
        <v>0.244059926740309</v>
      </c>
      <c r="Q20" s="26" t="n">
        <f aca="false">N20*P20/Hypothèses!$B$20</f>
        <v>24405.9926740309</v>
      </c>
      <c r="R20" s="27" t="n">
        <f aca="false">0.25/(LOG10(Hypothèses!$B$21/(3.7*P20)+5.74/Q20^0.9))^2</f>
        <v>0.0261757755144053</v>
      </c>
      <c r="S20" s="25" t="n">
        <f aca="false">R20/P20*Hypothèses!$B$19*N20^2/2</f>
        <v>0.144789426992034</v>
      </c>
      <c r="T20" s="23" t="n">
        <f aca="false">S20*G20*(1+Hypothèses!$B$22)</f>
        <v>0.397446977093134</v>
      </c>
      <c r="U20" s="5"/>
      <c r="V20" s="21" t="str">
        <f aca="false">IF(K20&lt;=Hypothèses!$B$28-100,"oui","NON")</f>
        <v>oui</v>
      </c>
    </row>
    <row r="21" customFormat="false" ht="15" hidden="false" customHeight="false" outlineLevel="0" collapsed="false">
      <c r="A21" s="21" t="s">
        <v>14</v>
      </c>
      <c r="B21" s="21" t="s">
        <v>112</v>
      </c>
      <c r="C21" s="21" t="s">
        <v>90</v>
      </c>
      <c r="D21" s="21" t="s">
        <v>97</v>
      </c>
      <c r="E21" s="21" t="s">
        <v>85</v>
      </c>
      <c r="F21" s="21" t="s">
        <v>98</v>
      </c>
      <c r="G21" s="22" t="n">
        <v>2.59</v>
      </c>
      <c r="H21" s="6" t="n">
        <v>180</v>
      </c>
      <c r="I21" s="23" t="n">
        <f aca="false">INDEX(Hypothèses!$C$6:$C$16,MATCH(H21,Hypothèses!$A$6:$A$16,1))</f>
        <v>3</v>
      </c>
      <c r="J21" s="24" t="n">
        <f aca="false">H21/3600/I21</f>
        <v>0.0166666666666667</v>
      </c>
      <c r="K21" s="21" t="n">
        <f aca="false">IF(H21&lt;=2000,Hypothèses!$B$23,IF(H21&lt;=4000,Hypothèses!$B$24,Hypothèses!$B$25))</f>
        <v>250</v>
      </c>
      <c r="L21" s="21" t="n">
        <f aca="false">MAX(Hypothèses!$B$26,CEILING(J21/(K21/1000)*1000,Hypothèses!$B$27))</f>
        <v>200</v>
      </c>
      <c r="M21" s="24" t="n">
        <f aca="false">L21*K21/1000000</f>
        <v>0.05</v>
      </c>
      <c r="N21" s="25" t="n">
        <f aca="false">H21/3600/M21</f>
        <v>1</v>
      </c>
      <c r="O21" s="21" t="str">
        <f aca="false">IF(N21&lt;=I21,"oui","NON")</f>
        <v>oui</v>
      </c>
      <c r="P21" s="24" t="n">
        <f aca="false">1.3*((L21/1000)*(K21/1000))^0.625/((L21/1000)+(K21/1000))^0.25</f>
        <v>0.244059926740309</v>
      </c>
      <c r="Q21" s="26" t="n">
        <f aca="false">N21*P21/Hypothèses!$B$20</f>
        <v>16270.6617826873</v>
      </c>
      <c r="R21" s="27" t="n">
        <f aca="false">0.25/(LOG10(Hypothèses!$B$21/(3.7*P21)+5.74/Q21^0.9))^2</f>
        <v>0.0285334679281754</v>
      </c>
      <c r="S21" s="25" t="n">
        <f aca="false">R21/P21*Hypothèses!$B$19*N21^2/2</f>
        <v>0.0701470371869846</v>
      </c>
      <c r="T21" s="23" t="n">
        <f aca="false">S21*G21*(1+Hypothèses!$B$22)</f>
        <v>0.272521239471435</v>
      </c>
      <c r="U21" s="5"/>
      <c r="V21" s="21" t="str">
        <f aca="false">IF(K21&lt;=Hypothèses!$B$28-100,"oui","NON")</f>
        <v>oui</v>
      </c>
    </row>
    <row r="22" customFormat="false" ht="15" hidden="false" customHeight="false" outlineLevel="0" collapsed="false">
      <c r="A22" s="21" t="s">
        <v>14</v>
      </c>
      <c r="B22" s="21" t="s">
        <v>113</v>
      </c>
      <c r="C22" s="21" t="s">
        <v>90</v>
      </c>
      <c r="D22" s="21" t="s">
        <v>97</v>
      </c>
      <c r="E22" s="21" t="s">
        <v>85</v>
      </c>
      <c r="F22" s="21" t="s">
        <v>98</v>
      </c>
      <c r="G22" s="22" t="n">
        <v>1.88</v>
      </c>
      <c r="H22" s="6" t="n">
        <v>90</v>
      </c>
      <c r="I22" s="23" t="n">
        <f aca="false">INDEX(Hypothèses!$C$6:$C$16,MATCH(H22,Hypothèses!$A$6:$A$16,1))</f>
        <v>3</v>
      </c>
      <c r="J22" s="24" t="n">
        <f aca="false">H22/3600/I22</f>
        <v>0.00833333333333333</v>
      </c>
      <c r="K22" s="21" t="n">
        <f aca="false">IF(H22&lt;=2000,Hypothèses!$B$23,IF(H22&lt;=4000,Hypothèses!$B$24,Hypothèses!$B$25))</f>
        <v>250</v>
      </c>
      <c r="L22" s="21" t="n">
        <f aca="false">MAX(Hypothèses!$B$26,CEILING(J22/(K22/1000)*1000,Hypothèses!$B$27))</f>
        <v>200</v>
      </c>
      <c r="M22" s="24" t="n">
        <f aca="false">L22*K22/1000000</f>
        <v>0.05</v>
      </c>
      <c r="N22" s="25" t="n">
        <f aca="false">H22/3600/M22</f>
        <v>0.5</v>
      </c>
      <c r="O22" s="21" t="str">
        <f aca="false">IF(N22&lt;=I22,"oui","NON")</f>
        <v>oui</v>
      </c>
      <c r="P22" s="24" t="n">
        <f aca="false">1.3*((L22/1000)*(K22/1000))^0.625/((L22/1000)+(K22/1000))^0.25</f>
        <v>0.244059926740309</v>
      </c>
      <c r="Q22" s="26" t="n">
        <f aca="false">N22*P22/Hypothèses!$B$20</f>
        <v>8135.33089134364</v>
      </c>
      <c r="R22" s="27" t="n">
        <f aca="false">0.25/(LOG10(Hypothèses!$B$21/(3.7*P22)+5.74/Q22^0.9))^2</f>
        <v>0.033772654686126</v>
      </c>
      <c r="S22" s="25" t="n">
        <f aca="false">R22/P22*Hypothèses!$B$19*N22^2/2</f>
        <v>0.0207567799867008</v>
      </c>
      <c r="T22" s="23" t="n">
        <f aca="false">S22*G22*(1+Hypothèses!$B$22)</f>
        <v>0.0585341195624962</v>
      </c>
      <c r="U22" s="5"/>
      <c r="V22" s="21" t="str">
        <f aca="false">IF(K22&lt;=Hypothèses!$B$28-100,"oui","NON")</f>
        <v>oui</v>
      </c>
    </row>
    <row r="23" customFormat="false" ht="15" hidden="false" customHeight="false" outlineLevel="0" collapsed="false">
      <c r="A23" s="21" t="s">
        <v>14</v>
      </c>
      <c r="B23" s="21" t="s">
        <v>114</v>
      </c>
      <c r="C23" s="21" t="s">
        <v>94</v>
      </c>
      <c r="D23" s="21" t="s">
        <v>97</v>
      </c>
      <c r="E23" s="21" t="s">
        <v>85</v>
      </c>
      <c r="F23" s="21" t="s">
        <v>98</v>
      </c>
      <c r="G23" s="22" t="n">
        <v>3.19</v>
      </c>
      <c r="H23" s="6" t="n">
        <v>360</v>
      </c>
      <c r="I23" s="23" t="n">
        <f aca="false">INDEX(Hypothèses!$C$6:$C$16,MATCH(H23,Hypothèses!$A$6:$A$16,1))</f>
        <v>3.5</v>
      </c>
      <c r="J23" s="24" t="n">
        <f aca="false">H23/3600/I23</f>
        <v>0.0285714285714286</v>
      </c>
      <c r="K23" s="21" t="n">
        <f aca="false">IF(H23&lt;=2000,Hypothèses!$B$23,IF(H23&lt;=4000,Hypothèses!$B$24,Hypothèses!$B$25))</f>
        <v>250</v>
      </c>
      <c r="L23" s="21" t="n">
        <f aca="false">MAX(Hypothèses!$B$26,CEILING(J23/(K23/1000)*1000,Hypothèses!$B$27))</f>
        <v>200</v>
      </c>
      <c r="M23" s="24" t="n">
        <f aca="false">L23*K23/1000000</f>
        <v>0.05</v>
      </c>
      <c r="N23" s="25" t="n">
        <f aca="false">H23/3600/M23</f>
        <v>2</v>
      </c>
      <c r="O23" s="21" t="str">
        <f aca="false">IF(N23&lt;=I23,"oui","NON")</f>
        <v>oui</v>
      </c>
      <c r="P23" s="24" t="n">
        <f aca="false">1.3*((L23/1000)*(K23/1000))^0.625/((L23/1000)+(K23/1000))^0.25</f>
        <v>0.244059926740309</v>
      </c>
      <c r="Q23" s="26" t="n">
        <f aca="false">N23*P23/Hypothèses!$B$20</f>
        <v>32541.3235653746</v>
      </c>
      <c r="R23" s="27" t="n">
        <f aca="false">0.25/(LOG10(Hypothèses!$B$21/(3.7*P23)+5.74/Q23^0.9))^2</f>
        <v>0.02476271558301</v>
      </c>
      <c r="S23" s="25" t="n">
        <f aca="false">R23/P23*Hypothèses!$B$19*N23^2/2</f>
        <v>0.243507888382105</v>
      </c>
      <c r="T23" s="23" t="n">
        <f aca="false">S23*G23*(1+Hypothèses!$B$22)</f>
        <v>1.16518524590837</v>
      </c>
      <c r="U23" s="5"/>
      <c r="V23" s="21" t="str">
        <f aca="false">IF(K23&lt;=Hypothèses!$B$28-100,"oui","NON")</f>
        <v>oui</v>
      </c>
    </row>
    <row r="24" customFormat="false" ht="15" hidden="false" customHeight="false" outlineLevel="0" collapsed="false">
      <c r="A24" s="21" t="s">
        <v>14</v>
      </c>
      <c r="B24" s="21" t="s">
        <v>115</v>
      </c>
      <c r="C24" s="21" t="s">
        <v>94</v>
      </c>
      <c r="D24" s="21" t="s">
        <v>97</v>
      </c>
      <c r="E24" s="21" t="s">
        <v>85</v>
      </c>
      <c r="F24" s="21" t="s">
        <v>98</v>
      </c>
      <c r="G24" s="22" t="n">
        <v>0.84</v>
      </c>
      <c r="H24" s="6" t="n">
        <v>270</v>
      </c>
      <c r="I24" s="23" t="n">
        <f aca="false">INDEX(Hypothèses!$C$6:$C$16,MATCH(H24,Hypothèses!$A$6:$A$16,1))</f>
        <v>3</v>
      </c>
      <c r="J24" s="24" t="n">
        <f aca="false">H24/3600/I24</f>
        <v>0.025</v>
      </c>
      <c r="K24" s="21" t="n">
        <f aca="false">IF(H24&lt;=2000,Hypothèses!$B$23,IF(H24&lt;=4000,Hypothèses!$B$24,Hypothèses!$B$25))</f>
        <v>250</v>
      </c>
      <c r="L24" s="21" t="n">
        <f aca="false">MAX(Hypothèses!$B$26,CEILING(J24/(K24/1000)*1000,Hypothèses!$B$27))</f>
        <v>200</v>
      </c>
      <c r="M24" s="24" t="n">
        <f aca="false">L24*K24/1000000</f>
        <v>0.05</v>
      </c>
      <c r="N24" s="25" t="n">
        <f aca="false">H24/3600/M24</f>
        <v>1.5</v>
      </c>
      <c r="O24" s="21" t="str">
        <f aca="false">IF(N24&lt;=I24,"oui","NON")</f>
        <v>oui</v>
      </c>
      <c r="P24" s="24" t="n">
        <f aca="false">1.3*((L24/1000)*(K24/1000))^0.625/((L24/1000)+(K24/1000))^0.25</f>
        <v>0.244059926740309</v>
      </c>
      <c r="Q24" s="26" t="n">
        <f aca="false">N24*P24/Hypothèses!$B$20</f>
        <v>24405.9926740309</v>
      </c>
      <c r="R24" s="27" t="n">
        <f aca="false">0.25/(LOG10(Hypothèses!$B$21/(3.7*P24)+5.74/Q24^0.9))^2</f>
        <v>0.0261757755144053</v>
      </c>
      <c r="S24" s="25" t="n">
        <f aca="false">R24/P24*Hypothèses!$B$19*N24^2/2</f>
        <v>0.144789426992034</v>
      </c>
      <c r="T24" s="23" t="n">
        <f aca="false">S24*G24*(1+Hypothèses!$B$22)</f>
        <v>0.182434678009963</v>
      </c>
      <c r="U24" s="5"/>
      <c r="V24" s="21" t="str">
        <f aca="false">IF(K24&lt;=Hypothèses!$B$28-100,"oui","NON")</f>
        <v>oui</v>
      </c>
    </row>
    <row r="25" customFormat="false" ht="15" hidden="false" customHeight="false" outlineLevel="0" collapsed="false">
      <c r="A25" s="21" t="s">
        <v>14</v>
      </c>
      <c r="B25" s="21" t="s">
        <v>116</v>
      </c>
      <c r="C25" s="21" t="s">
        <v>94</v>
      </c>
      <c r="D25" s="21" t="s">
        <v>97</v>
      </c>
      <c r="E25" s="21" t="s">
        <v>85</v>
      </c>
      <c r="F25" s="21" t="s">
        <v>98</v>
      </c>
      <c r="G25" s="22" t="n">
        <v>3.56</v>
      </c>
      <c r="H25" s="6" t="n">
        <v>180</v>
      </c>
      <c r="I25" s="23" t="n">
        <f aca="false">INDEX(Hypothèses!$C$6:$C$16,MATCH(H25,Hypothèses!$A$6:$A$16,1))</f>
        <v>3</v>
      </c>
      <c r="J25" s="24" t="n">
        <f aca="false">H25/3600/I25</f>
        <v>0.0166666666666667</v>
      </c>
      <c r="K25" s="21" t="n">
        <f aca="false">IF(H25&lt;=2000,Hypothèses!$B$23,IF(H25&lt;=4000,Hypothèses!$B$24,Hypothèses!$B$25))</f>
        <v>250</v>
      </c>
      <c r="L25" s="21" t="n">
        <f aca="false">MAX(Hypothèses!$B$26,CEILING(J25/(K25/1000)*1000,Hypothèses!$B$27))</f>
        <v>200</v>
      </c>
      <c r="M25" s="24" t="n">
        <f aca="false">L25*K25/1000000</f>
        <v>0.05</v>
      </c>
      <c r="N25" s="25" t="n">
        <f aca="false">H25/3600/M25</f>
        <v>1</v>
      </c>
      <c r="O25" s="21" t="str">
        <f aca="false">IF(N25&lt;=I25,"oui","NON")</f>
        <v>oui</v>
      </c>
      <c r="P25" s="24" t="n">
        <f aca="false">1.3*((L25/1000)*(K25/1000))^0.625/((L25/1000)+(K25/1000))^0.25</f>
        <v>0.244059926740309</v>
      </c>
      <c r="Q25" s="26" t="n">
        <f aca="false">N25*P25/Hypothèses!$B$20</f>
        <v>16270.6617826873</v>
      </c>
      <c r="R25" s="27" t="n">
        <f aca="false">0.25/(LOG10(Hypothèses!$B$21/(3.7*P25)+5.74/Q25^0.9))^2</f>
        <v>0.0285334679281754</v>
      </c>
      <c r="S25" s="25" t="n">
        <f aca="false">R25/P25*Hypothèses!$B$19*N25^2/2</f>
        <v>0.0701470371869846</v>
      </c>
      <c r="T25" s="23" t="n">
        <f aca="false">S25*G25*(1+Hypothèses!$B$22)</f>
        <v>0.374585178578498</v>
      </c>
      <c r="U25" s="5"/>
      <c r="V25" s="21" t="str">
        <f aca="false">IF(K25&lt;=Hypothèses!$B$28-100,"oui","NON")</f>
        <v>oui</v>
      </c>
    </row>
    <row r="26" customFormat="false" ht="15" hidden="false" customHeight="false" outlineLevel="0" collapsed="false">
      <c r="A26" s="21" t="s">
        <v>14</v>
      </c>
      <c r="B26" s="21" t="s">
        <v>117</v>
      </c>
      <c r="C26" s="21" t="s">
        <v>94</v>
      </c>
      <c r="D26" s="21" t="s">
        <v>97</v>
      </c>
      <c r="E26" s="21" t="s">
        <v>85</v>
      </c>
      <c r="F26" s="21" t="s">
        <v>98</v>
      </c>
      <c r="G26" s="22" t="n">
        <v>0.21</v>
      </c>
      <c r="H26" s="6" t="n">
        <v>90</v>
      </c>
      <c r="I26" s="23" t="n">
        <f aca="false">INDEX(Hypothèses!$C$6:$C$16,MATCH(H26,Hypothèses!$A$6:$A$16,1))</f>
        <v>3</v>
      </c>
      <c r="J26" s="24" t="n">
        <f aca="false">H26/3600/I26</f>
        <v>0.00833333333333333</v>
      </c>
      <c r="K26" s="21" t="n">
        <f aca="false">IF(H26&lt;=2000,Hypothèses!$B$23,IF(H26&lt;=4000,Hypothèses!$B$24,Hypothèses!$B$25))</f>
        <v>250</v>
      </c>
      <c r="L26" s="21" t="n">
        <f aca="false">MAX(Hypothèses!$B$26,CEILING(J26/(K26/1000)*1000,Hypothèses!$B$27))</f>
        <v>200</v>
      </c>
      <c r="M26" s="24" t="n">
        <f aca="false">L26*K26/1000000</f>
        <v>0.05</v>
      </c>
      <c r="N26" s="25" t="n">
        <f aca="false">H26/3600/M26</f>
        <v>0.5</v>
      </c>
      <c r="O26" s="21" t="str">
        <f aca="false">IF(N26&lt;=I26,"oui","NON")</f>
        <v>oui</v>
      </c>
      <c r="P26" s="24" t="n">
        <f aca="false">1.3*((L26/1000)*(K26/1000))^0.625/((L26/1000)+(K26/1000))^0.25</f>
        <v>0.244059926740309</v>
      </c>
      <c r="Q26" s="26" t="n">
        <f aca="false">N26*P26/Hypothèses!$B$20</f>
        <v>8135.33089134364</v>
      </c>
      <c r="R26" s="27" t="n">
        <f aca="false">0.25/(LOG10(Hypothèses!$B$21/(3.7*P26)+5.74/Q26^0.9))^2</f>
        <v>0.033772654686126</v>
      </c>
      <c r="S26" s="25" t="n">
        <f aca="false">R26/P26*Hypothèses!$B$19*N26^2/2</f>
        <v>0.0207567799867008</v>
      </c>
      <c r="T26" s="23" t="n">
        <f aca="false">S26*G26*(1+Hypothèses!$B$22)</f>
        <v>0.00653838569581074</v>
      </c>
      <c r="U26" s="5"/>
      <c r="V26" s="21" t="str">
        <f aca="false">IF(K26&lt;=Hypothèses!$B$28-100,"oui","NON")</f>
        <v>oui</v>
      </c>
    </row>
    <row r="27" customFormat="false" ht="15" hidden="false" customHeight="false" outlineLevel="0" collapsed="false">
      <c r="A27" s="21" t="s">
        <v>14</v>
      </c>
      <c r="B27" s="21" t="s">
        <v>118</v>
      </c>
      <c r="C27" s="21" t="s">
        <v>94</v>
      </c>
      <c r="D27" s="21" t="s">
        <v>97</v>
      </c>
      <c r="E27" s="21" t="s">
        <v>85</v>
      </c>
      <c r="F27" s="21" t="s">
        <v>98</v>
      </c>
      <c r="G27" s="22" t="n">
        <v>0.44</v>
      </c>
      <c r="H27" s="6" t="n">
        <v>900</v>
      </c>
      <c r="I27" s="23" t="n">
        <f aca="false">INDEX(Hypothèses!$C$6:$C$16,MATCH(H27,Hypothèses!$A$6:$A$16,1))</f>
        <v>4.5</v>
      </c>
      <c r="J27" s="24" t="n">
        <f aca="false">H27/3600/I27</f>
        <v>0.0555555555555556</v>
      </c>
      <c r="K27" s="21" t="n">
        <f aca="false">IF(H27&lt;=2000,Hypothèses!$B$23,IF(H27&lt;=4000,Hypothèses!$B$24,Hypothèses!$B$25))</f>
        <v>250</v>
      </c>
      <c r="L27" s="21" t="n">
        <f aca="false">MAX(Hypothèses!$B$26,CEILING(J27/(K27/1000)*1000,Hypothèses!$B$27))</f>
        <v>250</v>
      </c>
      <c r="M27" s="24" t="n">
        <f aca="false">L27*K27/1000000</f>
        <v>0.0625</v>
      </c>
      <c r="N27" s="25" t="n">
        <f aca="false">H27/3600/M27</f>
        <v>4</v>
      </c>
      <c r="O27" s="21" t="str">
        <f aca="false">IF(N27&lt;=I27,"oui","NON")</f>
        <v>oui</v>
      </c>
      <c r="P27" s="24" t="n">
        <f aca="false">1.3*((L27/1000)*(K27/1000))^0.625/((L27/1000)+(K27/1000))^0.25</f>
        <v>0.273291334957457</v>
      </c>
      <c r="Q27" s="26" t="n">
        <f aca="false">N27*P27/Hypothèses!$B$20</f>
        <v>72877.6893219886</v>
      </c>
      <c r="R27" s="27" t="n">
        <f aca="false">0.25/(LOG10(Hypothèses!$B$21/(3.7*P27)+5.74/Q27^0.9))^2</f>
        <v>0.0215081903576626</v>
      </c>
      <c r="S27" s="25" t="n">
        <f aca="false">R27/P27*Hypothèses!$B$19*N27^2/2</f>
        <v>0.755525701046112</v>
      </c>
      <c r="T27" s="23" t="n">
        <f aca="false">S27*G27*(1+Hypothèses!$B$22)</f>
        <v>0.498646962690434</v>
      </c>
      <c r="U27" s="5" t="s">
        <v>87</v>
      </c>
      <c r="V27" s="21" t="str">
        <f aca="false">IF(K27&lt;=Hypothèses!$B$28-100,"oui","NON")</f>
        <v>oui</v>
      </c>
    </row>
    <row r="28" customFormat="false" ht="15" hidden="false" customHeight="false" outlineLevel="0" collapsed="false">
      <c r="A28" s="21" t="s">
        <v>14</v>
      </c>
      <c r="B28" s="21" t="s">
        <v>119</v>
      </c>
      <c r="C28" s="21" t="s">
        <v>94</v>
      </c>
      <c r="D28" s="21" t="s">
        <v>97</v>
      </c>
      <c r="E28" s="21" t="s">
        <v>85</v>
      </c>
      <c r="F28" s="21" t="s">
        <v>104</v>
      </c>
      <c r="G28" s="22" t="n">
        <v>0.41</v>
      </c>
      <c r="H28" s="6" t="n">
        <v>810</v>
      </c>
      <c r="I28" s="23" t="n">
        <f aca="false">INDEX(Hypothèses!$C$6:$C$16,MATCH(H28,Hypothèses!$A$6:$A$16,1))</f>
        <v>4.5</v>
      </c>
      <c r="J28" s="24" t="n">
        <f aca="false">H28/3600/I28</f>
        <v>0.05</v>
      </c>
      <c r="K28" s="21" t="n">
        <f aca="false">IF(H28&lt;=2000,Hypothèses!$B$23,IF(H28&lt;=4000,Hypothèses!$B$24,Hypothèses!$B$25))</f>
        <v>250</v>
      </c>
      <c r="L28" s="21" t="n">
        <f aca="false">MAX(Hypothèses!$B$26,CEILING(J28/(K28/1000)*1000,Hypothèses!$B$27))</f>
        <v>200</v>
      </c>
      <c r="M28" s="24" t="n">
        <f aca="false">L28*K28/1000000</f>
        <v>0.05</v>
      </c>
      <c r="N28" s="25" t="n">
        <f aca="false">H28/3600/M28</f>
        <v>4.5</v>
      </c>
      <c r="O28" s="21" t="str">
        <f aca="false">IF(N28&lt;=I28,"oui","NON")</f>
        <v>oui</v>
      </c>
      <c r="P28" s="24" t="n">
        <f aca="false">1.3*((L28/1000)*(K28/1000))^0.625/((L28/1000)+(K28/1000))^0.25</f>
        <v>0.244059926740309</v>
      </c>
      <c r="Q28" s="26" t="n">
        <f aca="false">N28*P28/Hypothèses!$B$20</f>
        <v>73217.9780220928</v>
      </c>
      <c r="R28" s="27" t="n">
        <f aca="false">0.25/(LOG10(Hypothèses!$B$21/(3.7*P28)+5.74/Q28^0.9))^2</f>
        <v>0.0217407914266501</v>
      </c>
      <c r="S28" s="25" t="n">
        <f aca="false">R28/P28*Hypothèses!$B$19*N28^2/2</f>
        <v>1.08231867214672</v>
      </c>
      <c r="T28" s="23" t="n">
        <f aca="false">S28*G28*(1+Hypothèses!$B$22)</f>
        <v>0.665625983370236</v>
      </c>
      <c r="U28" s="5" t="s">
        <v>87</v>
      </c>
      <c r="V28" s="21" t="str">
        <f aca="false">IF(K28&lt;=Hypothèses!$B$28-100,"oui","NON")</f>
        <v>oui</v>
      </c>
    </row>
    <row r="29" customFormat="false" ht="15" hidden="false" customHeight="false" outlineLevel="0" collapsed="false">
      <c r="A29" s="21" t="s">
        <v>14</v>
      </c>
      <c r="B29" s="21" t="s">
        <v>120</v>
      </c>
      <c r="C29" s="21" t="s">
        <v>94</v>
      </c>
      <c r="D29" s="21" t="s">
        <v>97</v>
      </c>
      <c r="E29" s="21" t="s">
        <v>85</v>
      </c>
      <c r="F29" s="21" t="s">
        <v>104</v>
      </c>
      <c r="G29" s="22" t="n">
        <v>4.16</v>
      </c>
      <c r="H29" s="6" t="n">
        <v>720</v>
      </c>
      <c r="I29" s="23" t="n">
        <f aca="false">INDEX(Hypothèses!$C$6:$C$16,MATCH(H29,Hypothèses!$A$6:$A$16,1))</f>
        <v>4</v>
      </c>
      <c r="J29" s="24" t="n">
        <f aca="false">H29/3600/I29</f>
        <v>0.05</v>
      </c>
      <c r="K29" s="21" t="n">
        <f aca="false">IF(H29&lt;=2000,Hypothèses!$B$23,IF(H29&lt;=4000,Hypothèses!$B$24,Hypothèses!$B$25))</f>
        <v>250</v>
      </c>
      <c r="L29" s="21" t="n">
        <f aca="false">MAX(Hypothèses!$B$26,CEILING(J29/(K29/1000)*1000,Hypothèses!$B$27))</f>
        <v>200</v>
      </c>
      <c r="M29" s="24" t="n">
        <f aca="false">L29*K29/1000000</f>
        <v>0.05</v>
      </c>
      <c r="N29" s="25" t="n">
        <f aca="false">H29/3600/M29</f>
        <v>4</v>
      </c>
      <c r="O29" s="21" t="str">
        <f aca="false">IF(N29&lt;=I29,"oui","NON")</f>
        <v>oui</v>
      </c>
      <c r="P29" s="24" t="n">
        <f aca="false">1.3*((L29/1000)*(K29/1000))^0.625/((L29/1000)+(K29/1000))^0.25</f>
        <v>0.244059926740309</v>
      </c>
      <c r="Q29" s="26" t="n">
        <f aca="false">N29*P29/Hypothèses!$B$20</f>
        <v>65082.6471307491</v>
      </c>
      <c r="R29" s="27" t="n">
        <f aca="false">0.25/(LOG10(Hypothèses!$B$21/(3.7*P29)+5.74/Q29^0.9))^2</f>
        <v>0.0221017738290741</v>
      </c>
      <c r="S29" s="25" t="n">
        <f aca="false">R29/P29*Hypothèses!$B$19*N29^2/2</f>
        <v>0.869364469591424</v>
      </c>
      <c r="T29" s="23" t="n">
        <f aca="false">S29*G29*(1+Hypothèses!$B$22)</f>
        <v>5.42483429025049</v>
      </c>
      <c r="U29" s="5" t="s">
        <v>87</v>
      </c>
      <c r="V29" s="21" t="str">
        <f aca="false">IF(K29&lt;=Hypothèses!$B$28-100,"oui","NON")</f>
        <v>oui</v>
      </c>
    </row>
    <row r="30" customFormat="false" ht="15" hidden="false" customHeight="false" outlineLevel="0" collapsed="false">
      <c r="A30" s="21" t="s">
        <v>14</v>
      </c>
      <c r="B30" s="21" t="s">
        <v>121</v>
      </c>
      <c r="C30" s="21" t="s">
        <v>94</v>
      </c>
      <c r="D30" s="21" t="s">
        <v>97</v>
      </c>
      <c r="E30" s="21" t="s">
        <v>85</v>
      </c>
      <c r="F30" s="21"/>
      <c r="G30" s="22" t="n">
        <v>1.5</v>
      </c>
      <c r="H30" s="6" t="n">
        <v>630</v>
      </c>
      <c r="I30" s="23" t="n">
        <f aca="false">INDEX(Hypothèses!$C$6:$C$16,MATCH(H30,Hypothèses!$A$6:$A$16,1))</f>
        <v>4</v>
      </c>
      <c r="J30" s="24" t="n">
        <f aca="false">H30/3600/I30</f>
        <v>0.04375</v>
      </c>
      <c r="K30" s="21" t="n">
        <f aca="false">IF(H30&lt;=2000,Hypothèses!$B$23,IF(H30&lt;=4000,Hypothèses!$B$24,Hypothèses!$B$25))</f>
        <v>250</v>
      </c>
      <c r="L30" s="21" t="n">
        <f aca="false">MAX(Hypothèses!$B$26,CEILING(J30/(K30/1000)*1000,Hypothèses!$B$27))</f>
        <v>200</v>
      </c>
      <c r="M30" s="24" t="n">
        <f aca="false">L30*K30/1000000</f>
        <v>0.05</v>
      </c>
      <c r="N30" s="25" t="n">
        <f aca="false">H30/3600/M30</f>
        <v>3.5</v>
      </c>
      <c r="O30" s="21" t="str">
        <f aca="false">IF(N30&lt;=I30,"oui","NON")</f>
        <v>oui</v>
      </c>
      <c r="P30" s="24" t="n">
        <f aca="false">1.3*((L30/1000)*(K30/1000))^0.625/((L30/1000)+(K30/1000))^0.25</f>
        <v>0.244059926740309</v>
      </c>
      <c r="Q30" s="26" t="n">
        <f aca="false">N30*P30/Hypothèses!$B$20</f>
        <v>56947.3162394055</v>
      </c>
      <c r="R30" s="27" t="n">
        <f aca="false">0.25/(LOG10(Hypothèses!$B$21/(3.7*P30)+5.74/Q30^0.9))^2</f>
        <v>0.0225408508367514</v>
      </c>
      <c r="S30" s="25" t="n">
        <f aca="false">R30/P30*Hypothèses!$B$19*N30^2/2</f>
        <v>0.678830219540338</v>
      </c>
      <c r="T30" s="23" t="n">
        <f aca="false">S30*G30*(1+Hypothèses!$B$22)</f>
        <v>1.52736799396576</v>
      </c>
      <c r="U30" s="5" t="s">
        <v>87</v>
      </c>
      <c r="V30" s="21" t="str">
        <f aca="false">IF(K30&lt;=Hypothèses!$B$28-100,"oui","NON")</f>
        <v>oui</v>
      </c>
    </row>
    <row r="31" customFormat="false" ht="15" hidden="false" customHeight="false" outlineLevel="0" collapsed="false">
      <c r="A31" s="21" t="s">
        <v>14</v>
      </c>
      <c r="B31" s="21" t="s">
        <v>122</v>
      </c>
      <c r="C31" s="21" t="s">
        <v>94</v>
      </c>
      <c r="D31" s="21" t="s">
        <v>97</v>
      </c>
      <c r="E31" s="21" t="s">
        <v>85</v>
      </c>
      <c r="F31" s="21" t="s">
        <v>98</v>
      </c>
      <c r="G31" s="22" t="n">
        <v>0.45</v>
      </c>
      <c r="H31" s="6" t="n">
        <v>630</v>
      </c>
      <c r="I31" s="23" t="n">
        <f aca="false">INDEX(Hypothèses!$C$6:$C$16,MATCH(H31,Hypothèses!$A$6:$A$16,1))</f>
        <v>4</v>
      </c>
      <c r="J31" s="24" t="n">
        <f aca="false">H31/3600/I31</f>
        <v>0.04375</v>
      </c>
      <c r="K31" s="21" t="n">
        <f aca="false">IF(H31&lt;=2000,Hypothèses!$B$23,IF(H31&lt;=4000,Hypothèses!$B$24,Hypothèses!$B$25))</f>
        <v>250</v>
      </c>
      <c r="L31" s="21" t="n">
        <f aca="false">MAX(Hypothèses!$B$26,CEILING(J31/(K31/1000)*1000,Hypothèses!$B$27))</f>
        <v>200</v>
      </c>
      <c r="M31" s="24" t="n">
        <f aca="false">L31*K31/1000000</f>
        <v>0.05</v>
      </c>
      <c r="N31" s="25" t="n">
        <f aca="false">H31/3600/M31</f>
        <v>3.5</v>
      </c>
      <c r="O31" s="21" t="str">
        <f aca="false">IF(N31&lt;=I31,"oui","NON")</f>
        <v>oui</v>
      </c>
      <c r="P31" s="24" t="n">
        <f aca="false">1.3*((L31/1000)*(K31/1000))^0.625/((L31/1000)+(K31/1000))^0.25</f>
        <v>0.244059926740309</v>
      </c>
      <c r="Q31" s="26" t="n">
        <f aca="false">N31*P31/Hypothèses!$B$20</f>
        <v>56947.3162394055</v>
      </c>
      <c r="R31" s="27" t="n">
        <f aca="false">0.25/(LOG10(Hypothèses!$B$21/(3.7*P31)+5.74/Q31^0.9))^2</f>
        <v>0.0225408508367514</v>
      </c>
      <c r="S31" s="25" t="n">
        <f aca="false">R31/P31*Hypothèses!$B$19*N31^2/2</f>
        <v>0.678830219540338</v>
      </c>
      <c r="T31" s="23" t="n">
        <f aca="false">S31*G31*(1+Hypothèses!$B$22)</f>
        <v>0.458210398189728</v>
      </c>
      <c r="U31" s="5" t="s">
        <v>87</v>
      </c>
      <c r="V31" s="21" t="str">
        <f aca="false">IF(K31&lt;=Hypothèses!$B$28-100,"oui","NON")</f>
        <v>oui</v>
      </c>
    </row>
    <row r="32" customFormat="false" ht="15" hidden="false" customHeight="false" outlineLevel="0" collapsed="false">
      <c r="A32" s="21" t="s">
        <v>14</v>
      </c>
      <c r="B32" s="21" t="s">
        <v>123</v>
      </c>
      <c r="C32" s="21" t="s">
        <v>94</v>
      </c>
      <c r="D32" s="21" t="s">
        <v>97</v>
      </c>
      <c r="E32" s="21" t="s">
        <v>85</v>
      </c>
      <c r="F32" s="21" t="s">
        <v>98</v>
      </c>
      <c r="G32" s="22" t="n">
        <v>2.66</v>
      </c>
      <c r="H32" s="6" t="n">
        <v>540</v>
      </c>
      <c r="I32" s="23" t="n">
        <f aca="false">INDEX(Hypothèses!$C$6:$C$16,MATCH(H32,Hypothèses!$A$6:$A$16,1))</f>
        <v>3.5</v>
      </c>
      <c r="J32" s="24" t="n">
        <f aca="false">H32/3600/I32</f>
        <v>0.0428571428571429</v>
      </c>
      <c r="K32" s="21" t="n">
        <f aca="false">IF(H32&lt;=2000,Hypothèses!$B$23,IF(H32&lt;=4000,Hypothèses!$B$24,Hypothèses!$B$25))</f>
        <v>250</v>
      </c>
      <c r="L32" s="21" t="n">
        <f aca="false">MAX(Hypothèses!$B$26,CEILING(J32/(K32/1000)*1000,Hypothèses!$B$27))</f>
        <v>200</v>
      </c>
      <c r="M32" s="24" t="n">
        <f aca="false">L32*K32/1000000</f>
        <v>0.05</v>
      </c>
      <c r="N32" s="25" t="n">
        <f aca="false">H32/3600/M32</f>
        <v>3</v>
      </c>
      <c r="O32" s="21" t="str">
        <f aca="false">IF(N32&lt;=I32,"oui","NON")</f>
        <v>oui</v>
      </c>
      <c r="P32" s="24" t="n">
        <f aca="false">1.3*((L32/1000)*(K32/1000))^0.625/((L32/1000)+(K32/1000))^0.25</f>
        <v>0.244059926740309</v>
      </c>
      <c r="Q32" s="26" t="n">
        <f aca="false">N32*P32/Hypothèses!$B$20</f>
        <v>48811.9853480618</v>
      </c>
      <c r="R32" s="27" t="n">
        <f aca="false">0.25/(LOG10(Hypothèses!$B$21/(3.7*P32)+5.74/Q32^0.9))^2</f>
        <v>0.0230891942725925</v>
      </c>
      <c r="S32" s="25" t="n">
        <f aca="false">R32/P32*Hypothèses!$B$19*N32^2/2</f>
        <v>0.510864895918232</v>
      </c>
      <c r="T32" s="23" t="n">
        <f aca="false">S32*G32*(1+Hypothèses!$B$22)</f>
        <v>2.03835093471375</v>
      </c>
      <c r="U32" s="5" t="s">
        <v>87</v>
      </c>
      <c r="V32" s="21" t="str">
        <f aca="false">IF(K32&lt;=Hypothèses!$B$28-100,"oui","NON")</f>
        <v>oui</v>
      </c>
    </row>
    <row r="33" customFormat="false" ht="15" hidden="false" customHeight="false" outlineLevel="0" collapsed="false">
      <c r="A33" s="21" t="s">
        <v>14</v>
      </c>
      <c r="B33" s="21" t="s">
        <v>124</v>
      </c>
      <c r="C33" s="21" t="s">
        <v>94</v>
      </c>
      <c r="D33" s="21" t="s">
        <v>97</v>
      </c>
      <c r="E33" s="21" t="s">
        <v>85</v>
      </c>
      <c r="F33" s="21" t="s">
        <v>98</v>
      </c>
      <c r="G33" s="22" t="n">
        <v>1.81</v>
      </c>
      <c r="H33" s="6" t="n">
        <v>450</v>
      </c>
      <c r="I33" s="23" t="n">
        <f aca="false">INDEX(Hypothèses!$C$6:$C$16,MATCH(H33,Hypothèses!$A$6:$A$16,1))</f>
        <v>3.5</v>
      </c>
      <c r="J33" s="24" t="n">
        <f aca="false">H33/3600/I33</f>
        <v>0.0357142857142857</v>
      </c>
      <c r="K33" s="21" t="n">
        <f aca="false">IF(H33&lt;=2000,Hypothèses!$B$23,IF(H33&lt;=4000,Hypothèses!$B$24,Hypothèses!$B$25))</f>
        <v>250</v>
      </c>
      <c r="L33" s="21" t="n">
        <f aca="false">MAX(Hypothèses!$B$26,CEILING(J33/(K33/1000)*1000,Hypothèses!$B$27))</f>
        <v>200</v>
      </c>
      <c r="M33" s="24" t="n">
        <f aca="false">L33*K33/1000000</f>
        <v>0.05</v>
      </c>
      <c r="N33" s="25" t="n">
        <f aca="false">H33/3600/M33</f>
        <v>2.5</v>
      </c>
      <c r="O33" s="21" t="str">
        <f aca="false">IF(N33&lt;=I33,"oui","NON")</f>
        <v>oui</v>
      </c>
      <c r="P33" s="24" t="n">
        <f aca="false">1.3*((L33/1000)*(K33/1000))^0.625/((L33/1000)+(K33/1000))^0.25</f>
        <v>0.244059926740309</v>
      </c>
      <c r="Q33" s="26" t="n">
        <f aca="false">N33*P33/Hypothèses!$B$20</f>
        <v>40676.6544567182</v>
      </c>
      <c r="R33" s="27" t="n">
        <f aca="false">0.25/(LOG10(Hypothèses!$B$21/(3.7*P33)+5.74/Q33^0.9))^2</f>
        <v>0.0237985309638672</v>
      </c>
      <c r="S33" s="25" t="n">
        <f aca="false">R33/P33*Hypothèses!$B$19*N33^2/2</f>
        <v>0.365666302971</v>
      </c>
      <c r="T33" s="23" t="n">
        <f aca="false">S33*G33*(1+Hypothèses!$B$22)</f>
        <v>0.992784012566266</v>
      </c>
      <c r="U33" s="5" t="s">
        <v>87</v>
      </c>
      <c r="V33" s="21" t="str">
        <f aca="false">IF(K33&lt;=Hypothèses!$B$28-100,"oui","NON")</f>
        <v>oui</v>
      </c>
    </row>
    <row r="34" customFormat="false" ht="15" hidden="false" customHeight="false" outlineLevel="0" collapsed="false">
      <c r="A34" s="21" t="s">
        <v>14</v>
      </c>
      <c r="B34" s="21" t="s">
        <v>125</v>
      </c>
      <c r="C34" s="21" t="s">
        <v>94</v>
      </c>
      <c r="D34" s="21" t="s">
        <v>97</v>
      </c>
      <c r="E34" s="21" t="s">
        <v>85</v>
      </c>
      <c r="F34" s="21" t="s">
        <v>98</v>
      </c>
      <c r="G34" s="22" t="n">
        <v>1.93</v>
      </c>
      <c r="H34" s="6" t="n">
        <v>360</v>
      </c>
      <c r="I34" s="23" t="n">
        <f aca="false">INDEX(Hypothèses!$C$6:$C$16,MATCH(H34,Hypothèses!$A$6:$A$16,1))</f>
        <v>3.5</v>
      </c>
      <c r="J34" s="24" t="n">
        <f aca="false">H34/3600/I34</f>
        <v>0.0285714285714286</v>
      </c>
      <c r="K34" s="21" t="n">
        <f aca="false">IF(H34&lt;=2000,Hypothèses!$B$23,IF(H34&lt;=4000,Hypothèses!$B$24,Hypothèses!$B$25))</f>
        <v>250</v>
      </c>
      <c r="L34" s="21" t="n">
        <f aca="false">MAX(Hypothèses!$B$26,CEILING(J34/(K34/1000)*1000,Hypothèses!$B$27))</f>
        <v>200</v>
      </c>
      <c r="M34" s="24" t="n">
        <f aca="false">L34*K34/1000000</f>
        <v>0.05</v>
      </c>
      <c r="N34" s="25" t="n">
        <f aca="false">H34/3600/M34</f>
        <v>2</v>
      </c>
      <c r="O34" s="21" t="str">
        <f aca="false">IF(N34&lt;=I34,"oui","NON")</f>
        <v>oui</v>
      </c>
      <c r="P34" s="24" t="n">
        <f aca="false">1.3*((L34/1000)*(K34/1000))^0.625/((L34/1000)+(K34/1000))^0.25</f>
        <v>0.244059926740309</v>
      </c>
      <c r="Q34" s="26" t="n">
        <f aca="false">N34*P34/Hypothèses!$B$20</f>
        <v>32541.3235653746</v>
      </c>
      <c r="R34" s="27" t="n">
        <f aca="false">0.25/(LOG10(Hypothèses!$B$21/(3.7*P34)+5.74/Q34^0.9))^2</f>
        <v>0.02476271558301</v>
      </c>
      <c r="S34" s="25" t="n">
        <f aca="false">R34/P34*Hypothèses!$B$19*N34^2/2</f>
        <v>0.243507888382105</v>
      </c>
      <c r="T34" s="23" t="n">
        <f aca="false">S34*G34*(1+Hypothèses!$B$22)</f>
        <v>0.704955336866195</v>
      </c>
      <c r="U34" s="5" t="s">
        <v>87</v>
      </c>
      <c r="V34" s="21" t="str">
        <f aca="false">IF(K34&lt;=Hypothèses!$B$28-100,"oui","NON")</f>
        <v>oui</v>
      </c>
    </row>
    <row r="35" customFormat="false" ht="15" hidden="false" customHeight="false" outlineLevel="0" collapsed="false">
      <c r="A35" s="21" t="s">
        <v>14</v>
      </c>
      <c r="B35" s="21" t="s">
        <v>126</v>
      </c>
      <c r="C35" s="21" t="s">
        <v>94</v>
      </c>
      <c r="D35" s="21" t="s">
        <v>97</v>
      </c>
      <c r="E35" s="21" t="s">
        <v>85</v>
      </c>
      <c r="F35" s="21" t="s">
        <v>98</v>
      </c>
      <c r="G35" s="22" t="n">
        <v>1.83</v>
      </c>
      <c r="H35" s="6" t="n">
        <v>270</v>
      </c>
      <c r="I35" s="23" t="n">
        <f aca="false">INDEX(Hypothèses!$C$6:$C$16,MATCH(H35,Hypothèses!$A$6:$A$16,1))</f>
        <v>3</v>
      </c>
      <c r="J35" s="24" t="n">
        <f aca="false">H35/3600/I35</f>
        <v>0.025</v>
      </c>
      <c r="K35" s="21" t="n">
        <f aca="false">IF(H35&lt;=2000,Hypothèses!$B$23,IF(H35&lt;=4000,Hypothèses!$B$24,Hypothèses!$B$25))</f>
        <v>250</v>
      </c>
      <c r="L35" s="21" t="n">
        <f aca="false">MAX(Hypothèses!$B$26,CEILING(J35/(K35/1000)*1000,Hypothèses!$B$27))</f>
        <v>200</v>
      </c>
      <c r="M35" s="24" t="n">
        <f aca="false">L35*K35/1000000</f>
        <v>0.05</v>
      </c>
      <c r="N35" s="25" t="n">
        <f aca="false">H35/3600/M35</f>
        <v>1.5</v>
      </c>
      <c r="O35" s="21" t="str">
        <f aca="false">IF(N35&lt;=I35,"oui","NON")</f>
        <v>oui</v>
      </c>
      <c r="P35" s="24" t="n">
        <f aca="false">1.3*((L35/1000)*(K35/1000))^0.625/((L35/1000)+(K35/1000))^0.25</f>
        <v>0.244059926740309</v>
      </c>
      <c r="Q35" s="26" t="n">
        <f aca="false">N35*P35/Hypothèses!$B$20</f>
        <v>24405.9926740309</v>
      </c>
      <c r="R35" s="27" t="n">
        <f aca="false">0.25/(LOG10(Hypothèses!$B$21/(3.7*P35)+5.74/Q35^0.9))^2</f>
        <v>0.0261757755144053</v>
      </c>
      <c r="S35" s="25" t="n">
        <f aca="false">R35/P35*Hypothèses!$B$19*N35^2/2</f>
        <v>0.144789426992034</v>
      </c>
      <c r="T35" s="23" t="n">
        <f aca="false">S35*G35*(1+Hypothèses!$B$22)</f>
        <v>0.397446977093134</v>
      </c>
      <c r="U35" s="5" t="s">
        <v>87</v>
      </c>
      <c r="V35" s="21" t="str">
        <f aca="false">IF(K35&lt;=Hypothèses!$B$28-100,"oui","NON")</f>
        <v>oui</v>
      </c>
    </row>
    <row r="36" customFormat="false" ht="15" hidden="false" customHeight="false" outlineLevel="0" collapsed="false">
      <c r="A36" s="21" t="s">
        <v>14</v>
      </c>
      <c r="B36" s="21" t="s">
        <v>127</v>
      </c>
      <c r="C36" s="21" t="s">
        <v>94</v>
      </c>
      <c r="D36" s="21" t="s">
        <v>97</v>
      </c>
      <c r="E36" s="21" t="s">
        <v>85</v>
      </c>
      <c r="F36" s="21" t="s">
        <v>98</v>
      </c>
      <c r="G36" s="22" t="n">
        <v>2.59</v>
      </c>
      <c r="H36" s="6" t="n">
        <v>180</v>
      </c>
      <c r="I36" s="23" t="n">
        <f aca="false">INDEX(Hypothèses!$C$6:$C$16,MATCH(H36,Hypothèses!$A$6:$A$16,1))</f>
        <v>3</v>
      </c>
      <c r="J36" s="24" t="n">
        <f aca="false">H36/3600/I36</f>
        <v>0.0166666666666667</v>
      </c>
      <c r="K36" s="21" t="n">
        <f aca="false">IF(H36&lt;=2000,Hypothèses!$B$23,IF(H36&lt;=4000,Hypothèses!$B$24,Hypothèses!$B$25))</f>
        <v>250</v>
      </c>
      <c r="L36" s="21" t="n">
        <f aca="false">MAX(Hypothèses!$B$26,CEILING(J36/(K36/1000)*1000,Hypothèses!$B$27))</f>
        <v>200</v>
      </c>
      <c r="M36" s="24" t="n">
        <f aca="false">L36*K36/1000000</f>
        <v>0.05</v>
      </c>
      <c r="N36" s="25" t="n">
        <f aca="false">H36/3600/M36</f>
        <v>1</v>
      </c>
      <c r="O36" s="21" t="str">
        <f aca="false">IF(N36&lt;=I36,"oui","NON")</f>
        <v>oui</v>
      </c>
      <c r="P36" s="24" t="n">
        <f aca="false">1.3*((L36/1000)*(K36/1000))^0.625/((L36/1000)+(K36/1000))^0.25</f>
        <v>0.244059926740309</v>
      </c>
      <c r="Q36" s="26" t="n">
        <f aca="false">N36*P36/Hypothèses!$B$20</f>
        <v>16270.6617826873</v>
      </c>
      <c r="R36" s="27" t="n">
        <f aca="false">0.25/(LOG10(Hypothèses!$B$21/(3.7*P36)+5.74/Q36^0.9))^2</f>
        <v>0.0285334679281754</v>
      </c>
      <c r="S36" s="25" t="n">
        <f aca="false">R36/P36*Hypothèses!$B$19*N36^2/2</f>
        <v>0.0701470371869846</v>
      </c>
      <c r="T36" s="23" t="n">
        <f aca="false">S36*G36*(1+Hypothèses!$B$22)</f>
        <v>0.272521239471435</v>
      </c>
      <c r="U36" s="5" t="s">
        <v>87</v>
      </c>
      <c r="V36" s="21" t="str">
        <f aca="false">IF(K36&lt;=Hypothèses!$B$28-100,"oui","NON")</f>
        <v>oui</v>
      </c>
    </row>
    <row r="37" customFormat="false" ht="15" hidden="false" customHeight="false" outlineLevel="0" collapsed="false">
      <c r="A37" s="21" t="s">
        <v>14</v>
      </c>
      <c r="B37" s="21" t="s">
        <v>128</v>
      </c>
      <c r="C37" s="21" t="s">
        <v>94</v>
      </c>
      <c r="D37" s="21" t="s">
        <v>97</v>
      </c>
      <c r="E37" s="21" t="s">
        <v>85</v>
      </c>
      <c r="F37" s="21" t="s">
        <v>98</v>
      </c>
      <c r="G37" s="22" t="n">
        <v>1.88</v>
      </c>
      <c r="H37" s="6" t="n">
        <v>90</v>
      </c>
      <c r="I37" s="23" t="n">
        <f aca="false">INDEX(Hypothèses!$C$6:$C$16,MATCH(H37,Hypothèses!$A$6:$A$16,1))</f>
        <v>3</v>
      </c>
      <c r="J37" s="24" t="n">
        <f aca="false">H37/3600/I37</f>
        <v>0.00833333333333333</v>
      </c>
      <c r="K37" s="21" t="n">
        <f aca="false">IF(H37&lt;=2000,Hypothèses!$B$23,IF(H37&lt;=4000,Hypothèses!$B$24,Hypothèses!$B$25))</f>
        <v>250</v>
      </c>
      <c r="L37" s="21" t="n">
        <f aca="false">MAX(Hypothèses!$B$26,CEILING(J37/(K37/1000)*1000,Hypothèses!$B$27))</f>
        <v>200</v>
      </c>
      <c r="M37" s="24" t="n">
        <f aca="false">L37*K37/1000000</f>
        <v>0.05</v>
      </c>
      <c r="N37" s="25" t="n">
        <f aca="false">H37/3600/M37</f>
        <v>0.5</v>
      </c>
      <c r="O37" s="21" t="str">
        <f aca="false">IF(N37&lt;=I37,"oui","NON")</f>
        <v>oui</v>
      </c>
      <c r="P37" s="24" t="n">
        <f aca="false">1.3*((L37/1000)*(K37/1000))^0.625/((L37/1000)+(K37/1000))^0.25</f>
        <v>0.244059926740309</v>
      </c>
      <c r="Q37" s="26" t="n">
        <f aca="false">N37*P37/Hypothèses!$B$20</f>
        <v>8135.33089134364</v>
      </c>
      <c r="R37" s="27" t="n">
        <f aca="false">0.25/(LOG10(Hypothèses!$B$21/(3.7*P37)+5.74/Q37^0.9))^2</f>
        <v>0.033772654686126</v>
      </c>
      <c r="S37" s="25" t="n">
        <f aca="false">R37/P37*Hypothèses!$B$19*N37^2/2</f>
        <v>0.0207567799867008</v>
      </c>
      <c r="T37" s="23" t="n">
        <f aca="false">S37*G37*(1+Hypothèses!$B$22)</f>
        <v>0.0585341195624962</v>
      </c>
      <c r="U37" s="5" t="s">
        <v>87</v>
      </c>
      <c r="V37" s="21" t="str">
        <f aca="false">IF(K37&lt;=Hypothèses!$B$28-100,"oui","NON")</f>
        <v>oui</v>
      </c>
    </row>
    <row r="38" customFormat="false" ht="15" hidden="false" customHeight="false" outlineLevel="0" collapsed="false">
      <c r="A38" s="21" t="s">
        <v>16</v>
      </c>
      <c r="B38" s="21" t="s">
        <v>129</v>
      </c>
      <c r="C38" s="21" t="s">
        <v>83</v>
      </c>
      <c r="D38" s="21" t="s">
        <v>84</v>
      </c>
      <c r="E38" s="21" t="s">
        <v>85</v>
      </c>
      <c r="F38" s="21" t="s">
        <v>86</v>
      </c>
      <c r="G38" s="22" t="n">
        <v>2.98</v>
      </c>
      <c r="H38" s="6" t="n">
        <v>2430</v>
      </c>
      <c r="I38" s="23" t="n">
        <f aca="false">INDEX(Hypothèses!$C$6:$C$16,MATCH(H38,Hypothèses!$A$6:$A$16,1))</f>
        <v>5.5</v>
      </c>
      <c r="J38" s="24" t="n">
        <f aca="false">H38/3600/I38</f>
        <v>0.122727272727273</v>
      </c>
      <c r="K38" s="21" t="n">
        <f aca="false">IF(H38&lt;=2000,Hypothèses!$B$23,IF(H38&lt;=4000,Hypothèses!$B$24,Hypothèses!$B$25))</f>
        <v>300</v>
      </c>
      <c r="L38" s="21" t="n">
        <f aca="false">MAX(Hypothèses!$B$26,CEILING(J38/(K38/1000)*1000,Hypothèses!$B$27))</f>
        <v>450</v>
      </c>
      <c r="M38" s="24" t="n">
        <f aca="false">L38*K38/1000000</f>
        <v>0.135</v>
      </c>
      <c r="N38" s="25" t="n">
        <f aca="false">H38/3600/M38</f>
        <v>5</v>
      </c>
      <c r="O38" s="21" t="str">
        <f aca="false">IF(N38&lt;=I38,"oui","NON")</f>
        <v>oui</v>
      </c>
      <c r="P38" s="24" t="n">
        <f aca="false">1.3*((L38/1000)*(K38/1000))^0.625/((L38/1000)+(K38/1000))^0.25</f>
        <v>0.399610270630551</v>
      </c>
      <c r="Q38" s="26" t="n">
        <f aca="false">N38*P38/Hypothèses!$B$20</f>
        <v>133203.423543517</v>
      </c>
      <c r="R38" s="27" t="n">
        <f aca="false">0.25/(LOG10(Hypothèses!$B$21/(3.7*P38)+5.74/Q38^0.9))^2</f>
        <v>0.0191118123889452</v>
      </c>
      <c r="S38" s="25" t="n">
        <f aca="false">R38/P38*Hypothèses!$B$19*N38^2/2</f>
        <v>0.717391936352953</v>
      </c>
      <c r="T38" s="23" t="n">
        <f aca="false">S38*G38*(1+Hypothèses!$B$22)</f>
        <v>3.2067419554977</v>
      </c>
      <c r="U38" s="5" t="s">
        <v>87</v>
      </c>
      <c r="V38" s="21" t="s">
        <v>88</v>
      </c>
    </row>
    <row r="39" customFormat="false" ht="15" hidden="false" customHeight="false" outlineLevel="0" collapsed="false">
      <c r="A39" s="21" t="s">
        <v>16</v>
      </c>
      <c r="B39" s="21" t="s">
        <v>130</v>
      </c>
      <c r="C39" s="21" t="s">
        <v>90</v>
      </c>
      <c r="D39" s="21" t="s">
        <v>91</v>
      </c>
      <c r="E39" s="21" t="s">
        <v>85</v>
      </c>
      <c r="F39" s="21" t="s">
        <v>92</v>
      </c>
      <c r="G39" s="22" t="n">
        <v>1.45</v>
      </c>
      <c r="H39" s="6" t="n">
        <v>2430</v>
      </c>
      <c r="I39" s="23" t="n">
        <f aca="false">INDEX(Hypothèses!$C$6:$C$16,MATCH(H39,Hypothèses!$A$6:$A$16,1))</f>
        <v>5.5</v>
      </c>
      <c r="J39" s="24" t="n">
        <f aca="false">H39/3600/I39</f>
        <v>0.122727272727273</v>
      </c>
      <c r="K39" s="21" t="n">
        <f aca="false">IF(H39&lt;=2000,Hypothèses!$B$23,IF(H39&lt;=4000,Hypothèses!$B$24,Hypothèses!$B$25))</f>
        <v>300</v>
      </c>
      <c r="L39" s="21" t="n">
        <f aca="false">MAX(Hypothèses!$B$26,CEILING(J39/(K39/1000)*1000,Hypothèses!$B$27))</f>
        <v>450</v>
      </c>
      <c r="M39" s="24" t="n">
        <f aca="false">L39*K39/1000000</f>
        <v>0.135</v>
      </c>
      <c r="N39" s="25" t="n">
        <f aca="false">H39/3600/M39</f>
        <v>5</v>
      </c>
      <c r="O39" s="21" t="str">
        <f aca="false">IF(N39&lt;=I39,"oui","NON")</f>
        <v>oui</v>
      </c>
      <c r="P39" s="24" t="n">
        <f aca="false">1.3*((L39/1000)*(K39/1000))^0.625/((L39/1000)+(K39/1000))^0.25</f>
        <v>0.399610270630551</v>
      </c>
      <c r="Q39" s="26" t="n">
        <f aca="false">N39*P39/Hypothèses!$B$20</f>
        <v>133203.423543517</v>
      </c>
      <c r="R39" s="27" t="n">
        <f aca="false">0.25/(LOG10(Hypothèses!$B$21/(3.7*P39)+5.74/Q39^0.9))^2</f>
        <v>0.0191118123889452</v>
      </c>
      <c r="S39" s="25" t="n">
        <f aca="false">R39/P39*Hypothèses!$B$19*N39^2/2</f>
        <v>0.717391936352953</v>
      </c>
      <c r="T39" s="23" t="n">
        <f aca="false">S39*G39*(1+Hypothèses!$B$22)</f>
        <v>1.56032746156767</v>
      </c>
      <c r="U39" s="5" t="s">
        <v>87</v>
      </c>
      <c r="V39" s="21" t="s">
        <v>88</v>
      </c>
    </row>
    <row r="40" customFormat="false" ht="15" hidden="false" customHeight="false" outlineLevel="0" collapsed="false">
      <c r="A40" s="21" t="s">
        <v>16</v>
      </c>
      <c r="B40" s="21" t="s">
        <v>131</v>
      </c>
      <c r="C40" s="21" t="s">
        <v>94</v>
      </c>
      <c r="D40" s="21" t="s">
        <v>91</v>
      </c>
      <c r="E40" s="21" t="s">
        <v>85</v>
      </c>
      <c r="F40" s="21" t="s">
        <v>95</v>
      </c>
      <c r="G40" s="22" t="n">
        <v>3.36</v>
      </c>
      <c r="H40" s="6" t="n">
        <v>1260</v>
      </c>
      <c r="I40" s="23" t="n">
        <f aca="false">INDEX(Hypothèses!$C$6:$C$16,MATCH(H40,Hypothèses!$A$6:$A$16,1))</f>
        <v>4.5</v>
      </c>
      <c r="J40" s="24" t="n">
        <f aca="false">H40/3600/I40</f>
        <v>0.0777777777777778</v>
      </c>
      <c r="K40" s="21" t="n">
        <f aca="false">IF(H40&lt;=2000,Hypothèses!$B$23,IF(H40&lt;=4000,Hypothèses!$B$24,Hypothèses!$B$25))</f>
        <v>250</v>
      </c>
      <c r="L40" s="21" t="n">
        <f aca="false">MAX(Hypothèses!$B$26,CEILING(J40/(K40/1000)*1000,Hypothèses!$B$27))</f>
        <v>350</v>
      </c>
      <c r="M40" s="24" t="n">
        <f aca="false">L40*K40/1000000</f>
        <v>0.0875</v>
      </c>
      <c r="N40" s="25" t="n">
        <f aca="false">H40/3600/M40</f>
        <v>4</v>
      </c>
      <c r="O40" s="21" t="str">
        <f aca="false">IF(N40&lt;=I40,"oui","NON")</f>
        <v>oui</v>
      </c>
      <c r="P40" s="24" t="n">
        <f aca="false">1.3*((L40/1000)*(K40/1000))^0.625/((L40/1000)+(K40/1000))^0.25</f>
        <v>0.322225994577571</v>
      </c>
      <c r="Q40" s="26" t="n">
        <f aca="false">N40*P40/Hypothèses!$B$20</f>
        <v>85926.9318873524</v>
      </c>
      <c r="R40" s="27" t="n">
        <f aca="false">0.25/(LOG10(Hypothèses!$B$21/(3.7*P40)+5.74/Q40^0.9))^2</f>
        <v>0.0206860350433237</v>
      </c>
      <c r="S40" s="25" t="n">
        <f aca="false">R40/P40*Hypothèses!$B$19*N40^2/2</f>
        <v>0.616293966836063</v>
      </c>
      <c r="T40" s="23" t="n">
        <f aca="false">S40*G40*(1+Hypothèses!$B$22)</f>
        <v>3.10612159285376</v>
      </c>
      <c r="U40" s="5" t="s">
        <v>87</v>
      </c>
      <c r="V40" s="21" t="s">
        <v>88</v>
      </c>
    </row>
    <row r="41" customFormat="false" ht="15" hidden="false" customHeight="false" outlineLevel="0" collapsed="false">
      <c r="A41" s="21" t="s">
        <v>16</v>
      </c>
      <c r="B41" s="21" t="s">
        <v>132</v>
      </c>
      <c r="C41" s="21" t="s">
        <v>90</v>
      </c>
      <c r="D41" s="21" t="s">
        <v>97</v>
      </c>
      <c r="E41" s="21" t="s">
        <v>85</v>
      </c>
      <c r="F41" s="21" t="s">
        <v>98</v>
      </c>
      <c r="G41" s="22" t="n">
        <v>0.16</v>
      </c>
      <c r="H41" s="6" t="n">
        <v>720</v>
      </c>
      <c r="I41" s="23" t="n">
        <f aca="false">INDEX(Hypothèses!$C$6:$C$16,MATCH(H41,Hypothèses!$A$6:$A$16,1))</f>
        <v>4</v>
      </c>
      <c r="J41" s="24" t="n">
        <f aca="false">H41/3600/I41</f>
        <v>0.05</v>
      </c>
      <c r="K41" s="21" t="n">
        <f aca="false">IF(H41&lt;=2000,Hypothèses!$B$23,IF(H41&lt;=4000,Hypothèses!$B$24,Hypothèses!$B$25))</f>
        <v>250</v>
      </c>
      <c r="L41" s="21" t="n">
        <f aca="false">MAX(Hypothèses!$B$26,CEILING(J41/(K41/1000)*1000,Hypothèses!$B$27))</f>
        <v>200</v>
      </c>
      <c r="M41" s="24" t="n">
        <f aca="false">L41*K41/1000000</f>
        <v>0.05</v>
      </c>
      <c r="N41" s="25" t="n">
        <f aca="false">H41/3600/M41</f>
        <v>4</v>
      </c>
      <c r="O41" s="21" t="str">
        <f aca="false">IF(N41&lt;=I41,"oui","NON")</f>
        <v>oui</v>
      </c>
      <c r="P41" s="24" t="n">
        <f aca="false">1.3*((L41/1000)*(K41/1000))^0.625/((L41/1000)+(K41/1000))^0.25</f>
        <v>0.244059926740309</v>
      </c>
      <c r="Q41" s="26" t="n">
        <f aca="false">N41*P41/Hypothèses!$B$20</f>
        <v>65082.6471307491</v>
      </c>
      <c r="R41" s="27" t="n">
        <f aca="false">0.25/(LOG10(Hypothèses!$B$21/(3.7*P41)+5.74/Q41^0.9))^2</f>
        <v>0.0221017738290741</v>
      </c>
      <c r="S41" s="25" t="n">
        <f aca="false">R41/P41*Hypothèses!$B$19*N41^2/2</f>
        <v>0.869364469591424</v>
      </c>
      <c r="T41" s="23" t="n">
        <f aca="false">S41*G41*(1+Hypothèses!$B$22)</f>
        <v>0.208647472701942</v>
      </c>
      <c r="U41" s="5"/>
      <c r="V41" s="21" t="str">
        <f aca="false">IF(K41&lt;=Hypothèses!$B$28-100,"oui","NON")</f>
        <v>oui</v>
      </c>
    </row>
    <row r="42" customFormat="false" ht="15" hidden="false" customHeight="false" outlineLevel="0" collapsed="false">
      <c r="A42" s="21" t="s">
        <v>16</v>
      </c>
      <c r="B42" s="21" t="s">
        <v>133</v>
      </c>
      <c r="C42" s="21" t="s">
        <v>90</v>
      </c>
      <c r="D42" s="21" t="s">
        <v>97</v>
      </c>
      <c r="E42" s="21" t="s">
        <v>85</v>
      </c>
      <c r="F42" s="21"/>
      <c r="G42" s="22" t="n">
        <v>0.2</v>
      </c>
      <c r="H42" s="6" t="n">
        <v>630</v>
      </c>
      <c r="I42" s="23" t="n">
        <f aca="false">INDEX(Hypothèses!$C$6:$C$16,MATCH(H42,Hypothèses!$A$6:$A$16,1))</f>
        <v>4</v>
      </c>
      <c r="J42" s="24" t="n">
        <f aca="false">H42/3600/I42</f>
        <v>0.04375</v>
      </c>
      <c r="K42" s="21" t="n">
        <f aca="false">IF(H42&lt;=2000,Hypothèses!$B$23,IF(H42&lt;=4000,Hypothèses!$B$24,Hypothèses!$B$25))</f>
        <v>250</v>
      </c>
      <c r="L42" s="21" t="n">
        <f aca="false">MAX(Hypothèses!$B$26,CEILING(J42/(K42/1000)*1000,Hypothèses!$B$27))</f>
        <v>200</v>
      </c>
      <c r="M42" s="24" t="n">
        <f aca="false">L42*K42/1000000</f>
        <v>0.05</v>
      </c>
      <c r="N42" s="25" t="n">
        <f aca="false">H42/3600/M42</f>
        <v>3.5</v>
      </c>
      <c r="O42" s="21" t="str">
        <f aca="false">IF(N42&lt;=I42,"oui","NON")</f>
        <v>oui</v>
      </c>
      <c r="P42" s="24" t="n">
        <f aca="false">1.3*((L42/1000)*(K42/1000))^0.625/((L42/1000)+(K42/1000))^0.25</f>
        <v>0.244059926740309</v>
      </c>
      <c r="Q42" s="26" t="n">
        <f aca="false">N42*P42/Hypothèses!$B$20</f>
        <v>56947.3162394055</v>
      </c>
      <c r="R42" s="27" t="n">
        <f aca="false">0.25/(LOG10(Hypothèses!$B$21/(3.7*P42)+5.74/Q42^0.9))^2</f>
        <v>0.0225408508367514</v>
      </c>
      <c r="S42" s="25" t="n">
        <f aca="false">R42/P42*Hypothèses!$B$19*N42^2/2</f>
        <v>0.678830219540338</v>
      </c>
      <c r="T42" s="23" t="n">
        <f aca="false">S42*G42*(1+Hypothèses!$B$22)</f>
        <v>0.203649065862101</v>
      </c>
      <c r="U42" s="5"/>
      <c r="V42" s="21" t="str">
        <f aca="false">IF(K42&lt;=Hypothèses!$B$28-100,"oui","NON")</f>
        <v>oui</v>
      </c>
    </row>
    <row r="43" customFormat="false" ht="15" hidden="false" customHeight="false" outlineLevel="0" collapsed="false">
      <c r="A43" s="21" t="s">
        <v>16</v>
      </c>
      <c r="B43" s="21" t="s">
        <v>134</v>
      </c>
      <c r="C43" s="21" t="s">
        <v>90</v>
      </c>
      <c r="D43" s="21" t="s">
        <v>97</v>
      </c>
      <c r="E43" s="21" t="s">
        <v>85</v>
      </c>
      <c r="F43" s="21" t="s">
        <v>98</v>
      </c>
      <c r="G43" s="22" t="n">
        <v>3.56</v>
      </c>
      <c r="H43" s="6" t="n">
        <v>630</v>
      </c>
      <c r="I43" s="23" t="n">
        <f aca="false">INDEX(Hypothèses!$C$6:$C$16,MATCH(H43,Hypothèses!$A$6:$A$16,1))</f>
        <v>4</v>
      </c>
      <c r="J43" s="24" t="n">
        <f aca="false">H43/3600/I43</f>
        <v>0.04375</v>
      </c>
      <c r="K43" s="21" t="n">
        <f aca="false">IF(H43&lt;=2000,Hypothèses!$B$23,IF(H43&lt;=4000,Hypothèses!$B$24,Hypothèses!$B$25))</f>
        <v>250</v>
      </c>
      <c r="L43" s="21" t="n">
        <f aca="false">MAX(Hypothèses!$B$26,CEILING(J43/(K43/1000)*1000,Hypothèses!$B$27))</f>
        <v>200</v>
      </c>
      <c r="M43" s="24" t="n">
        <f aca="false">L43*K43/1000000</f>
        <v>0.05</v>
      </c>
      <c r="N43" s="25" t="n">
        <f aca="false">H43/3600/M43</f>
        <v>3.5</v>
      </c>
      <c r="O43" s="21" t="str">
        <f aca="false">IF(N43&lt;=I43,"oui","NON")</f>
        <v>oui</v>
      </c>
      <c r="P43" s="24" t="n">
        <f aca="false">1.3*((L43/1000)*(K43/1000))^0.625/((L43/1000)+(K43/1000))^0.25</f>
        <v>0.244059926740309</v>
      </c>
      <c r="Q43" s="26" t="n">
        <f aca="false">N43*P43/Hypothèses!$B$20</f>
        <v>56947.3162394055</v>
      </c>
      <c r="R43" s="27" t="n">
        <f aca="false">0.25/(LOG10(Hypothèses!$B$21/(3.7*P43)+5.74/Q43^0.9))^2</f>
        <v>0.0225408508367514</v>
      </c>
      <c r="S43" s="25" t="n">
        <f aca="false">R43/P43*Hypothèses!$B$19*N43^2/2</f>
        <v>0.678830219540338</v>
      </c>
      <c r="T43" s="23" t="n">
        <f aca="false">S43*G43*(1+Hypothèses!$B$22)</f>
        <v>3.6249533723454</v>
      </c>
      <c r="U43" s="5"/>
      <c r="V43" s="21" t="str">
        <f aca="false">IF(K43&lt;=Hypothèses!$B$28-100,"oui","NON")</f>
        <v>oui</v>
      </c>
    </row>
    <row r="44" customFormat="false" ht="15" hidden="false" customHeight="false" outlineLevel="0" collapsed="false">
      <c r="A44" s="21" t="s">
        <v>16</v>
      </c>
      <c r="B44" s="21" t="s">
        <v>135</v>
      </c>
      <c r="C44" s="21" t="s">
        <v>90</v>
      </c>
      <c r="D44" s="21" t="s">
        <v>97</v>
      </c>
      <c r="E44" s="21" t="s">
        <v>85</v>
      </c>
      <c r="F44" s="21" t="s">
        <v>104</v>
      </c>
      <c r="G44" s="22" t="n">
        <v>0.14</v>
      </c>
      <c r="H44" s="6" t="n">
        <v>540</v>
      </c>
      <c r="I44" s="23" t="n">
        <f aca="false">INDEX(Hypothèses!$C$6:$C$16,MATCH(H44,Hypothèses!$A$6:$A$16,1))</f>
        <v>3.5</v>
      </c>
      <c r="J44" s="24" t="n">
        <f aca="false">H44/3600/I44</f>
        <v>0.0428571428571429</v>
      </c>
      <c r="K44" s="21" t="n">
        <f aca="false">IF(H44&lt;=2000,Hypothèses!$B$23,IF(H44&lt;=4000,Hypothèses!$B$24,Hypothèses!$B$25))</f>
        <v>250</v>
      </c>
      <c r="L44" s="21" t="n">
        <f aca="false">MAX(Hypothèses!$B$26,CEILING(J44/(K44/1000)*1000,Hypothèses!$B$27))</f>
        <v>200</v>
      </c>
      <c r="M44" s="24" t="n">
        <f aca="false">L44*K44/1000000</f>
        <v>0.05</v>
      </c>
      <c r="N44" s="25" t="n">
        <f aca="false">H44/3600/M44</f>
        <v>3</v>
      </c>
      <c r="O44" s="21" t="str">
        <f aca="false">IF(N44&lt;=I44,"oui","NON")</f>
        <v>oui</v>
      </c>
      <c r="P44" s="24" t="n">
        <f aca="false">1.3*((L44/1000)*(K44/1000))^0.625/((L44/1000)+(K44/1000))^0.25</f>
        <v>0.244059926740309</v>
      </c>
      <c r="Q44" s="26" t="n">
        <f aca="false">N44*P44/Hypothèses!$B$20</f>
        <v>48811.9853480618</v>
      </c>
      <c r="R44" s="27" t="n">
        <f aca="false">0.25/(LOG10(Hypothèses!$B$21/(3.7*P44)+5.74/Q44^0.9))^2</f>
        <v>0.0230891942725925</v>
      </c>
      <c r="S44" s="25" t="n">
        <f aca="false">R44/P44*Hypothèses!$B$19*N44^2/2</f>
        <v>0.510864895918232</v>
      </c>
      <c r="T44" s="23" t="n">
        <f aca="false">S44*G44*(1+Hypothèses!$B$22)</f>
        <v>0.107281628142829</v>
      </c>
      <c r="U44" s="5"/>
      <c r="V44" s="21" t="str">
        <f aca="false">IF(K44&lt;=Hypothèses!$B$28-100,"oui","NON")</f>
        <v>oui</v>
      </c>
    </row>
    <row r="45" customFormat="false" ht="15" hidden="false" customHeight="false" outlineLevel="0" collapsed="false">
      <c r="A45" s="21" t="s">
        <v>16</v>
      </c>
      <c r="B45" s="21" t="s">
        <v>136</v>
      </c>
      <c r="C45" s="21" t="s">
        <v>90</v>
      </c>
      <c r="D45" s="21" t="s">
        <v>97</v>
      </c>
      <c r="E45" s="21" t="s">
        <v>85</v>
      </c>
      <c r="F45" s="21" t="s">
        <v>104</v>
      </c>
      <c r="G45" s="22" t="n">
        <v>3.78</v>
      </c>
      <c r="H45" s="6" t="n">
        <v>450</v>
      </c>
      <c r="I45" s="23" t="n">
        <f aca="false">INDEX(Hypothèses!$C$6:$C$16,MATCH(H45,Hypothèses!$A$6:$A$16,1))</f>
        <v>3.5</v>
      </c>
      <c r="J45" s="24" t="n">
        <f aca="false">H45/3600/I45</f>
        <v>0.0357142857142857</v>
      </c>
      <c r="K45" s="21" t="n">
        <f aca="false">IF(H45&lt;=2000,Hypothèses!$B$23,IF(H45&lt;=4000,Hypothèses!$B$24,Hypothèses!$B$25))</f>
        <v>250</v>
      </c>
      <c r="L45" s="21" t="n">
        <f aca="false">MAX(Hypothèses!$B$26,CEILING(J45/(K45/1000)*1000,Hypothèses!$B$27))</f>
        <v>200</v>
      </c>
      <c r="M45" s="24" t="n">
        <f aca="false">L45*K45/1000000</f>
        <v>0.05</v>
      </c>
      <c r="N45" s="25" t="n">
        <f aca="false">H45/3600/M45</f>
        <v>2.5</v>
      </c>
      <c r="O45" s="21" t="str">
        <f aca="false">IF(N45&lt;=I45,"oui","NON")</f>
        <v>oui</v>
      </c>
      <c r="P45" s="24" t="n">
        <f aca="false">1.3*((L45/1000)*(K45/1000))^0.625/((L45/1000)+(K45/1000))^0.25</f>
        <v>0.244059926740309</v>
      </c>
      <c r="Q45" s="26" t="n">
        <f aca="false">N45*P45/Hypothèses!$B$20</f>
        <v>40676.6544567182</v>
      </c>
      <c r="R45" s="27" t="n">
        <f aca="false">0.25/(LOG10(Hypothèses!$B$21/(3.7*P45)+5.74/Q45^0.9))^2</f>
        <v>0.0237985309638672</v>
      </c>
      <c r="S45" s="25" t="n">
        <f aca="false">R45/P45*Hypothèses!$B$19*N45^2/2</f>
        <v>0.365666302971</v>
      </c>
      <c r="T45" s="23" t="n">
        <f aca="false">S45*G45*(1+Hypothèses!$B$22)</f>
        <v>2.07332793784557</v>
      </c>
      <c r="U45" s="5"/>
      <c r="V45" s="21" t="str">
        <f aca="false">IF(K45&lt;=Hypothèses!$B$28-100,"oui","NON")</f>
        <v>oui</v>
      </c>
    </row>
    <row r="46" customFormat="false" ht="15" hidden="false" customHeight="false" outlineLevel="0" collapsed="false">
      <c r="A46" s="21" t="s">
        <v>16</v>
      </c>
      <c r="B46" s="21" t="s">
        <v>137</v>
      </c>
      <c r="C46" s="21" t="s">
        <v>90</v>
      </c>
      <c r="D46" s="21" t="s">
        <v>97</v>
      </c>
      <c r="E46" s="21" t="s">
        <v>85</v>
      </c>
      <c r="F46" s="21" t="s">
        <v>98</v>
      </c>
      <c r="G46" s="22" t="n">
        <v>0.55</v>
      </c>
      <c r="H46" s="6" t="n">
        <v>360</v>
      </c>
      <c r="I46" s="23" t="n">
        <f aca="false">INDEX(Hypothèses!$C$6:$C$16,MATCH(H46,Hypothèses!$A$6:$A$16,1))</f>
        <v>3.5</v>
      </c>
      <c r="J46" s="24" t="n">
        <f aca="false">H46/3600/I46</f>
        <v>0.0285714285714286</v>
      </c>
      <c r="K46" s="21" t="n">
        <f aca="false">IF(H46&lt;=2000,Hypothèses!$B$23,IF(H46&lt;=4000,Hypothèses!$B$24,Hypothèses!$B$25))</f>
        <v>250</v>
      </c>
      <c r="L46" s="21" t="n">
        <f aca="false">MAX(Hypothèses!$B$26,CEILING(J46/(K46/1000)*1000,Hypothèses!$B$27))</f>
        <v>200</v>
      </c>
      <c r="M46" s="24" t="n">
        <f aca="false">L46*K46/1000000</f>
        <v>0.05</v>
      </c>
      <c r="N46" s="25" t="n">
        <f aca="false">H46/3600/M46</f>
        <v>2</v>
      </c>
      <c r="O46" s="21" t="str">
        <f aca="false">IF(N46&lt;=I46,"oui","NON")</f>
        <v>oui</v>
      </c>
      <c r="P46" s="24" t="n">
        <f aca="false">1.3*((L46/1000)*(K46/1000))^0.625/((L46/1000)+(K46/1000))^0.25</f>
        <v>0.244059926740309</v>
      </c>
      <c r="Q46" s="26" t="n">
        <f aca="false">N46*P46/Hypothèses!$B$20</f>
        <v>32541.3235653746</v>
      </c>
      <c r="R46" s="27" t="n">
        <f aca="false">0.25/(LOG10(Hypothèses!$B$21/(3.7*P46)+5.74/Q46^0.9))^2</f>
        <v>0.02476271558301</v>
      </c>
      <c r="S46" s="25" t="n">
        <f aca="false">R46/P46*Hypothèses!$B$19*N46^2/2</f>
        <v>0.243507888382105</v>
      </c>
      <c r="T46" s="23" t="n">
        <f aca="false">S46*G46*(1+Hypothèses!$B$22)</f>
        <v>0.200894007915237</v>
      </c>
      <c r="U46" s="5"/>
      <c r="V46" s="21" t="str">
        <f aca="false">IF(K46&lt;=Hypothèses!$B$28-100,"oui","NON")</f>
        <v>oui</v>
      </c>
    </row>
    <row r="47" customFormat="false" ht="15" hidden="false" customHeight="false" outlineLevel="0" collapsed="false">
      <c r="A47" s="21" t="s">
        <v>16</v>
      </c>
      <c r="B47" s="21" t="s">
        <v>138</v>
      </c>
      <c r="C47" s="21" t="s">
        <v>90</v>
      </c>
      <c r="D47" s="21" t="s">
        <v>97</v>
      </c>
      <c r="E47" s="21" t="s">
        <v>85</v>
      </c>
      <c r="F47" s="21" t="s">
        <v>139</v>
      </c>
      <c r="G47" s="22" t="n">
        <v>3.98</v>
      </c>
      <c r="H47" s="6" t="n">
        <v>270</v>
      </c>
      <c r="I47" s="23" t="n">
        <f aca="false">INDEX(Hypothèses!$C$6:$C$16,MATCH(H47,Hypothèses!$A$6:$A$16,1))</f>
        <v>3</v>
      </c>
      <c r="J47" s="24" t="n">
        <f aca="false">H47/3600/I47</f>
        <v>0.025</v>
      </c>
      <c r="K47" s="21" t="n">
        <f aca="false">IF(H47&lt;=2000,Hypothèses!$B$23,IF(H47&lt;=4000,Hypothèses!$B$24,Hypothèses!$B$25))</f>
        <v>250</v>
      </c>
      <c r="L47" s="21" t="n">
        <f aca="false">MAX(Hypothèses!$B$26,CEILING(J47/(K47/1000)*1000,Hypothèses!$B$27))</f>
        <v>200</v>
      </c>
      <c r="M47" s="24" t="n">
        <f aca="false">L47*K47/1000000</f>
        <v>0.05</v>
      </c>
      <c r="N47" s="25" t="n">
        <f aca="false">H47/3600/M47</f>
        <v>1.5</v>
      </c>
      <c r="O47" s="21" t="str">
        <f aca="false">IF(N47&lt;=I47,"oui","NON")</f>
        <v>oui</v>
      </c>
      <c r="P47" s="24" t="n">
        <f aca="false">1.3*((L47/1000)*(K47/1000))^0.625/((L47/1000)+(K47/1000))^0.25</f>
        <v>0.244059926740309</v>
      </c>
      <c r="Q47" s="26" t="n">
        <f aca="false">N47*P47/Hypothèses!$B$20</f>
        <v>24405.9926740309</v>
      </c>
      <c r="R47" s="27" t="n">
        <f aca="false">0.25/(LOG10(Hypothèses!$B$21/(3.7*P47)+5.74/Q47^0.9))^2</f>
        <v>0.0261757755144053</v>
      </c>
      <c r="S47" s="25" t="n">
        <f aca="false">R47/P47*Hypothèses!$B$19*N47^2/2</f>
        <v>0.144789426992034</v>
      </c>
      <c r="T47" s="23" t="n">
        <f aca="false">S47*G47*(1+Hypothèses!$B$22)</f>
        <v>0.864392879142443</v>
      </c>
      <c r="U47" s="5"/>
      <c r="V47" s="21" t="str">
        <f aca="false">IF(K47&lt;=Hypothèses!$B$28-100,"oui","NON")</f>
        <v>oui</v>
      </c>
    </row>
    <row r="48" customFormat="false" ht="15" hidden="false" customHeight="false" outlineLevel="0" collapsed="false">
      <c r="A48" s="21" t="s">
        <v>16</v>
      </c>
      <c r="B48" s="21" t="s">
        <v>140</v>
      </c>
      <c r="C48" s="21" t="s">
        <v>90</v>
      </c>
      <c r="D48" s="21" t="s">
        <v>97</v>
      </c>
      <c r="E48" s="21" t="s">
        <v>85</v>
      </c>
      <c r="F48" s="21" t="s">
        <v>98</v>
      </c>
      <c r="G48" s="22" t="n">
        <v>2.42</v>
      </c>
      <c r="H48" s="6" t="n">
        <v>180</v>
      </c>
      <c r="I48" s="23" t="n">
        <f aca="false">INDEX(Hypothèses!$C$6:$C$16,MATCH(H48,Hypothèses!$A$6:$A$16,1))</f>
        <v>3</v>
      </c>
      <c r="J48" s="24" t="n">
        <f aca="false">H48/3600/I48</f>
        <v>0.0166666666666667</v>
      </c>
      <c r="K48" s="21" t="n">
        <f aca="false">IF(H48&lt;=2000,Hypothèses!$B$23,IF(H48&lt;=4000,Hypothèses!$B$24,Hypothèses!$B$25))</f>
        <v>250</v>
      </c>
      <c r="L48" s="21" t="n">
        <f aca="false">MAX(Hypothèses!$B$26,CEILING(J48/(K48/1000)*1000,Hypothèses!$B$27))</f>
        <v>200</v>
      </c>
      <c r="M48" s="24" t="n">
        <f aca="false">L48*K48/1000000</f>
        <v>0.05</v>
      </c>
      <c r="N48" s="25" t="n">
        <f aca="false">H48/3600/M48</f>
        <v>1</v>
      </c>
      <c r="O48" s="21" t="str">
        <f aca="false">IF(N48&lt;=I48,"oui","NON")</f>
        <v>oui</v>
      </c>
      <c r="P48" s="24" t="n">
        <f aca="false">1.3*((L48/1000)*(K48/1000))^0.625/((L48/1000)+(K48/1000))^0.25</f>
        <v>0.244059926740309</v>
      </c>
      <c r="Q48" s="26" t="n">
        <f aca="false">N48*P48/Hypothèses!$B$20</f>
        <v>16270.6617826873</v>
      </c>
      <c r="R48" s="27" t="n">
        <f aca="false">0.25/(LOG10(Hypothèses!$B$21/(3.7*P48)+5.74/Q48^0.9))^2</f>
        <v>0.0285334679281754</v>
      </c>
      <c r="S48" s="25" t="n">
        <f aca="false">R48/P48*Hypothèses!$B$19*N48^2/2</f>
        <v>0.0701470371869846</v>
      </c>
      <c r="T48" s="23" t="n">
        <f aca="false">S48*G48*(1+Hypothèses!$B$22)</f>
        <v>0.254633744988754</v>
      </c>
      <c r="U48" s="5"/>
      <c r="V48" s="21" t="str">
        <f aca="false">IF(K48&lt;=Hypothèses!$B$28-100,"oui","NON")</f>
        <v>oui</v>
      </c>
    </row>
    <row r="49" customFormat="false" ht="15" hidden="false" customHeight="false" outlineLevel="0" collapsed="false">
      <c r="A49" s="21" t="s">
        <v>16</v>
      </c>
      <c r="B49" s="21" t="s">
        <v>141</v>
      </c>
      <c r="C49" s="21" t="s">
        <v>90</v>
      </c>
      <c r="D49" s="21" t="s">
        <v>97</v>
      </c>
      <c r="E49" s="21" t="s">
        <v>85</v>
      </c>
      <c r="F49" s="21" t="s">
        <v>139</v>
      </c>
      <c r="G49" s="22" t="n">
        <v>1.38</v>
      </c>
      <c r="H49" s="6" t="n">
        <v>90</v>
      </c>
      <c r="I49" s="23" t="n">
        <f aca="false">INDEX(Hypothèses!$C$6:$C$16,MATCH(H49,Hypothèses!$A$6:$A$16,1))</f>
        <v>3</v>
      </c>
      <c r="J49" s="24" t="n">
        <f aca="false">H49/3600/I49</f>
        <v>0.00833333333333333</v>
      </c>
      <c r="K49" s="21" t="n">
        <f aca="false">IF(H49&lt;=2000,Hypothèses!$B$23,IF(H49&lt;=4000,Hypothèses!$B$24,Hypothèses!$B$25))</f>
        <v>250</v>
      </c>
      <c r="L49" s="21" t="n">
        <f aca="false">MAX(Hypothèses!$B$26,CEILING(J49/(K49/1000)*1000,Hypothèses!$B$27))</f>
        <v>200</v>
      </c>
      <c r="M49" s="24" t="n">
        <f aca="false">L49*K49/1000000</f>
        <v>0.05</v>
      </c>
      <c r="N49" s="25" t="n">
        <f aca="false">H49/3600/M49</f>
        <v>0.5</v>
      </c>
      <c r="O49" s="21" t="str">
        <f aca="false">IF(N49&lt;=I49,"oui","NON")</f>
        <v>oui</v>
      </c>
      <c r="P49" s="24" t="n">
        <f aca="false">1.3*((L49/1000)*(K49/1000))^0.625/((L49/1000)+(K49/1000))^0.25</f>
        <v>0.244059926740309</v>
      </c>
      <c r="Q49" s="26" t="n">
        <f aca="false">N49*P49/Hypothèses!$B$20</f>
        <v>8135.33089134364</v>
      </c>
      <c r="R49" s="27" t="n">
        <f aca="false">0.25/(LOG10(Hypothèses!$B$21/(3.7*P49)+5.74/Q49^0.9))^2</f>
        <v>0.033772654686126</v>
      </c>
      <c r="S49" s="25" t="n">
        <f aca="false">R49/P49*Hypothèses!$B$19*N49^2/2</f>
        <v>0.0207567799867008</v>
      </c>
      <c r="T49" s="23" t="n">
        <f aca="false">S49*G49*(1+Hypothèses!$B$22)</f>
        <v>0.0429665345724706</v>
      </c>
      <c r="U49" s="5"/>
      <c r="V49" s="21" t="str">
        <f aca="false">IF(K49&lt;=Hypothèses!$B$28-100,"oui","NON")</f>
        <v>oui</v>
      </c>
    </row>
    <row r="50" customFormat="false" ht="15" hidden="false" customHeight="false" outlineLevel="0" collapsed="false">
      <c r="A50" s="21" t="s">
        <v>16</v>
      </c>
      <c r="B50" s="21" t="s">
        <v>142</v>
      </c>
      <c r="C50" s="21" t="s">
        <v>90</v>
      </c>
      <c r="D50" s="21" t="s">
        <v>97</v>
      </c>
      <c r="E50" s="21" t="s">
        <v>85</v>
      </c>
      <c r="F50" s="21" t="s">
        <v>104</v>
      </c>
      <c r="G50" s="22" t="n">
        <v>0.35</v>
      </c>
      <c r="H50" s="6" t="n">
        <v>450</v>
      </c>
      <c r="I50" s="23" t="n">
        <f aca="false">INDEX(Hypothèses!$C$6:$C$16,MATCH(H50,Hypothèses!$A$6:$A$16,1))</f>
        <v>3.5</v>
      </c>
      <c r="J50" s="24" t="n">
        <f aca="false">H50/3600/I50</f>
        <v>0.0357142857142857</v>
      </c>
      <c r="K50" s="21" t="n">
        <f aca="false">IF(H50&lt;=2000,Hypothèses!$B$23,IF(H50&lt;=4000,Hypothèses!$B$24,Hypothèses!$B$25))</f>
        <v>250</v>
      </c>
      <c r="L50" s="21" t="n">
        <f aca="false">MAX(Hypothèses!$B$26,CEILING(J50/(K50/1000)*1000,Hypothèses!$B$27))</f>
        <v>200</v>
      </c>
      <c r="M50" s="24" t="n">
        <f aca="false">L50*K50/1000000</f>
        <v>0.05</v>
      </c>
      <c r="N50" s="25" t="n">
        <f aca="false">H50/3600/M50</f>
        <v>2.5</v>
      </c>
      <c r="O50" s="21" t="str">
        <f aca="false">IF(N50&lt;=I50,"oui","NON")</f>
        <v>oui</v>
      </c>
      <c r="P50" s="24" t="n">
        <f aca="false">1.3*((L50/1000)*(K50/1000))^0.625/((L50/1000)+(K50/1000))^0.25</f>
        <v>0.244059926740309</v>
      </c>
      <c r="Q50" s="26" t="n">
        <f aca="false">N50*P50/Hypothèses!$B$20</f>
        <v>40676.6544567182</v>
      </c>
      <c r="R50" s="27" t="n">
        <f aca="false">0.25/(LOG10(Hypothèses!$B$21/(3.7*P50)+5.74/Q50^0.9))^2</f>
        <v>0.0237985309638672</v>
      </c>
      <c r="S50" s="25" t="n">
        <f aca="false">R50/P50*Hypothèses!$B$19*N50^2/2</f>
        <v>0.365666302971</v>
      </c>
      <c r="T50" s="23" t="n">
        <f aca="false">S50*G50*(1+Hypothèses!$B$22)</f>
        <v>0.191974809059775</v>
      </c>
      <c r="U50" s="5"/>
      <c r="V50" s="21" t="str">
        <f aca="false">IF(K50&lt;=Hypothèses!$B$28-100,"oui","NON")</f>
        <v>oui</v>
      </c>
    </row>
    <row r="51" customFormat="false" ht="15" hidden="false" customHeight="false" outlineLevel="0" collapsed="false">
      <c r="A51" s="21" t="s">
        <v>16</v>
      </c>
      <c r="B51" s="21" t="s">
        <v>143</v>
      </c>
      <c r="C51" s="21" t="s">
        <v>90</v>
      </c>
      <c r="D51" s="21" t="s">
        <v>97</v>
      </c>
      <c r="E51" s="21" t="s">
        <v>85</v>
      </c>
      <c r="F51" s="21" t="s">
        <v>144</v>
      </c>
      <c r="G51" s="22" t="n">
        <v>3.72</v>
      </c>
      <c r="H51" s="6" t="n">
        <v>360</v>
      </c>
      <c r="I51" s="23" t="n">
        <f aca="false">INDEX(Hypothèses!$C$6:$C$16,MATCH(H51,Hypothèses!$A$6:$A$16,1))</f>
        <v>3.5</v>
      </c>
      <c r="J51" s="24" t="n">
        <f aca="false">H51/3600/I51</f>
        <v>0.0285714285714286</v>
      </c>
      <c r="K51" s="21" t="n">
        <f aca="false">IF(H51&lt;=2000,Hypothèses!$B$23,IF(H51&lt;=4000,Hypothèses!$B$24,Hypothèses!$B$25))</f>
        <v>250</v>
      </c>
      <c r="L51" s="21" t="n">
        <f aca="false">MAX(Hypothèses!$B$26,CEILING(J51/(K51/1000)*1000,Hypothèses!$B$27))</f>
        <v>200</v>
      </c>
      <c r="M51" s="24" t="n">
        <f aca="false">L51*K51/1000000</f>
        <v>0.05</v>
      </c>
      <c r="N51" s="25" t="n">
        <f aca="false">H51/3600/M51</f>
        <v>2</v>
      </c>
      <c r="O51" s="21" t="str">
        <f aca="false">IF(N51&lt;=I51,"oui","NON")</f>
        <v>oui</v>
      </c>
      <c r="P51" s="24" t="n">
        <f aca="false">1.3*((L51/1000)*(K51/1000))^0.625/((L51/1000)+(K51/1000))^0.25</f>
        <v>0.244059926740309</v>
      </c>
      <c r="Q51" s="26" t="n">
        <f aca="false">N51*P51/Hypothèses!$B$20</f>
        <v>32541.3235653746</v>
      </c>
      <c r="R51" s="27" t="n">
        <f aca="false">0.25/(LOG10(Hypothèses!$B$21/(3.7*P51)+5.74/Q51^0.9))^2</f>
        <v>0.02476271558301</v>
      </c>
      <c r="S51" s="25" t="n">
        <f aca="false">R51/P51*Hypothèses!$B$19*N51^2/2</f>
        <v>0.243507888382105</v>
      </c>
      <c r="T51" s="23" t="n">
        <f aca="false">S51*G51*(1+Hypothèses!$B$22)</f>
        <v>1.35877401717215</v>
      </c>
      <c r="U51" s="5"/>
      <c r="V51" s="21" t="str">
        <f aca="false">IF(K51&lt;=Hypothèses!$B$28-100,"oui","NON")</f>
        <v>oui</v>
      </c>
    </row>
    <row r="52" customFormat="false" ht="15" hidden="false" customHeight="false" outlineLevel="0" collapsed="false">
      <c r="A52" s="21" t="s">
        <v>16</v>
      </c>
      <c r="B52" s="21" t="s">
        <v>145</v>
      </c>
      <c r="C52" s="21" t="s">
        <v>90</v>
      </c>
      <c r="D52" s="21" t="s">
        <v>97</v>
      </c>
      <c r="E52" s="21" t="s">
        <v>85</v>
      </c>
      <c r="F52" s="21" t="s">
        <v>139</v>
      </c>
      <c r="G52" s="22" t="n">
        <v>0.26</v>
      </c>
      <c r="H52" s="6" t="n">
        <v>270</v>
      </c>
      <c r="I52" s="23" t="n">
        <f aca="false">INDEX(Hypothèses!$C$6:$C$16,MATCH(H52,Hypothèses!$A$6:$A$16,1))</f>
        <v>3</v>
      </c>
      <c r="J52" s="24" t="n">
        <f aca="false">H52/3600/I52</f>
        <v>0.025</v>
      </c>
      <c r="K52" s="21" t="n">
        <f aca="false">IF(H52&lt;=2000,Hypothèses!$B$23,IF(H52&lt;=4000,Hypothèses!$B$24,Hypothèses!$B$25))</f>
        <v>250</v>
      </c>
      <c r="L52" s="21" t="n">
        <f aca="false">MAX(Hypothèses!$B$26,CEILING(J52/(K52/1000)*1000,Hypothèses!$B$27))</f>
        <v>200</v>
      </c>
      <c r="M52" s="24" t="n">
        <f aca="false">L52*K52/1000000</f>
        <v>0.05</v>
      </c>
      <c r="N52" s="25" t="n">
        <f aca="false">H52/3600/M52</f>
        <v>1.5</v>
      </c>
      <c r="O52" s="21" t="str">
        <f aca="false">IF(N52&lt;=I52,"oui","NON")</f>
        <v>oui</v>
      </c>
      <c r="P52" s="24" t="n">
        <f aca="false">1.3*((L52/1000)*(K52/1000))^0.625/((L52/1000)+(K52/1000))^0.25</f>
        <v>0.244059926740309</v>
      </c>
      <c r="Q52" s="26" t="n">
        <f aca="false">N52*P52/Hypothèses!$B$20</f>
        <v>24405.9926740309</v>
      </c>
      <c r="R52" s="27" t="n">
        <f aca="false">0.25/(LOG10(Hypothèses!$B$21/(3.7*P52)+5.74/Q52^0.9))^2</f>
        <v>0.0261757755144053</v>
      </c>
      <c r="S52" s="25" t="n">
        <f aca="false">R52/P52*Hypothèses!$B$19*N52^2/2</f>
        <v>0.144789426992034</v>
      </c>
      <c r="T52" s="23" t="n">
        <f aca="false">S52*G52*(1+Hypothèses!$B$22)</f>
        <v>0.0564678765268933</v>
      </c>
      <c r="U52" s="5"/>
      <c r="V52" s="21" t="str">
        <f aca="false">IF(K52&lt;=Hypothèses!$B$28-100,"oui","NON")</f>
        <v>oui</v>
      </c>
    </row>
    <row r="53" customFormat="false" ht="15" hidden="false" customHeight="false" outlineLevel="0" collapsed="false">
      <c r="A53" s="21" t="s">
        <v>16</v>
      </c>
      <c r="B53" s="21" t="s">
        <v>146</v>
      </c>
      <c r="C53" s="21" t="s">
        <v>90</v>
      </c>
      <c r="D53" s="21" t="s">
        <v>97</v>
      </c>
      <c r="E53" s="21" t="s">
        <v>85</v>
      </c>
      <c r="F53" s="21" t="s">
        <v>139</v>
      </c>
      <c r="G53" s="22" t="n">
        <v>3.85</v>
      </c>
      <c r="H53" s="6" t="n">
        <v>180</v>
      </c>
      <c r="I53" s="23" t="n">
        <f aca="false">INDEX(Hypothèses!$C$6:$C$16,MATCH(H53,Hypothèses!$A$6:$A$16,1))</f>
        <v>3</v>
      </c>
      <c r="J53" s="24" t="n">
        <f aca="false">H53/3600/I53</f>
        <v>0.0166666666666667</v>
      </c>
      <c r="K53" s="21" t="n">
        <f aca="false">IF(H53&lt;=2000,Hypothèses!$B$23,IF(H53&lt;=4000,Hypothèses!$B$24,Hypothèses!$B$25))</f>
        <v>250</v>
      </c>
      <c r="L53" s="21" t="n">
        <f aca="false">MAX(Hypothèses!$B$26,CEILING(J53/(K53/1000)*1000,Hypothèses!$B$27))</f>
        <v>200</v>
      </c>
      <c r="M53" s="24" t="n">
        <f aca="false">L53*K53/1000000</f>
        <v>0.05</v>
      </c>
      <c r="N53" s="25" t="n">
        <f aca="false">H53/3600/M53</f>
        <v>1</v>
      </c>
      <c r="O53" s="21" t="str">
        <f aca="false">IF(N53&lt;=I53,"oui","NON")</f>
        <v>oui</v>
      </c>
      <c r="P53" s="24" t="n">
        <f aca="false">1.3*((L53/1000)*(K53/1000))^0.625/((L53/1000)+(K53/1000))^0.25</f>
        <v>0.244059926740309</v>
      </c>
      <c r="Q53" s="26" t="n">
        <f aca="false">N53*P53/Hypothèses!$B$20</f>
        <v>16270.6617826873</v>
      </c>
      <c r="R53" s="27" t="n">
        <f aca="false">0.25/(LOG10(Hypothèses!$B$21/(3.7*P53)+5.74/Q53^0.9))^2</f>
        <v>0.0285334679281754</v>
      </c>
      <c r="S53" s="25" t="n">
        <f aca="false">R53/P53*Hypothèses!$B$19*N53^2/2</f>
        <v>0.0701470371869846</v>
      </c>
      <c r="T53" s="23" t="n">
        <f aca="false">S53*G53*(1+Hypothèses!$B$22)</f>
        <v>0.405099139754836</v>
      </c>
      <c r="U53" s="5"/>
      <c r="V53" s="21" t="str">
        <f aca="false">IF(K53&lt;=Hypothèses!$B$28-100,"oui","NON")</f>
        <v>oui</v>
      </c>
    </row>
    <row r="54" customFormat="false" ht="15" hidden="false" customHeight="false" outlineLevel="0" collapsed="false">
      <c r="A54" s="21" t="s">
        <v>16</v>
      </c>
      <c r="B54" s="21" t="s">
        <v>147</v>
      </c>
      <c r="C54" s="21" t="s">
        <v>90</v>
      </c>
      <c r="D54" s="21" t="s">
        <v>97</v>
      </c>
      <c r="E54" s="21" t="s">
        <v>85</v>
      </c>
      <c r="F54" s="21" t="s">
        <v>98</v>
      </c>
      <c r="G54" s="22" t="n">
        <v>0.01</v>
      </c>
      <c r="H54" s="6" t="n">
        <v>90</v>
      </c>
      <c r="I54" s="23" t="n">
        <f aca="false">INDEX(Hypothèses!$C$6:$C$16,MATCH(H54,Hypothèses!$A$6:$A$16,1))</f>
        <v>3</v>
      </c>
      <c r="J54" s="24" t="n">
        <f aca="false">H54/3600/I54</f>
        <v>0.00833333333333333</v>
      </c>
      <c r="K54" s="21" t="n">
        <f aca="false">IF(H54&lt;=2000,Hypothèses!$B$23,IF(H54&lt;=4000,Hypothèses!$B$24,Hypothèses!$B$25))</f>
        <v>250</v>
      </c>
      <c r="L54" s="21" t="n">
        <f aca="false">MAX(Hypothèses!$B$26,CEILING(J54/(K54/1000)*1000,Hypothèses!$B$27))</f>
        <v>200</v>
      </c>
      <c r="M54" s="24" t="n">
        <f aca="false">L54*K54/1000000</f>
        <v>0.05</v>
      </c>
      <c r="N54" s="25" t="n">
        <f aca="false">H54/3600/M54</f>
        <v>0.5</v>
      </c>
      <c r="O54" s="21" t="str">
        <f aca="false">IF(N54&lt;=I54,"oui","NON")</f>
        <v>oui</v>
      </c>
      <c r="P54" s="24" t="n">
        <f aca="false">1.3*((L54/1000)*(K54/1000))^0.625/((L54/1000)+(K54/1000))^0.25</f>
        <v>0.244059926740309</v>
      </c>
      <c r="Q54" s="26" t="n">
        <f aca="false">N54*P54/Hypothèses!$B$20</f>
        <v>8135.33089134364</v>
      </c>
      <c r="R54" s="27" t="n">
        <f aca="false">0.25/(LOG10(Hypothèses!$B$21/(3.7*P54)+5.74/Q54^0.9))^2</f>
        <v>0.033772654686126</v>
      </c>
      <c r="S54" s="25" t="n">
        <f aca="false">R54/P54*Hypothèses!$B$19*N54^2/2</f>
        <v>0.0207567799867008</v>
      </c>
      <c r="T54" s="23" t="n">
        <f aca="false">S54*G54*(1+Hypothèses!$B$22)</f>
        <v>0.000311351699800511</v>
      </c>
      <c r="U54" s="5"/>
      <c r="V54" s="21" t="str">
        <f aca="false">IF(K54&lt;=Hypothèses!$B$28-100,"oui","NON")</f>
        <v>oui</v>
      </c>
    </row>
    <row r="55" customFormat="false" ht="15" hidden="false" customHeight="false" outlineLevel="0" collapsed="false">
      <c r="A55" s="21" t="s">
        <v>16</v>
      </c>
      <c r="B55" s="21" t="s">
        <v>148</v>
      </c>
      <c r="C55" s="21" t="s">
        <v>94</v>
      </c>
      <c r="D55" s="21" t="s">
        <v>97</v>
      </c>
      <c r="E55" s="21" t="s">
        <v>85</v>
      </c>
      <c r="F55" s="21" t="s">
        <v>98</v>
      </c>
      <c r="G55" s="22" t="n">
        <v>0.16</v>
      </c>
      <c r="H55" s="6" t="n">
        <v>810</v>
      </c>
      <c r="I55" s="23" t="n">
        <f aca="false">INDEX(Hypothèses!$C$6:$C$16,MATCH(H55,Hypothèses!$A$6:$A$16,1))</f>
        <v>4.5</v>
      </c>
      <c r="J55" s="24" t="n">
        <f aca="false">H55/3600/I55</f>
        <v>0.05</v>
      </c>
      <c r="K55" s="21" t="n">
        <f aca="false">IF(H55&lt;=2000,Hypothèses!$B$23,IF(H55&lt;=4000,Hypothèses!$B$24,Hypothèses!$B$25))</f>
        <v>250</v>
      </c>
      <c r="L55" s="21" t="n">
        <f aca="false">MAX(Hypothèses!$B$26,CEILING(J55/(K55/1000)*1000,Hypothèses!$B$27))</f>
        <v>200</v>
      </c>
      <c r="M55" s="24" t="n">
        <f aca="false">L55*K55/1000000</f>
        <v>0.05</v>
      </c>
      <c r="N55" s="25" t="n">
        <f aca="false">H55/3600/M55</f>
        <v>4.5</v>
      </c>
      <c r="O55" s="21" t="str">
        <f aca="false">IF(N55&lt;=I55,"oui","NON")</f>
        <v>oui</v>
      </c>
      <c r="P55" s="24" t="n">
        <f aca="false">1.3*((L55/1000)*(K55/1000))^0.625/((L55/1000)+(K55/1000))^0.25</f>
        <v>0.244059926740309</v>
      </c>
      <c r="Q55" s="26" t="n">
        <f aca="false">N55*P55/Hypothèses!$B$20</f>
        <v>73217.9780220928</v>
      </c>
      <c r="R55" s="27" t="n">
        <f aca="false">0.25/(LOG10(Hypothèses!$B$21/(3.7*P55)+5.74/Q55^0.9))^2</f>
        <v>0.0217407914266501</v>
      </c>
      <c r="S55" s="25" t="n">
        <f aca="false">R55/P55*Hypothèses!$B$19*N55^2/2</f>
        <v>1.08231867214672</v>
      </c>
      <c r="T55" s="23" t="n">
        <f aca="false">S55*G55*(1+Hypothèses!$B$22)</f>
        <v>0.259756481315214</v>
      </c>
      <c r="U55" s="5" t="s">
        <v>87</v>
      </c>
      <c r="V55" s="21" t="str">
        <f aca="false">IF(K55&lt;=Hypothèses!$B$28-100,"oui","NON")</f>
        <v>oui</v>
      </c>
    </row>
    <row r="56" customFormat="false" ht="15" hidden="false" customHeight="false" outlineLevel="0" collapsed="false">
      <c r="A56" s="21" t="s">
        <v>16</v>
      </c>
      <c r="B56" s="21" t="s">
        <v>149</v>
      </c>
      <c r="C56" s="21" t="s">
        <v>94</v>
      </c>
      <c r="D56" s="21" t="s">
        <v>97</v>
      </c>
      <c r="E56" s="21" t="s">
        <v>85</v>
      </c>
      <c r="F56" s="21"/>
      <c r="G56" s="22" t="n">
        <v>0.2</v>
      </c>
      <c r="H56" s="6" t="n">
        <v>720</v>
      </c>
      <c r="I56" s="23" t="n">
        <f aca="false">INDEX(Hypothèses!$C$6:$C$16,MATCH(H56,Hypothèses!$A$6:$A$16,1))</f>
        <v>4</v>
      </c>
      <c r="J56" s="24" t="n">
        <f aca="false">H56/3600/I56</f>
        <v>0.05</v>
      </c>
      <c r="K56" s="21" t="n">
        <f aca="false">IF(H56&lt;=2000,Hypothèses!$B$23,IF(H56&lt;=4000,Hypothèses!$B$24,Hypothèses!$B$25))</f>
        <v>250</v>
      </c>
      <c r="L56" s="21" t="n">
        <f aca="false">MAX(Hypothèses!$B$26,CEILING(J56/(K56/1000)*1000,Hypothèses!$B$27))</f>
        <v>200</v>
      </c>
      <c r="M56" s="24" t="n">
        <f aca="false">L56*K56/1000000</f>
        <v>0.05</v>
      </c>
      <c r="N56" s="25" t="n">
        <f aca="false">H56/3600/M56</f>
        <v>4</v>
      </c>
      <c r="O56" s="21" t="str">
        <f aca="false">IF(N56&lt;=I56,"oui","NON")</f>
        <v>oui</v>
      </c>
      <c r="P56" s="24" t="n">
        <f aca="false">1.3*((L56/1000)*(K56/1000))^0.625/((L56/1000)+(K56/1000))^0.25</f>
        <v>0.244059926740309</v>
      </c>
      <c r="Q56" s="26" t="n">
        <f aca="false">N56*P56/Hypothèses!$B$20</f>
        <v>65082.6471307491</v>
      </c>
      <c r="R56" s="27" t="n">
        <f aca="false">0.25/(LOG10(Hypothèses!$B$21/(3.7*P56)+5.74/Q56^0.9))^2</f>
        <v>0.0221017738290741</v>
      </c>
      <c r="S56" s="25" t="n">
        <f aca="false">R56/P56*Hypothèses!$B$19*N56^2/2</f>
        <v>0.869364469591424</v>
      </c>
      <c r="T56" s="23" t="n">
        <f aca="false">S56*G56*(1+Hypothèses!$B$22)</f>
        <v>0.260809340877427</v>
      </c>
      <c r="U56" s="5" t="s">
        <v>87</v>
      </c>
      <c r="V56" s="21" t="str">
        <f aca="false">IF(K56&lt;=Hypothèses!$B$28-100,"oui","NON")</f>
        <v>oui</v>
      </c>
    </row>
    <row r="57" customFormat="false" ht="15" hidden="false" customHeight="false" outlineLevel="0" collapsed="false">
      <c r="A57" s="21" t="s">
        <v>16</v>
      </c>
      <c r="B57" s="21" t="s">
        <v>150</v>
      </c>
      <c r="C57" s="21" t="s">
        <v>94</v>
      </c>
      <c r="D57" s="21" t="s">
        <v>97</v>
      </c>
      <c r="E57" s="21" t="s">
        <v>85</v>
      </c>
      <c r="F57" s="21" t="s">
        <v>98</v>
      </c>
      <c r="G57" s="22" t="n">
        <v>3.56</v>
      </c>
      <c r="H57" s="6" t="n">
        <v>720</v>
      </c>
      <c r="I57" s="23" t="n">
        <f aca="false">INDEX(Hypothèses!$C$6:$C$16,MATCH(H57,Hypothèses!$A$6:$A$16,1))</f>
        <v>4</v>
      </c>
      <c r="J57" s="24" t="n">
        <f aca="false">H57/3600/I57</f>
        <v>0.05</v>
      </c>
      <c r="K57" s="21" t="n">
        <f aca="false">IF(H57&lt;=2000,Hypothèses!$B$23,IF(H57&lt;=4000,Hypothèses!$B$24,Hypothèses!$B$25))</f>
        <v>250</v>
      </c>
      <c r="L57" s="21" t="n">
        <f aca="false">MAX(Hypothèses!$B$26,CEILING(J57/(K57/1000)*1000,Hypothèses!$B$27))</f>
        <v>200</v>
      </c>
      <c r="M57" s="24" t="n">
        <f aca="false">L57*K57/1000000</f>
        <v>0.05</v>
      </c>
      <c r="N57" s="25" t="n">
        <f aca="false">H57/3600/M57</f>
        <v>4</v>
      </c>
      <c r="O57" s="21" t="str">
        <f aca="false">IF(N57&lt;=I57,"oui","NON")</f>
        <v>oui</v>
      </c>
      <c r="P57" s="24" t="n">
        <f aca="false">1.3*((L57/1000)*(K57/1000))^0.625/((L57/1000)+(K57/1000))^0.25</f>
        <v>0.244059926740309</v>
      </c>
      <c r="Q57" s="26" t="n">
        <f aca="false">N57*P57/Hypothèses!$B$20</f>
        <v>65082.6471307491</v>
      </c>
      <c r="R57" s="27" t="n">
        <f aca="false">0.25/(LOG10(Hypothèses!$B$21/(3.7*P57)+5.74/Q57^0.9))^2</f>
        <v>0.0221017738290741</v>
      </c>
      <c r="S57" s="25" t="n">
        <f aca="false">R57/P57*Hypothèses!$B$19*N57^2/2</f>
        <v>0.869364469591424</v>
      </c>
      <c r="T57" s="23" t="n">
        <f aca="false">S57*G57*(1+Hypothèses!$B$22)</f>
        <v>4.64240626761821</v>
      </c>
      <c r="U57" s="5" t="s">
        <v>87</v>
      </c>
      <c r="V57" s="21" t="str">
        <f aca="false">IF(K57&lt;=Hypothèses!$B$28-100,"oui","NON")</f>
        <v>oui</v>
      </c>
    </row>
    <row r="58" customFormat="false" ht="15" hidden="false" customHeight="false" outlineLevel="0" collapsed="false">
      <c r="A58" s="21" t="s">
        <v>16</v>
      </c>
      <c r="B58" s="21" t="s">
        <v>151</v>
      </c>
      <c r="C58" s="21" t="s">
        <v>94</v>
      </c>
      <c r="D58" s="21" t="s">
        <v>97</v>
      </c>
      <c r="E58" s="21" t="s">
        <v>85</v>
      </c>
      <c r="F58" s="21" t="s">
        <v>104</v>
      </c>
      <c r="G58" s="22" t="n">
        <v>0.14</v>
      </c>
      <c r="H58" s="6" t="n">
        <v>630</v>
      </c>
      <c r="I58" s="23" t="n">
        <f aca="false">INDEX(Hypothèses!$C$6:$C$16,MATCH(H58,Hypothèses!$A$6:$A$16,1))</f>
        <v>4</v>
      </c>
      <c r="J58" s="24" t="n">
        <f aca="false">H58/3600/I58</f>
        <v>0.04375</v>
      </c>
      <c r="K58" s="21" t="n">
        <f aca="false">IF(H58&lt;=2000,Hypothèses!$B$23,IF(H58&lt;=4000,Hypothèses!$B$24,Hypothèses!$B$25))</f>
        <v>250</v>
      </c>
      <c r="L58" s="21" t="n">
        <f aca="false">MAX(Hypothèses!$B$26,CEILING(J58/(K58/1000)*1000,Hypothèses!$B$27))</f>
        <v>200</v>
      </c>
      <c r="M58" s="24" t="n">
        <f aca="false">L58*K58/1000000</f>
        <v>0.05</v>
      </c>
      <c r="N58" s="25" t="n">
        <f aca="false">H58/3600/M58</f>
        <v>3.5</v>
      </c>
      <c r="O58" s="21" t="str">
        <f aca="false">IF(N58&lt;=I58,"oui","NON")</f>
        <v>oui</v>
      </c>
      <c r="P58" s="24" t="n">
        <f aca="false">1.3*((L58/1000)*(K58/1000))^0.625/((L58/1000)+(K58/1000))^0.25</f>
        <v>0.244059926740309</v>
      </c>
      <c r="Q58" s="26" t="n">
        <f aca="false">N58*P58/Hypothèses!$B$20</f>
        <v>56947.3162394055</v>
      </c>
      <c r="R58" s="27" t="n">
        <f aca="false">0.25/(LOG10(Hypothèses!$B$21/(3.7*P58)+5.74/Q58^0.9))^2</f>
        <v>0.0225408508367514</v>
      </c>
      <c r="S58" s="25" t="n">
        <f aca="false">R58/P58*Hypothèses!$B$19*N58^2/2</f>
        <v>0.678830219540338</v>
      </c>
      <c r="T58" s="23" t="n">
        <f aca="false">S58*G58*(1+Hypothèses!$B$22)</f>
        <v>0.142554346103471</v>
      </c>
      <c r="U58" s="5" t="s">
        <v>87</v>
      </c>
      <c r="V58" s="21" t="str">
        <f aca="false">IF(K58&lt;=Hypothèses!$B$28-100,"oui","NON")</f>
        <v>oui</v>
      </c>
    </row>
    <row r="59" customFormat="false" ht="15" hidden="false" customHeight="false" outlineLevel="0" collapsed="false">
      <c r="A59" s="21" t="s">
        <v>16</v>
      </c>
      <c r="B59" s="21" t="s">
        <v>152</v>
      </c>
      <c r="C59" s="21" t="s">
        <v>94</v>
      </c>
      <c r="D59" s="21" t="s">
        <v>97</v>
      </c>
      <c r="E59" s="21" t="s">
        <v>85</v>
      </c>
      <c r="F59" s="21" t="s">
        <v>104</v>
      </c>
      <c r="G59" s="22" t="n">
        <v>3.78</v>
      </c>
      <c r="H59" s="6" t="n">
        <v>540</v>
      </c>
      <c r="I59" s="23" t="n">
        <f aca="false">INDEX(Hypothèses!$C$6:$C$16,MATCH(H59,Hypothèses!$A$6:$A$16,1))</f>
        <v>3.5</v>
      </c>
      <c r="J59" s="24" t="n">
        <f aca="false">H59/3600/I59</f>
        <v>0.0428571428571429</v>
      </c>
      <c r="K59" s="21" t="n">
        <f aca="false">IF(H59&lt;=2000,Hypothèses!$B$23,IF(H59&lt;=4000,Hypothèses!$B$24,Hypothèses!$B$25))</f>
        <v>250</v>
      </c>
      <c r="L59" s="21" t="n">
        <f aca="false">MAX(Hypothèses!$B$26,CEILING(J59/(K59/1000)*1000,Hypothèses!$B$27))</f>
        <v>200</v>
      </c>
      <c r="M59" s="24" t="n">
        <f aca="false">L59*K59/1000000</f>
        <v>0.05</v>
      </c>
      <c r="N59" s="25" t="n">
        <f aca="false">H59/3600/M59</f>
        <v>3</v>
      </c>
      <c r="O59" s="21" t="str">
        <f aca="false">IF(N59&lt;=I59,"oui","NON")</f>
        <v>oui</v>
      </c>
      <c r="P59" s="24" t="n">
        <f aca="false">1.3*((L59/1000)*(K59/1000))^0.625/((L59/1000)+(K59/1000))^0.25</f>
        <v>0.244059926740309</v>
      </c>
      <c r="Q59" s="26" t="n">
        <f aca="false">N59*P59/Hypothèses!$B$20</f>
        <v>48811.9853480618</v>
      </c>
      <c r="R59" s="27" t="n">
        <f aca="false">0.25/(LOG10(Hypothèses!$B$21/(3.7*P59)+5.74/Q59^0.9))^2</f>
        <v>0.0230891942725925</v>
      </c>
      <c r="S59" s="25" t="n">
        <f aca="false">R59/P59*Hypothèses!$B$19*N59^2/2</f>
        <v>0.510864895918232</v>
      </c>
      <c r="T59" s="23" t="n">
        <f aca="false">S59*G59*(1+Hypothèses!$B$22)</f>
        <v>2.89660395985638</v>
      </c>
      <c r="U59" s="5" t="s">
        <v>87</v>
      </c>
      <c r="V59" s="21" t="str">
        <f aca="false">IF(K59&lt;=Hypothèses!$B$28-100,"oui","NON")</f>
        <v>oui</v>
      </c>
    </row>
    <row r="60" customFormat="false" ht="15" hidden="false" customHeight="false" outlineLevel="0" collapsed="false">
      <c r="A60" s="21" t="s">
        <v>16</v>
      </c>
      <c r="B60" s="21" t="s">
        <v>153</v>
      </c>
      <c r="C60" s="21" t="s">
        <v>94</v>
      </c>
      <c r="D60" s="21" t="s">
        <v>97</v>
      </c>
      <c r="E60" s="21" t="s">
        <v>85</v>
      </c>
      <c r="F60" s="21" t="s">
        <v>98</v>
      </c>
      <c r="G60" s="22" t="n">
        <v>0.55</v>
      </c>
      <c r="H60" s="6" t="n">
        <v>450</v>
      </c>
      <c r="I60" s="23" t="n">
        <f aca="false">INDEX(Hypothèses!$C$6:$C$16,MATCH(H60,Hypothèses!$A$6:$A$16,1))</f>
        <v>3.5</v>
      </c>
      <c r="J60" s="24" t="n">
        <f aca="false">H60/3600/I60</f>
        <v>0.0357142857142857</v>
      </c>
      <c r="K60" s="21" t="n">
        <f aca="false">IF(H60&lt;=2000,Hypothèses!$B$23,IF(H60&lt;=4000,Hypothèses!$B$24,Hypothèses!$B$25))</f>
        <v>250</v>
      </c>
      <c r="L60" s="21" t="n">
        <f aca="false">MAX(Hypothèses!$B$26,CEILING(J60/(K60/1000)*1000,Hypothèses!$B$27))</f>
        <v>200</v>
      </c>
      <c r="M60" s="24" t="n">
        <f aca="false">L60*K60/1000000</f>
        <v>0.05</v>
      </c>
      <c r="N60" s="25" t="n">
        <f aca="false">H60/3600/M60</f>
        <v>2.5</v>
      </c>
      <c r="O60" s="21" t="str">
        <f aca="false">IF(N60&lt;=I60,"oui","NON")</f>
        <v>oui</v>
      </c>
      <c r="P60" s="24" t="n">
        <f aca="false">1.3*((L60/1000)*(K60/1000))^0.625/((L60/1000)+(K60/1000))^0.25</f>
        <v>0.244059926740309</v>
      </c>
      <c r="Q60" s="26" t="n">
        <f aca="false">N60*P60/Hypothèses!$B$20</f>
        <v>40676.6544567182</v>
      </c>
      <c r="R60" s="27" t="n">
        <f aca="false">0.25/(LOG10(Hypothèses!$B$21/(3.7*P60)+5.74/Q60^0.9))^2</f>
        <v>0.0237985309638672</v>
      </c>
      <c r="S60" s="25" t="n">
        <f aca="false">R60/P60*Hypothèses!$B$19*N60^2/2</f>
        <v>0.365666302971</v>
      </c>
      <c r="T60" s="23" t="n">
        <f aca="false">S60*G60*(1+Hypothèses!$B$22)</f>
        <v>0.301674699951075</v>
      </c>
      <c r="U60" s="5" t="s">
        <v>87</v>
      </c>
      <c r="V60" s="21" t="str">
        <f aca="false">IF(K60&lt;=Hypothèses!$B$28-100,"oui","NON")</f>
        <v>oui</v>
      </c>
    </row>
    <row r="61" customFormat="false" ht="15" hidden="false" customHeight="false" outlineLevel="0" collapsed="false">
      <c r="A61" s="21" t="s">
        <v>16</v>
      </c>
      <c r="B61" s="21" t="s">
        <v>154</v>
      </c>
      <c r="C61" s="21" t="s">
        <v>94</v>
      </c>
      <c r="D61" s="21" t="s">
        <v>97</v>
      </c>
      <c r="E61" s="21" t="s">
        <v>85</v>
      </c>
      <c r="F61" s="21" t="s">
        <v>139</v>
      </c>
      <c r="G61" s="22" t="n">
        <v>3.97</v>
      </c>
      <c r="H61" s="6" t="n">
        <v>360</v>
      </c>
      <c r="I61" s="23" t="n">
        <f aca="false">INDEX(Hypothèses!$C$6:$C$16,MATCH(H61,Hypothèses!$A$6:$A$16,1))</f>
        <v>3.5</v>
      </c>
      <c r="J61" s="24" t="n">
        <f aca="false">H61/3600/I61</f>
        <v>0.0285714285714286</v>
      </c>
      <c r="K61" s="21" t="n">
        <f aca="false">IF(H61&lt;=2000,Hypothèses!$B$23,IF(H61&lt;=4000,Hypothèses!$B$24,Hypothèses!$B$25))</f>
        <v>250</v>
      </c>
      <c r="L61" s="21" t="n">
        <f aca="false">MAX(Hypothèses!$B$26,CEILING(J61/(K61/1000)*1000,Hypothèses!$B$27))</f>
        <v>200</v>
      </c>
      <c r="M61" s="24" t="n">
        <f aca="false">L61*K61/1000000</f>
        <v>0.05</v>
      </c>
      <c r="N61" s="25" t="n">
        <f aca="false">H61/3600/M61</f>
        <v>2</v>
      </c>
      <c r="O61" s="21" t="str">
        <f aca="false">IF(N61&lt;=I61,"oui","NON")</f>
        <v>oui</v>
      </c>
      <c r="P61" s="24" t="n">
        <f aca="false">1.3*((L61/1000)*(K61/1000))^0.625/((L61/1000)+(K61/1000))^0.25</f>
        <v>0.244059926740309</v>
      </c>
      <c r="Q61" s="26" t="n">
        <f aca="false">N61*P61/Hypothèses!$B$20</f>
        <v>32541.3235653746</v>
      </c>
      <c r="R61" s="27" t="n">
        <f aca="false">0.25/(LOG10(Hypothèses!$B$21/(3.7*P61)+5.74/Q61^0.9))^2</f>
        <v>0.02476271558301</v>
      </c>
      <c r="S61" s="25" t="n">
        <f aca="false">R61/P61*Hypothèses!$B$19*N61^2/2</f>
        <v>0.243507888382105</v>
      </c>
      <c r="T61" s="23" t="n">
        <f aca="false">S61*G61*(1+Hypothèses!$B$22)</f>
        <v>1.45008947531544</v>
      </c>
      <c r="U61" s="5" t="s">
        <v>87</v>
      </c>
      <c r="V61" s="21" t="str">
        <f aca="false">IF(K61&lt;=Hypothèses!$B$28-100,"oui","NON")</f>
        <v>oui</v>
      </c>
    </row>
    <row r="62" customFormat="false" ht="15" hidden="false" customHeight="false" outlineLevel="0" collapsed="false">
      <c r="A62" s="21" t="s">
        <v>16</v>
      </c>
      <c r="B62" s="21" t="s">
        <v>155</v>
      </c>
      <c r="C62" s="21" t="s">
        <v>94</v>
      </c>
      <c r="D62" s="21" t="s">
        <v>97</v>
      </c>
      <c r="E62" s="21" t="s">
        <v>85</v>
      </c>
      <c r="F62" s="21" t="s">
        <v>98</v>
      </c>
      <c r="G62" s="22" t="n">
        <v>2.43</v>
      </c>
      <c r="H62" s="6" t="n">
        <v>270</v>
      </c>
      <c r="I62" s="23" t="n">
        <f aca="false">INDEX(Hypothèses!$C$6:$C$16,MATCH(H62,Hypothèses!$A$6:$A$16,1))</f>
        <v>3</v>
      </c>
      <c r="J62" s="24" t="n">
        <f aca="false">H62/3600/I62</f>
        <v>0.025</v>
      </c>
      <c r="K62" s="21" t="n">
        <f aca="false">IF(H62&lt;=2000,Hypothèses!$B$23,IF(H62&lt;=4000,Hypothèses!$B$24,Hypothèses!$B$25))</f>
        <v>250</v>
      </c>
      <c r="L62" s="21" t="n">
        <f aca="false">MAX(Hypothèses!$B$26,CEILING(J62/(K62/1000)*1000,Hypothèses!$B$27))</f>
        <v>200</v>
      </c>
      <c r="M62" s="24" t="n">
        <f aca="false">L62*K62/1000000</f>
        <v>0.05</v>
      </c>
      <c r="N62" s="25" t="n">
        <f aca="false">H62/3600/M62</f>
        <v>1.5</v>
      </c>
      <c r="O62" s="21" t="str">
        <f aca="false">IF(N62&lt;=I62,"oui","NON")</f>
        <v>oui</v>
      </c>
      <c r="P62" s="24" t="n">
        <f aca="false">1.3*((L62/1000)*(K62/1000))^0.625/((L62/1000)+(K62/1000))^0.25</f>
        <v>0.244059926740309</v>
      </c>
      <c r="Q62" s="26" t="n">
        <f aca="false">N62*P62/Hypothèses!$B$20</f>
        <v>24405.9926740309</v>
      </c>
      <c r="R62" s="27" t="n">
        <f aca="false">0.25/(LOG10(Hypothèses!$B$21/(3.7*P62)+5.74/Q62^0.9))^2</f>
        <v>0.0261757755144053</v>
      </c>
      <c r="S62" s="25" t="n">
        <f aca="false">R62/P62*Hypothèses!$B$19*N62^2/2</f>
        <v>0.144789426992034</v>
      </c>
      <c r="T62" s="23" t="n">
        <f aca="false">S62*G62*(1+Hypothèses!$B$22)</f>
        <v>0.527757461385964</v>
      </c>
      <c r="U62" s="5" t="s">
        <v>87</v>
      </c>
      <c r="V62" s="21" t="str">
        <f aca="false">IF(K62&lt;=Hypothèses!$B$28-100,"oui","NON")</f>
        <v>oui</v>
      </c>
    </row>
    <row r="63" customFormat="false" ht="15" hidden="false" customHeight="false" outlineLevel="0" collapsed="false">
      <c r="A63" s="21" t="s">
        <v>16</v>
      </c>
      <c r="B63" s="21" t="s">
        <v>156</v>
      </c>
      <c r="C63" s="21" t="s">
        <v>94</v>
      </c>
      <c r="D63" s="21" t="s">
        <v>97</v>
      </c>
      <c r="E63" s="21" t="s">
        <v>85</v>
      </c>
      <c r="F63" s="21" t="s">
        <v>139</v>
      </c>
      <c r="G63" s="22" t="n">
        <v>1.38</v>
      </c>
      <c r="H63" s="6" t="n">
        <v>180</v>
      </c>
      <c r="I63" s="23" t="n">
        <f aca="false">INDEX(Hypothèses!$C$6:$C$16,MATCH(H63,Hypothèses!$A$6:$A$16,1))</f>
        <v>3</v>
      </c>
      <c r="J63" s="24" t="n">
        <f aca="false">H63/3600/I63</f>
        <v>0.0166666666666667</v>
      </c>
      <c r="K63" s="21" t="n">
        <f aca="false">IF(H63&lt;=2000,Hypothèses!$B$23,IF(H63&lt;=4000,Hypothèses!$B$24,Hypothèses!$B$25))</f>
        <v>250</v>
      </c>
      <c r="L63" s="21" t="n">
        <f aca="false">MAX(Hypothèses!$B$26,CEILING(J63/(K63/1000)*1000,Hypothèses!$B$27))</f>
        <v>200</v>
      </c>
      <c r="M63" s="24" t="n">
        <f aca="false">L63*K63/1000000</f>
        <v>0.05</v>
      </c>
      <c r="N63" s="25" t="n">
        <f aca="false">H63/3600/M63</f>
        <v>1</v>
      </c>
      <c r="O63" s="21" t="str">
        <f aca="false">IF(N63&lt;=I63,"oui","NON")</f>
        <v>oui</v>
      </c>
      <c r="P63" s="24" t="n">
        <f aca="false">1.3*((L63/1000)*(K63/1000))^0.625/((L63/1000)+(K63/1000))^0.25</f>
        <v>0.244059926740309</v>
      </c>
      <c r="Q63" s="26" t="n">
        <f aca="false">N63*P63/Hypothèses!$B$20</f>
        <v>16270.6617826873</v>
      </c>
      <c r="R63" s="27" t="n">
        <f aca="false">0.25/(LOG10(Hypothèses!$B$21/(3.7*P63)+5.74/Q63^0.9))^2</f>
        <v>0.0285334679281754</v>
      </c>
      <c r="S63" s="25" t="n">
        <f aca="false">R63/P63*Hypothèses!$B$19*N63^2/2</f>
        <v>0.0701470371869846</v>
      </c>
      <c r="T63" s="23" t="n">
        <f aca="false">S63*G63*(1+Hypothèses!$B$22)</f>
        <v>0.145204366977058</v>
      </c>
      <c r="U63" s="5" t="s">
        <v>87</v>
      </c>
      <c r="V63" s="21" t="str">
        <f aca="false">IF(K63&lt;=Hypothèses!$B$28-100,"oui","NON")</f>
        <v>oui</v>
      </c>
    </row>
    <row r="64" customFormat="false" ht="15" hidden="false" customHeight="false" outlineLevel="0" collapsed="false">
      <c r="A64" s="21" t="s">
        <v>16</v>
      </c>
      <c r="B64" s="21" t="s">
        <v>157</v>
      </c>
      <c r="C64" s="21" t="s">
        <v>94</v>
      </c>
      <c r="D64" s="21" t="s">
        <v>97</v>
      </c>
      <c r="E64" s="21" t="s">
        <v>85</v>
      </c>
      <c r="F64" s="21" t="s">
        <v>98</v>
      </c>
      <c r="G64" s="22" t="n">
        <v>2.59</v>
      </c>
      <c r="H64" s="6" t="n">
        <v>90</v>
      </c>
      <c r="I64" s="23" t="n">
        <f aca="false">INDEX(Hypothèses!$C$6:$C$16,MATCH(H64,Hypothèses!$A$6:$A$16,1))</f>
        <v>3</v>
      </c>
      <c r="J64" s="24" t="n">
        <f aca="false">H64/3600/I64</f>
        <v>0.00833333333333333</v>
      </c>
      <c r="K64" s="21" t="n">
        <f aca="false">IF(H64&lt;=2000,Hypothèses!$B$23,IF(H64&lt;=4000,Hypothèses!$B$24,Hypothèses!$B$25))</f>
        <v>250</v>
      </c>
      <c r="L64" s="21" t="n">
        <f aca="false">MAX(Hypothèses!$B$26,CEILING(J64/(K64/1000)*1000,Hypothèses!$B$27))</f>
        <v>200</v>
      </c>
      <c r="M64" s="24" t="n">
        <f aca="false">L64*K64/1000000</f>
        <v>0.05</v>
      </c>
      <c r="N64" s="25" t="n">
        <f aca="false">H64/3600/M64</f>
        <v>0.5</v>
      </c>
      <c r="O64" s="21" t="str">
        <f aca="false">IF(N64&lt;=I64,"oui","NON")</f>
        <v>oui</v>
      </c>
      <c r="P64" s="24" t="n">
        <f aca="false">1.3*((L64/1000)*(K64/1000))^0.625/((L64/1000)+(K64/1000))^0.25</f>
        <v>0.244059926740309</v>
      </c>
      <c r="Q64" s="26" t="n">
        <f aca="false">N64*P64/Hypothèses!$B$20</f>
        <v>8135.33089134364</v>
      </c>
      <c r="R64" s="27" t="n">
        <f aca="false">0.25/(LOG10(Hypothèses!$B$21/(3.7*P64)+5.74/Q64^0.9))^2</f>
        <v>0.033772654686126</v>
      </c>
      <c r="S64" s="25" t="n">
        <f aca="false">R64/P64*Hypothèses!$B$19*N64^2/2</f>
        <v>0.0207567799867008</v>
      </c>
      <c r="T64" s="23" t="n">
        <f aca="false">S64*G64*(1+Hypothèses!$B$22)</f>
        <v>0.0806400902483325</v>
      </c>
      <c r="U64" s="5" t="s">
        <v>87</v>
      </c>
      <c r="V64" s="21" t="str">
        <f aca="false">IF(K64&lt;=Hypothèses!$B$28-100,"oui","NON")</f>
        <v>oui</v>
      </c>
    </row>
    <row r="65" customFormat="false" ht="15" hidden="false" customHeight="false" outlineLevel="0" collapsed="false">
      <c r="A65" s="21" t="s">
        <v>16</v>
      </c>
      <c r="B65" s="21" t="s">
        <v>158</v>
      </c>
      <c r="C65" s="21" t="s">
        <v>94</v>
      </c>
      <c r="D65" s="21" t="s">
        <v>97</v>
      </c>
      <c r="E65" s="21" t="s">
        <v>85</v>
      </c>
      <c r="F65" s="21" t="s">
        <v>104</v>
      </c>
      <c r="G65" s="22" t="n">
        <v>0.35</v>
      </c>
      <c r="H65" s="6" t="n">
        <v>450</v>
      </c>
      <c r="I65" s="23" t="n">
        <f aca="false">INDEX(Hypothèses!$C$6:$C$16,MATCH(H65,Hypothèses!$A$6:$A$16,1))</f>
        <v>3.5</v>
      </c>
      <c r="J65" s="24" t="n">
        <f aca="false">H65/3600/I65</f>
        <v>0.0357142857142857</v>
      </c>
      <c r="K65" s="21" t="n">
        <f aca="false">IF(H65&lt;=2000,Hypothèses!$B$23,IF(H65&lt;=4000,Hypothèses!$B$24,Hypothèses!$B$25))</f>
        <v>250</v>
      </c>
      <c r="L65" s="21" t="n">
        <f aca="false">MAX(Hypothèses!$B$26,CEILING(J65/(K65/1000)*1000,Hypothèses!$B$27))</f>
        <v>200</v>
      </c>
      <c r="M65" s="24" t="n">
        <f aca="false">L65*K65/1000000</f>
        <v>0.05</v>
      </c>
      <c r="N65" s="25" t="n">
        <f aca="false">H65/3600/M65</f>
        <v>2.5</v>
      </c>
      <c r="O65" s="21" t="str">
        <f aca="false">IF(N65&lt;=I65,"oui","NON")</f>
        <v>oui</v>
      </c>
      <c r="P65" s="24" t="n">
        <f aca="false">1.3*((L65/1000)*(K65/1000))^0.625/((L65/1000)+(K65/1000))^0.25</f>
        <v>0.244059926740309</v>
      </c>
      <c r="Q65" s="26" t="n">
        <f aca="false">N65*P65/Hypothèses!$B$20</f>
        <v>40676.6544567182</v>
      </c>
      <c r="R65" s="27" t="n">
        <f aca="false">0.25/(LOG10(Hypothèses!$B$21/(3.7*P65)+5.74/Q65^0.9))^2</f>
        <v>0.0237985309638672</v>
      </c>
      <c r="S65" s="25" t="n">
        <f aca="false">R65/P65*Hypothèses!$B$19*N65^2/2</f>
        <v>0.365666302971</v>
      </c>
      <c r="T65" s="23" t="n">
        <f aca="false">S65*G65*(1+Hypothèses!$B$22)</f>
        <v>0.191974809059775</v>
      </c>
      <c r="U65" s="5"/>
      <c r="V65" s="21" t="str">
        <f aca="false">IF(K65&lt;=Hypothèses!$B$28-100,"oui","NON")</f>
        <v>oui</v>
      </c>
    </row>
    <row r="66" customFormat="false" ht="15" hidden="false" customHeight="false" outlineLevel="0" collapsed="false">
      <c r="A66" s="21" t="s">
        <v>16</v>
      </c>
      <c r="B66" s="21" t="s">
        <v>159</v>
      </c>
      <c r="C66" s="21" t="s">
        <v>94</v>
      </c>
      <c r="D66" s="21" t="s">
        <v>97</v>
      </c>
      <c r="E66" s="21" t="s">
        <v>85</v>
      </c>
      <c r="F66" s="21" t="s">
        <v>104</v>
      </c>
      <c r="G66" s="22" t="n">
        <v>3.72</v>
      </c>
      <c r="H66" s="6" t="n">
        <v>360</v>
      </c>
      <c r="I66" s="23" t="n">
        <f aca="false">INDEX(Hypothèses!$C$6:$C$16,MATCH(H66,Hypothèses!$A$6:$A$16,1))</f>
        <v>3.5</v>
      </c>
      <c r="J66" s="24" t="n">
        <f aca="false">H66/3600/I66</f>
        <v>0.0285714285714286</v>
      </c>
      <c r="K66" s="21" t="n">
        <f aca="false">IF(H66&lt;=2000,Hypothèses!$B$23,IF(H66&lt;=4000,Hypothèses!$B$24,Hypothèses!$B$25))</f>
        <v>250</v>
      </c>
      <c r="L66" s="21" t="n">
        <f aca="false">MAX(Hypothèses!$B$26,CEILING(J66/(K66/1000)*1000,Hypothèses!$B$27))</f>
        <v>200</v>
      </c>
      <c r="M66" s="24" t="n">
        <f aca="false">L66*K66/1000000</f>
        <v>0.05</v>
      </c>
      <c r="N66" s="25" t="n">
        <f aca="false">H66/3600/M66</f>
        <v>2</v>
      </c>
      <c r="O66" s="21" t="str">
        <f aca="false">IF(N66&lt;=I66,"oui","NON")</f>
        <v>oui</v>
      </c>
      <c r="P66" s="24" t="n">
        <f aca="false">1.3*((L66/1000)*(K66/1000))^0.625/((L66/1000)+(K66/1000))^0.25</f>
        <v>0.244059926740309</v>
      </c>
      <c r="Q66" s="26" t="n">
        <f aca="false">N66*P66/Hypothèses!$B$20</f>
        <v>32541.3235653746</v>
      </c>
      <c r="R66" s="27" t="n">
        <f aca="false">0.25/(LOG10(Hypothèses!$B$21/(3.7*P66)+5.74/Q66^0.9))^2</f>
        <v>0.02476271558301</v>
      </c>
      <c r="S66" s="25" t="n">
        <f aca="false">R66/P66*Hypothèses!$B$19*N66^2/2</f>
        <v>0.243507888382105</v>
      </c>
      <c r="T66" s="23" t="n">
        <f aca="false">S66*G66*(1+Hypothèses!$B$22)</f>
        <v>1.35877401717215</v>
      </c>
      <c r="U66" s="5"/>
      <c r="V66" s="21" t="str">
        <f aca="false">IF(K66&lt;=Hypothèses!$B$28-100,"oui","NON")</f>
        <v>oui</v>
      </c>
    </row>
    <row r="67" customFormat="false" ht="15" hidden="false" customHeight="false" outlineLevel="0" collapsed="false">
      <c r="A67" s="21" t="s">
        <v>16</v>
      </c>
      <c r="B67" s="21" t="s">
        <v>160</v>
      </c>
      <c r="C67" s="21" t="s">
        <v>94</v>
      </c>
      <c r="D67" s="21" t="s">
        <v>97</v>
      </c>
      <c r="E67" s="21" t="s">
        <v>85</v>
      </c>
      <c r="F67" s="21" t="s">
        <v>139</v>
      </c>
      <c r="G67" s="22" t="n">
        <v>0.26</v>
      </c>
      <c r="H67" s="6" t="n">
        <v>270</v>
      </c>
      <c r="I67" s="23" t="n">
        <f aca="false">INDEX(Hypothèses!$C$6:$C$16,MATCH(H67,Hypothèses!$A$6:$A$16,1))</f>
        <v>3</v>
      </c>
      <c r="J67" s="24" t="n">
        <f aca="false">H67/3600/I67</f>
        <v>0.025</v>
      </c>
      <c r="K67" s="21" t="n">
        <f aca="false">IF(H67&lt;=2000,Hypothèses!$B$23,IF(H67&lt;=4000,Hypothèses!$B$24,Hypothèses!$B$25))</f>
        <v>250</v>
      </c>
      <c r="L67" s="21" t="n">
        <f aca="false">MAX(Hypothèses!$B$26,CEILING(J67/(K67/1000)*1000,Hypothèses!$B$27))</f>
        <v>200</v>
      </c>
      <c r="M67" s="24" t="n">
        <f aca="false">L67*K67/1000000</f>
        <v>0.05</v>
      </c>
      <c r="N67" s="25" t="n">
        <f aca="false">H67/3600/M67</f>
        <v>1.5</v>
      </c>
      <c r="O67" s="21" t="str">
        <f aca="false">IF(N67&lt;=I67,"oui","NON")</f>
        <v>oui</v>
      </c>
      <c r="P67" s="24" t="n">
        <f aca="false">1.3*((L67/1000)*(K67/1000))^0.625/((L67/1000)+(K67/1000))^0.25</f>
        <v>0.244059926740309</v>
      </c>
      <c r="Q67" s="26" t="n">
        <f aca="false">N67*P67/Hypothèses!$B$20</f>
        <v>24405.9926740309</v>
      </c>
      <c r="R67" s="27" t="n">
        <f aca="false">0.25/(LOG10(Hypothèses!$B$21/(3.7*P67)+5.74/Q67^0.9))^2</f>
        <v>0.0261757755144053</v>
      </c>
      <c r="S67" s="25" t="n">
        <f aca="false">R67/P67*Hypothèses!$B$19*N67^2/2</f>
        <v>0.144789426992034</v>
      </c>
      <c r="T67" s="23" t="n">
        <f aca="false">S67*G67*(1+Hypothèses!$B$22)</f>
        <v>0.0564678765268933</v>
      </c>
      <c r="U67" s="5"/>
      <c r="V67" s="21" t="str">
        <f aca="false">IF(K67&lt;=Hypothèses!$B$28-100,"oui","NON")</f>
        <v>oui</v>
      </c>
    </row>
    <row r="68" customFormat="false" ht="15" hidden="false" customHeight="false" outlineLevel="0" collapsed="false">
      <c r="A68" s="21" t="s">
        <v>16</v>
      </c>
      <c r="B68" s="21" t="s">
        <v>161</v>
      </c>
      <c r="C68" s="21" t="s">
        <v>94</v>
      </c>
      <c r="D68" s="21" t="s">
        <v>97</v>
      </c>
      <c r="E68" s="21" t="s">
        <v>85</v>
      </c>
      <c r="F68" s="21" t="s">
        <v>162</v>
      </c>
      <c r="G68" s="22" t="n">
        <v>3.86</v>
      </c>
      <c r="H68" s="6" t="n">
        <v>180</v>
      </c>
      <c r="I68" s="23" t="n">
        <f aca="false">INDEX(Hypothèses!$C$6:$C$16,MATCH(H68,Hypothèses!$A$6:$A$16,1))</f>
        <v>3</v>
      </c>
      <c r="J68" s="24" t="n">
        <f aca="false">H68/3600/I68</f>
        <v>0.0166666666666667</v>
      </c>
      <c r="K68" s="21" t="n">
        <f aca="false">IF(H68&lt;=2000,Hypothèses!$B$23,IF(H68&lt;=4000,Hypothèses!$B$24,Hypothèses!$B$25))</f>
        <v>250</v>
      </c>
      <c r="L68" s="21" t="n">
        <f aca="false">MAX(Hypothèses!$B$26,CEILING(J68/(K68/1000)*1000,Hypothèses!$B$27))</f>
        <v>200</v>
      </c>
      <c r="M68" s="24" t="n">
        <f aca="false">L68*K68/1000000</f>
        <v>0.05</v>
      </c>
      <c r="N68" s="25" t="n">
        <f aca="false">H68/3600/M68</f>
        <v>1</v>
      </c>
      <c r="O68" s="21" t="str">
        <f aca="false">IF(N68&lt;=I68,"oui","NON")</f>
        <v>oui</v>
      </c>
      <c r="P68" s="24" t="n">
        <f aca="false">1.3*((L68/1000)*(K68/1000))^0.625/((L68/1000)+(K68/1000))^0.25</f>
        <v>0.244059926740309</v>
      </c>
      <c r="Q68" s="26" t="n">
        <f aca="false">N68*P68/Hypothèses!$B$20</f>
        <v>16270.6617826873</v>
      </c>
      <c r="R68" s="27" t="n">
        <f aca="false">0.25/(LOG10(Hypothèses!$B$21/(3.7*P68)+5.74/Q68^0.9))^2</f>
        <v>0.0285334679281754</v>
      </c>
      <c r="S68" s="25" t="n">
        <f aca="false">R68/P68*Hypothèses!$B$19*N68^2/2</f>
        <v>0.0701470371869846</v>
      </c>
      <c r="T68" s="23" t="n">
        <f aca="false">S68*G68*(1+Hypothèses!$B$22)</f>
        <v>0.406151345312641</v>
      </c>
      <c r="U68" s="5"/>
      <c r="V68" s="21" t="str">
        <f aca="false">IF(K68&lt;=Hypothèses!$B$28-100,"oui","NON")</f>
        <v>oui</v>
      </c>
    </row>
    <row r="69" customFormat="false" ht="15" hidden="false" customHeight="false" outlineLevel="0" collapsed="false">
      <c r="A69" s="21" t="s">
        <v>18</v>
      </c>
      <c r="B69" s="21" t="s">
        <v>163</v>
      </c>
      <c r="C69" s="21" t="s">
        <v>83</v>
      </c>
      <c r="D69" s="21" t="s">
        <v>84</v>
      </c>
      <c r="E69" s="21" t="s">
        <v>85</v>
      </c>
      <c r="F69" s="21" t="s">
        <v>86</v>
      </c>
      <c r="G69" s="22" t="n">
        <v>4.99</v>
      </c>
      <c r="H69" s="6" t="n">
        <v>1170</v>
      </c>
      <c r="I69" s="23" t="n">
        <f aca="false">INDEX(Hypothèses!$C$6:$C$16,MATCH(H69,Hypothèses!$A$6:$A$16,1))</f>
        <v>4.5</v>
      </c>
      <c r="J69" s="24" t="n">
        <f aca="false">H69/3600/I69</f>
        <v>0.0722222222222222</v>
      </c>
      <c r="K69" s="21" t="n">
        <f aca="false">IF(H69&lt;=2000,Hypothèses!$B$23,IF(H69&lt;=4000,Hypothèses!$B$24,Hypothèses!$B$25))</f>
        <v>250</v>
      </c>
      <c r="L69" s="21" t="n">
        <f aca="false">MAX(Hypothèses!$B$26,CEILING(J69/(K69/1000)*1000,Hypothèses!$B$27))</f>
        <v>300</v>
      </c>
      <c r="M69" s="24" t="n">
        <f aca="false">L69*K69/1000000</f>
        <v>0.075</v>
      </c>
      <c r="N69" s="25" t="n">
        <f aca="false">H69/3600/M69</f>
        <v>4.33333333333333</v>
      </c>
      <c r="O69" s="21" t="str">
        <f aca="false">IF(N69&lt;=I69,"oui","NON")</f>
        <v>oui</v>
      </c>
      <c r="P69" s="24" t="n">
        <f aca="false">1.3*((L69/1000)*(K69/1000))^0.625/((L69/1000)+(K69/1000))^0.25</f>
        <v>0.299065261432546</v>
      </c>
      <c r="Q69" s="26" t="n">
        <f aca="false">N69*P69/Hypothèses!$B$20</f>
        <v>86396.6310805133</v>
      </c>
      <c r="R69" s="27" t="n">
        <f aca="false">0.25/(LOG10(Hypothèses!$B$21/(3.7*P69)+5.74/Q69^0.9))^2</f>
        <v>0.0208200144734838</v>
      </c>
      <c r="S69" s="25" t="n">
        <f aca="false">R69/P69*Hypothèses!$B$19*N69^2/2</f>
        <v>0.784351087599738</v>
      </c>
      <c r="T69" s="23" t="n">
        <f aca="false">S69*G69*(1+Hypothèses!$B$22)</f>
        <v>5.87086789068404</v>
      </c>
      <c r="U69" s="5" t="s">
        <v>87</v>
      </c>
      <c r="V69" s="21" t="s">
        <v>88</v>
      </c>
    </row>
    <row r="70" customFormat="false" ht="15" hidden="false" customHeight="false" outlineLevel="0" collapsed="false">
      <c r="A70" s="21" t="s">
        <v>18</v>
      </c>
      <c r="B70" s="21" t="s">
        <v>164</v>
      </c>
      <c r="C70" s="21" t="s">
        <v>90</v>
      </c>
      <c r="D70" s="21" t="s">
        <v>91</v>
      </c>
      <c r="E70" s="21" t="s">
        <v>85</v>
      </c>
      <c r="F70" s="21" t="s">
        <v>92</v>
      </c>
      <c r="G70" s="22" t="n">
        <v>1.45</v>
      </c>
      <c r="H70" s="6" t="n">
        <v>1170</v>
      </c>
      <c r="I70" s="23" t="n">
        <f aca="false">INDEX(Hypothèses!$C$6:$C$16,MATCH(H70,Hypothèses!$A$6:$A$16,1))</f>
        <v>4.5</v>
      </c>
      <c r="J70" s="24" t="n">
        <f aca="false">H70/3600/I70</f>
        <v>0.0722222222222222</v>
      </c>
      <c r="K70" s="21" t="n">
        <f aca="false">IF(H70&lt;=2000,Hypothèses!$B$23,IF(H70&lt;=4000,Hypothèses!$B$24,Hypothèses!$B$25))</f>
        <v>250</v>
      </c>
      <c r="L70" s="21" t="n">
        <f aca="false">MAX(Hypothèses!$B$26,CEILING(J70/(K70/1000)*1000,Hypothèses!$B$27))</f>
        <v>300</v>
      </c>
      <c r="M70" s="24" t="n">
        <f aca="false">L70*K70/1000000</f>
        <v>0.075</v>
      </c>
      <c r="N70" s="25" t="n">
        <f aca="false">H70/3600/M70</f>
        <v>4.33333333333333</v>
      </c>
      <c r="O70" s="21" t="str">
        <f aca="false">IF(N70&lt;=I70,"oui","NON")</f>
        <v>oui</v>
      </c>
      <c r="P70" s="24" t="n">
        <f aca="false">1.3*((L70/1000)*(K70/1000))^0.625/((L70/1000)+(K70/1000))^0.25</f>
        <v>0.299065261432546</v>
      </c>
      <c r="Q70" s="26" t="n">
        <f aca="false">N70*P70/Hypothèses!$B$20</f>
        <v>86396.6310805133</v>
      </c>
      <c r="R70" s="27" t="n">
        <f aca="false">0.25/(LOG10(Hypothèses!$B$21/(3.7*P70)+5.74/Q70^0.9))^2</f>
        <v>0.0208200144734838</v>
      </c>
      <c r="S70" s="25" t="n">
        <f aca="false">R70/P70*Hypothèses!$B$19*N70^2/2</f>
        <v>0.784351087599738</v>
      </c>
      <c r="T70" s="23" t="n">
        <f aca="false">S70*G70*(1+Hypothèses!$B$22)</f>
        <v>1.70596361552943</v>
      </c>
      <c r="U70" s="5" t="s">
        <v>87</v>
      </c>
      <c r="V70" s="21" t="s">
        <v>88</v>
      </c>
    </row>
    <row r="71" customFormat="false" ht="15" hidden="false" customHeight="false" outlineLevel="0" collapsed="false">
      <c r="A71" s="21" t="s">
        <v>18</v>
      </c>
      <c r="B71" s="21" t="s">
        <v>165</v>
      </c>
      <c r="C71" s="21" t="s">
        <v>90</v>
      </c>
      <c r="D71" s="21" t="s">
        <v>97</v>
      </c>
      <c r="E71" s="21" t="s">
        <v>85</v>
      </c>
      <c r="F71" s="21" t="s">
        <v>98</v>
      </c>
      <c r="G71" s="22" t="n">
        <v>1.96</v>
      </c>
      <c r="H71" s="6" t="n">
        <v>180</v>
      </c>
      <c r="I71" s="23" t="n">
        <f aca="false">INDEX(Hypothèses!$C$6:$C$16,MATCH(H71,Hypothèses!$A$6:$A$16,1))</f>
        <v>3</v>
      </c>
      <c r="J71" s="24" t="n">
        <f aca="false">H71/3600/I71</f>
        <v>0.0166666666666667</v>
      </c>
      <c r="K71" s="21" t="n">
        <f aca="false">IF(H71&lt;=2000,Hypothèses!$B$23,IF(H71&lt;=4000,Hypothèses!$B$24,Hypothèses!$B$25))</f>
        <v>250</v>
      </c>
      <c r="L71" s="21" t="n">
        <f aca="false">MAX(Hypothèses!$B$26,CEILING(J71/(K71/1000)*1000,Hypothèses!$B$27))</f>
        <v>200</v>
      </c>
      <c r="M71" s="24" t="n">
        <f aca="false">L71*K71/1000000</f>
        <v>0.05</v>
      </c>
      <c r="N71" s="25" t="n">
        <f aca="false">H71/3600/M71</f>
        <v>1</v>
      </c>
      <c r="O71" s="21" t="str">
        <f aca="false">IF(N71&lt;=I71,"oui","NON")</f>
        <v>oui</v>
      </c>
      <c r="P71" s="24" t="n">
        <f aca="false">1.3*((L71/1000)*(K71/1000))^0.625/((L71/1000)+(K71/1000))^0.25</f>
        <v>0.244059926740309</v>
      </c>
      <c r="Q71" s="26" t="n">
        <f aca="false">N71*P71/Hypothèses!$B$20</f>
        <v>16270.6617826873</v>
      </c>
      <c r="R71" s="27" t="n">
        <f aca="false">0.25/(LOG10(Hypothèses!$B$21/(3.7*P71)+5.74/Q71^0.9))^2</f>
        <v>0.0285334679281754</v>
      </c>
      <c r="S71" s="25" t="n">
        <f aca="false">R71/P71*Hypothèses!$B$19*N71^2/2</f>
        <v>0.0701470371869846</v>
      </c>
      <c r="T71" s="23" t="n">
        <f aca="false">S71*G71*(1+Hypothèses!$B$22)</f>
        <v>0.206232289329735</v>
      </c>
      <c r="U71" s="5"/>
      <c r="V71" s="21" t="str">
        <f aca="false">IF(K71&lt;=Hypothèses!$B$28-100,"oui","NON")</f>
        <v>oui</v>
      </c>
    </row>
    <row r="72" customFormat="false" ht="15" hidden="false" customHeight="false" outlineLevel="0" collapsed="false">
      <c r="A72" s="21" t="s">
        <v>18</v>
      </c>
      <c r="B72" s="21" t="s">
        <v>166</v>
      </c>
      <c r="C72" s="21" t="s">
        <v>90</v>
      </c>
      <c r="D72" s="21" t="s">
        <v>97</v>
      </c>
      <c r="E72" s="21" t="s">
        <v>85</v>
      </c>
      <c r="F72" s="21" t="s">
        <v>98</v>
      </c>
      <c r="G72" s="22" t="n">
        <v>4.27</v>
      </c>
      <c r="H72" s="6" t="n">
        <v>90</v>
      </c>
      <c r="I72" s="23" t="n">
        <f aca="false">INDEX(Hypothèses!$C$6:$C$16,MATCH(H72,Hypothèses!$A$6:$A$16,1))</f>
        <v>3</v>
      </c>
      <c r="J72" s="24" t="n">
        <f aca="false">H72/3600/I72</f>
        <v>0.00833333333333333</v>
      </c>
      <c r="K72" s="21" t="n">
        <f aca="false">IF(H72&lt;=2000,Hypothèses!$B$23,IF(H72&lt;=4000,Hypothèses!$B$24,Hypothèses!$B$25))</f>
        <v>250</v>
      </c>
      <c r="L72" s="21" t="n">
        <f aca="false">MAX(Hypothèses!$B$26,CEILING(J72/(K72/1000)*1000,Hypothèses!$B$27))</f>
        <v>200</v>
      </c>
      <c r="M72" s="24" t="n">
        <f aca="false">L72*K72/1000000</f>
        <v>0.05</v>
      </c>
      <c r="N72" s="25" t="n">
        <f aca="false">H72/3600/M72</f>
        <v>0.5</v>
      </c>
      <c r="O72" s="21" t="str">
        <f aca="false">IF(N72&lt;=I72,"oui","NON")</f>
        <v>oui</v>
      </c>
      <c r="P72" s="24" t="n">
        <f aca="false">1.3*((L72/1000)*(K72/1000))^0.625/((L72/1000)+(K72/1000))^0.25</f>
        <v>0.244059926740309</v>
      </c>
      <c r="Q72" s="26" t="n">
        <f aca="false">N72*P72/Hypothèses!$B$20</f>
        <v>8135.33089134364</v>
      </c>
      <c r="R72" s="27" t="n">
        <f aca="false">0.25/(LOG10(Hypothèses!$B$21/(3.7*P72)+5.74/Q72^0.9))^2</f>
        <v>0.033772654686126</v>
      </c>
      <c r="S72" s="25" t="n">
        <f aca="false">R72/P72*Hypothèses!$B$19*N72^2/2</f>
        <v>0.0207567799867008</v>
      </c>
      <c r="T72" s="23" t="n">
        <f aca="false">S72*G72*(1+Hypothèses!$B$22)</f>
        <v>0.132947175814818</v>
      </c>
      <c r="U72" s="5"/>
      <c r="V72" s="21" t="str">
        <f aca="false">IF(K72&lt;=Hypothèses!$B$28-100,"oui","NON")</f>
        <v>oui</v>
      </c>
    </row>
    <row r="73" customFormat="false" ht="15" hidden="false" customHeight="false" outlineLevel="0" collapsed="false">
      <c r="A73" s="21" t="s">
        <v>18</v>
      </c>
      <c r="B73" s="21" t="s">
        <v>167</v>
      </c>
      <c r="C73" s="21" t="s">
        <v>90</v>
      </c>
      <c r="D73" s="21" t="s">
        <v>97</v>
      </c>
      <c r="E73" s="21" t="s">
        <v>85</v>
      </c>
      <c r="F73" s="21" t="s">
        <v>98</v>
      </c>
      <c r="G73" s="22" t="n">
        <v>0.95</v>
      </c>
      <c r="H73" s="6" t="n">
        <v>990</v>
      </c>
      <c r="I73" s="23" t="n">
        <f aca="false">INDEX(Hypothèses!$C$6:$C$16,MATCH(H73,Hypothèses!$A$6:$A$16,1))</f>
        <v>4.5</v>
      </c>
      <c r="J73" s="24" t="n">
        <f aca="false">H73/3600/I73</f>
        <v>0.0611111111111111</v>
      </c>
      <c r="K73" s="21" t="n">
        <f aca="false">IF(H73&lt;=2000,Hypothèses!$B$23,IF(H73&lt;=4000,Hypothèses!$B$24,Hypothèses!$B$25))</f>
        <v>250</v>
      </c>
      <c r="L73" s="21" t="n">
        <f aca="false">MAX(Hypothèses!$B$26,CEILING(J73/(K73/1000)*1000,Hypothèses!$B$27))</f>
        <v>250</v>
      </c>
      <c r="M73" s="24" t="n">
        <f aca="false">L73*K73/1000000</f>
        <v>0.0625</v>
      </c>
      <c r="N73" s="25" t="n">
        <f aca="false">H73/3600/M73</f>
        <v>4.4</v>
      </c>
      <c r="O73" s="21" t="str">
        <f aca="false">IF(N73&lt;=I73,"oui","NON")</f>
        <v>oui</v>
      </c>
      <c r="P73" s="24" t="n">
        <f aca="false">1.3*((L73/1000)*(K73/1000))^0.625/((L73/1000)+(K73/1000))^0.25</f>
        <v>0.273291334957457</v>
      </c>
      <c r="Q73" s="26" t="n">
        <f aca="false">N73*P73/Hypothèses!$B$20</f>
        <v>80165.4582541875</v>
      </c>
      <c r="R73" s="27" t="n">
        <f aca="false">0.25/(LOG10(Hypothèses!$B$21/(3.7*P73)+5.74/Q73^0.9))^2</f>
        <v>0.0212247153073596</v>
      </c>
      <c r="S73" s="25" t="n">
        <f aca="false">R73/P73*Hypothèses!$B$19*N73^2/2</f>
        <v>0.902137248693483</v>
      </c>
      <c r="T73" s="23" t="n">
        <f aca="false">S73*G73*(1+Hypothèses!$B$22)</f>
        <v>1.28554557938821</v>
      </c>
      <c r="U73" s="5" t="s">
        <v>87</v>
      </c>
      <c r="V73" s="21" t="str">
        <f aca="false">IF(K73&lt;=Hypothèses!$B$28-100,"oui","NON")</f>
        <v>oui</v>
      </c>
    </row>
    <row r="74" customFormat="false" ht="15" hidden="false" customHeight="false" outlineLevel="0" collapsed="false">
      <c r="A74" s="21" t="s">
        <v>18</v>
      </c>
      <c r="B74" s="21" t="s">
        <v>168</v>
      </c>
      <c r="C74" s="21" t="s">
        <v>90</v>
      </c>
      <c r="D74" s="21" t="s">
        <v>97</v>
      </c>
      <c r="E74" s="21" t="s">
        <v>85</v>
      </c>
      <c r="F74" s="21" t="s">
        <v>98</v>
      </c>
      <c r="G74" s="22" t="n">
        <v>0.77</v>
      </c>
      <c r="H74" s="6" t="n">
        <v>900</v>
      </c>
      <c r="I74" s="23" t="n">
        <f aca="false">INDEX(Hypothèses!$C$6:$C$16,MATCH(H74,Hypothèses!$A$6:$A$16,1))</f>
        <v>4.5</v>
      </c>
      <c r="J74" s="24" t="n">
        <f aca="false">H74/3600/I74</f>
        <v>0.0555555555555556</v>
      </c>
      <c r="K74" s="21" t="n">
        <f aca="false">IF(H74&lt;=2000,Hypothèses!$B$23,IF(H74&lt;=4000,Hypothèses!$B$24,Hypothèses!$B$25))</f>
        <v>250</v>
      </c>
      <c r="L74" s="21" t="n">
        <f aca="false">MAX(Hypothèses!$B$26,CEILING(J74/(K74/1000)*1000,Hypothèses!$B$27))</f>
        <v>250</v>
      </c>
      <c r="M74" s="24" t="n">
        <f aca="false">L74*K74/1000000</f>
        <v>0.0625</v>
      </c>
      <c r="N74" s="25" t="n">
        <f aca="false">H74/3600/M74</f>
        <v>4</v>
      </c>
      <c r="O74" s="21" t="str">
        <f aca="false">IF(N74&lt;=I74,"oui","NON")</f>
        <v>oui</v>
      </c>
      <c r="P74" s="24" t="n">
        <f aca="false">1.3*((L74/1000)*(K74/1000))^0.625/((L74/1000)+(K74/1000))^0.25</f>
        <v>0.273291334957457</v>
      </c>
      <c r="Q74" s="26" t="n">
        <f aca="false">N74*P74/Hypothèses!$B$20</f>
        <v>72877.6893219886</v>
      </c>
      <c r="R74" s="27" t="n">
        <f aca="false">0.25/(LOG10(Hypothèses!$B$21/(3.7*P74)+5.74/Q74^0.9))^2</f>
        <v>0.0215081903576626</v>
      </c>
      <c r="S74" s="25" t="n">
        <f aca="false">R74/P74*Hypothèses!$B$19*N74^2/2</f>
        <v>0.755525701046112</v>
      </c>
      <c r="T74" s="23" t="n">
        <f aca="false">S74*G74*(1+Hypothèses!$B$22)</f>
        <v>0.872632184708259</v>
      </c>
      <c r="U74" s="5" t="s">
        <v>87</v>
      </c>
      <c r="V74" s="21" t="str">
        <f aca="false">IF(K74&lt;=Hypothèses!$B$28-100,"oui","NON")</f>
        <v>oui</v>
      </c>
    </row>
    <row r="75" customFormat="false" ht="15" hidden="false" customHeight="false" outlineLevel="0" collapsed="false">
      <c r="A75" s="21" t="s">
        <v>18</v>
      </c>
      <c r="B75" s="21" t="s">
        <v>169</v>
      </c>
      <c r="C75" s="21" t="s">
        <v>90</v>
      </c>
      <c r="D75" s="21" t="s">
        <v>97</v>
      </c>
      <c r="E75" s="21" t="s">
        <v>85</v>
      </c>
      <c r="F75" s="21" t="s">
        <v>98</v>
      </c>
      <c r="G75" s="22" t="n">
        <v>3.01</v>
      </c>
      <c r="H75" s="6" t="n">
        <v>810</v>
      </c>
      <c r="I75" s="23" t="n">
        <f aca="false">INDEX(Hypothèses!$C$6:$C$16,MATCH(H75,Hypothèses!$A$6:$A$16,1))</f>
        <v>4.5</v>
      </c>
      <c r="J75" s="24" t="n">
        <f aca="false">H75/3600/I75</f>
        <v>0.05</v>
      </c>
      <c r="K75" s="21" t="n">
        <f aca="false">IF(H75&lt;=2000,Hypothèses!$B$23,IF(H75&lt;=4000,Hypothèses!$B$24,Hypothèses!$B$25))</f>
        <v>250</v>
      </c>
      <c r="L75" s="21" t="n">
        <f aca="false">MAX(Hypothèses!$B$26,CEILING(J75/(K75/1000)*1000,Hypothèses!$B$27))</f>
        <v>200</v>
      </c>
      <c r="M75" s="24" t="n">
        <f aca="false">L75*K75/1000000</f>
        <v>0.05</v>
      </c>
      <c r="N75" s="25" t="n">
        <f aca="false">H75/3600/M75</f>
        <v>4.5</v>
      </c>
      <c r="O75" s="21" t="str">
        <f aca="false">IF(N75&lt;=I75,"oui","NON")</f>
        <v>oui</v>
      </c>
      <c r="P75" s="24" t="n">
        <f aca="false">1.3*((L75/1000)*(K75/1000))^0.625/((L75/1000)+(K75/1000))^0.25</f>
        <v>0.244059926740309</v>
      </c>
      <c r="Q75" s="26" t="n">
        <f aca="false">N75*P75/Hypothèses!$B$20</f>
        <v>73217.9780220928</v>
      </c>
      <c r="R75" s="27" t="n">
        <f aca="false">0.25/(LOG10(Hypothèses!$B$21/(3.7*P75)+5.74/Q75^0.9))^2</f>
        <v>0.0217407914266501</v>
      </c>
      <c r="S75" s="25" t="n">
        <f aca="false">R75/P75*Hypothèses!$B$19*N75^2/2</f>
        <v>1.08231867214672</v>
      </c>
      <c r="T75" s="23" t="n">
        <f aca="false">S75*G75*(1+Hypothèses!$B$22)</f>
        <v>4.88666880474246</v>
      </c>
      <c r="U75" s="5" t="s">
        <v>87</v>
      </c>
      <c r="V75" s="21" t="str">
        <f aca="false">IF(K75&lt;=Hypothèses!$B$28-100,"oui","NON")</f>
        <v>oui</v>
      </c>
    </row>
    <row r="76" customFormat="false" ht="15" hidden="false" customHeight="false" outlineLevel="0" collapsed="false">
      <c r="A76" s="21" t="s">
        <v>18</v>
      </c>
      <c r="B76" s="21" t="s">
        <v>170</v>
      </c>
      <c r="C76" s="21" t="s">
        <v>90</v>
      </c>
      <c r="D76" s="21" t="s">
        <v>97</v>
      </c>
      <c r="E76" s="21" t="s">
        <v>85</v>
      </c>
      <c r="F76" s="21" t="s">
        <v>98</v>
      </c>
      <c r="G76" s="22" t="n">
        <v>1.11</v>
      </c>
      <c r="H76" s="6" t="n">
        <v>720</v>
      </c>
      <c r="I76" s="23" t="n">
        <f aca="false">INDEX(Hypothèses!$C$6:$C$16,MATCH(H76,Hypothèses!$A$6:$A$16,1))</f>
        <v>4</v>
      </c>
      <c r="J76" s="24" t="n">
        <f aca="false">H76/3600/I76</f>
        <v>0.05</v>
      </c>
      <c r="K76" s="21" t="n">
        <f aca="false">IF(H76&lt;=2000,Hypothèses!$B$23,IF(H76&lt;=4000,Hypothèses!$B$24,Hypothèses!$B$25))</f>
        <v>250</v>
      </c>
      <c r="L76" s="21" t="n">
        <f aca="false">MAX(Hypothèses!$B$26,CEILING(J76/(K76/1000)*1000,Hypothèses!$B$27))</f>
        <v>200</v>
      </c>
      <c r="M76" s="24" t="n">
        <f aca="false">L76*K76/1000000</f>
        <v>0.05</v>
      </c>
      <c r="N76" s="25" t="n">
        <f aca="false">H76/3600/M76</f>
        <v>4</v>
      </c>
      <c r="O76" s="21" t="str">
        <f aca="false">IF(N76&lt;=I76,"oui","NON")</f>
        <v>oui</v>
      </c>
      <c r="P76" s="24" t="n">
        <f aca="false">1.3*((L76/1000)*(K76/1000))^0.625/((L76/1000)+(K76/1000))^0.25</f>
        <v>0.244059926740309</v>
      </c>
      <c r="Q76" s="26" t="n">
        <f aca="false">N76*P76/Hypothèses!$B$20</f>
        <v>65082.6471307491</v>
      </c>
      <c r="R76" s="27" t="n">
        <f aca="false">0.25/(LOG10(Hypothèses!$B$21/(3.7*P76)+5.74/Q76^0.9))^2</f>
        <v>0.0221017738290741</v>
      </c>
      <c r="S76" s="25" t="n">
        <f aca="false">R76/P76*Hypothèses!$B$19*N76^2/2</f>
        <v>0.869364469591424</v>
      </c>
      <c r="T76" s="23" t="n">
        <f aca="false">S76*G76*(1+Hypothèses!$B$22)</f>
        <v>1.44749184186972</v>
      </c>
      <c r="U76" s="5" t="s">
        <v>87</v>
      </c>
      <c r="V76" s="21" t="str">
        <f aca="false">IF(K76&lt;=Hypothèses!$B$28-100,"oui","NON")</f>
        <v>oui</v>
      </c>
    </row>
    <row r="77" customFormat="false" ht="15" hidden="false" customHeight="false" outlineLevel="0" collapsed="false">
      <c r="A77" s="21" t="s">
        <v>18</v>
      </c>
      <c r="B77" s="21" t="s">
        <v>171</v>
      </c>
      <c r="C77" s="21" t="s">
        <v>90</v>
      </c>
      <c r="D77" s="21" t="s">
        <v>97</v>
      </c>
      <c r="E77" s="21" t="s">
        <v>85</v>
      </c>
      <c r="F77" s="21" t="s">
        <v>98</v>
      </c>
      <c r="G77" s="22" t="n">
        <v>3.19</v>
      </c>
      <c r="H77" s="6" t="n">
        <v>630</v>
      </c>
      <c r="I77" s="23" t="n">
        <f aca="false">INDEX(Hypothèses!$C$6:$C$16,MATCH(H77,Hypothèses!$A$6:$A$16,1))</f>
        <v>4</v>
      </c>
      <c r="J77" s="24" t="n">
        <f aca="false">H77/3600/I77</f>
        <v>0.04375</v>
      </c>
      <c r="K77" s="21" t="n">
        <f aca="false">IF(H77&lt;=2000,Hypothèses!$B$23,IF(H77&lt;=4000,Hypothèses!$B$24,Hypothèses!$B$25))</f>
        <v>250</v>
      </c>
      <c r="L77" s="21" t="n">
        <f aca="false">MAX(Hypothèses!$B$26,CEILING(J77/(K77/1000)*1000,Hypothèses!$B$27))</f>
        <v>200</v>
      </c>
      <c r="M77" s="24" t="n">
        <f aca="false">L77*K77/1000000</f>
        <v>0.05</v>
      </c>
      <c r="N77" s="25" t="n">
        <f aca="false">H77/3600/M77</f>
        <v>3.5</v>
      </c>
      <c r="O77" s="21" t="str">
        <f aca="false">IF(N77&lt;=I77,"oui","NON")</f>
        <v>oui</v>
      </c>
      <c r="P77" s="24" t="n">
        <f aca="false">1.3*((L77/1000)*(K77/1000))^0.625/((L77/1000)+(K77/1000))^0.25</f>
        <v>0.244059926740309</v>
      </c>
      <c r="Q77" s="26" t="n">
        <f aca="false">N77*P77/Hypothèses!$B$20</f>
        <v>56947.3162394055</v>
      </c>
      <c r="R77" s="27" t="n">
        <f aca="false">0.25/(LOG10(Hypothèses!$B$21/(3.7*P77)+5.74/Q77^0.9))^2</f>
        <v>0.0225408508367514</v>
      </c>
      <c r="S77" s="25" t="n">
        <f aca="false">R77/P77*Hypothèses!$B$19*N77^2/2</f>
        <v>0.678830219540338</v>
      </c>
      <c r="T77" s="23" t="n">
        <f aca="false">S77*G77*(1+Hypothèses!$B$22)</f>
        <v>3.24820260050052</v>
      </c>
      <c r="U77" s="5" t="s">
        <v>87</v>
      </c>
      <c r="V77" s="21" t="str">
        <f aca="false">IF(K77&lt;=Hypothèses!$B$28-100,"oui","NON")</f>
        <v>oui</v>
      </c>
    </row>
    <row r="78" customFormat="false" ht="15" hidden="false" customHeight="false" outlineLevel="0" collapsed="false">
      <c r="A78" s="21" t="s">
        <v>18</v>
      </c>
      <c r="B78" s="21" t="s">
        <v>172</v>
      </c>
      <c r="C78" s="21" t="s">
        <v>90</v>
      </c>
      <c r="D78" s="21" t="s">
        <v>97</v>
      </c>
      <c r="E78" s="21" t="s">
        <v>85</v>
      </c>
      <c r="F78" s="21" t="s">
        <v>98</v>
      </c>
      <c r="G78" s="22" t="n">
        <v>0.72</v>
      </c>
      <c r="H78" s="6" t="n">
        <v>540</v>
      </c>
      <c r="I78" s="23" t="n">
        <f aca="false">INDEX(Hypothèses!$C$6:$C$16,MATCH(H78,Hypothèses!$A$6:$A$16,1))</f>
        <v>3.5</v>
      </c>
      <c r="J78" s="24" t="n">
        <f aca="false">H78/3600/I78</f>
        <v>0.0428571428571429</v>
      </c>
      <c r="K78" s="21" t="n">
        <f aca="false">IF(H78&lt;=2000,Hypothèses!$B$23,IF(H78&lt;=4000,Hypothèses!$B$24,Hypothèses!$B$25))</f>
        <v>250</v>
      </c>
      <c r="L78" s="21" t="n">
        <f aca="false">MAX(Hypothèses!$B$26,CEILING(J78/(K78/1000)*1000,Hypothèses!$B$27))</f>
        <v>200</v>
      </c>
      <c r="M78" s="24" t="n">
        <f aca="false">L78*K78/1000000</f>
        <v>0.05</v>
      </c>
      <c r="N78" s="25" t="n">
        <f aca="false">H78/3600/M78</f>
        <v>3</v>
      </c>
      <c r="O78" s="21" t="str">
        <f aca="false">IF(N78&lt;=I78,"oui","NON")</f>
        <v>oui</v>
      </c>
      <c r="P78" s="24" t="n">
        <f aca="false">1.3*((L78/1000)*(K78/1000))^0.625/((L78/1000)+(K78/1000))^0.25</f>
        <v>0.244059926740309</v>
      </c>
      <c r="Q78" s="26" t="n">
        <f aca="false">N78*P78/Hypothèses!$B$20</f>
        <v>48811.9853480618</v>
      </c>
      <c r="R78" s="27" t="n">
        <f aca="false">0.25/(LOG10(Hypothèses!$B$21/(3.7*P78)+5.74/Q78^0.9))^2</f>
        <v>0.0230891942725925</v>
      </c>
      <c r="S78" s="25" t="n">
        <f aca="false">R78/P78*Hypothèses!$B$19*N78^2/2</f>
        <v>0.510864895918232</v>
      </c>
      <c r="T78" s="23" t="n">
        <f aca="false">S78*G78*(1+Hypothèses!$B$22)</f>
        <v>0.551734087591691</v>
      </c>
      <c r="U78" s="5" t="s">
        <v>87</v>
      </c>
      <c r="V78" s="21" t="str">
        <f aca="false">IF(K78&lt;=Hypothèses!$B$28-100,"oui","NON")</f>
        <v>oui</v>
      </c>
    </row>
    <row r="79" customFormat="false" ht="15" hidden="false" customHeight="false" outlineLevel="0" collapsed="false">
      <c r="A79" s="21" t="s">
        <v>18</v>
      </c>
      <c r="B79" s="21" t="s">
        <v>173</v>
      </c>
      <c r="C79" s="21" t="s">
        <v>90</v>
      </c>
      <c r="D79" s="21" t="s">
        <v>97</v>
      </c>
      <c r="E79" s="21" t="s">
        <v>85</v>
      </c>
      <c r="F79" s="21" t="s">
        <v>98</v>
      </c>
      <c r="G79" s="22" t="n">
        <v>3.65</v>
      </c>
      <c r="H79" s="6" t="n">
        <v>450</v>
      </c>
      <c r="I79" s="23" t="n">
        <f aca="false">INDEX(Hypothèses!$C$6:$C$16,MATCH(H79,Hypothèses!$A$6:$A$16,1))</f>
        <v>3.5</v>
      </c>
      <c r="J79" s="24" t="n">
        <f aca="false">H79/3600/I79</f>
        <v>0.0357142857142857</v>
      </c>
      <c r="K79" s="21" t="n">
        <f aca="false">IF(H79&lt;=2000,Hypothèses!$B$23,IF(H79&lt;=4000,Hypothèses!$B$24,Hypothèses!$B$25))</f>
        <v>250</v>
      </c>
      <c r="L79" s="21" t="n">
        <f aca="false">MAX(Hypothèses!$B$26,CEILING(J79/(K79/1000)*1000,Hypothèses!$B$27))</f>
        <v>200</v>
      </c>
      <c r="M79" s="24" t="n">
        <f aca="false">L79*K79/1000000</f>
        <v>0.05</v>
      </c>
      <c r="N79" s="25" t="n">
        <f aca="false">H79/3600/M79</f>
        <v>2.5</v>
      </c>
      <c r="O79" s="21" t="str">
        <f aca="false">IF(N79&lt;=I79,"oui","NON")</f>
        <v>oui</v>
      </c>
      <c r="P79" s="24" t="n">
        <f aca="false">1.3*((L79/1000)*(K79/1000))^0.625/((L79/1000)+(K79/1000))^0.25</f>
        <v>0.244059926740309</v>
      </c>
      <c r="Q79" s="26" t="n">
        <f aca="false">N79*P79/Hypothèses!$B$20</f>
        <v>40676.6544567182</v>
      </c>
      <c r="R79" s="27" t="n">
        <f aca="false">0.25/(LOG10(Hypothèses!$B$21/(3.7*P79)+5.74/Q79^0.9))^2</f>
        <v>0.0237985309638672</v>
      </c>
      <c r="S79" s="25" t="n">
        <f aca="false">R79/P79*Hypothèses!$B$19*N79^2/2</f>
        <v>0.365666302971</v>
      </c>
      <c r="T79" s="23" t="n">
        <f aca="false">S79*G79*(1+Hypothèses!$B$22)</f>
        <v>2.00202300876623</v>
      </c>
      <c r="U79" s="5" t="s">
        <v>87</v>
      </c>
      <c r="V79" s="21" t="str">
        <f aca="false">IF(K79&lt;=Hypothèses!$B$28-100,"oui","NON")</f>
        <v>oui</v>
      </c>
    </row>
    <row r="80" customFormat="false" ht="15" hidden="false" customHeight="false" outlineLevel="0" collapsed="false">
      <c r="A80" s="21" t="s">
        <v>18</v>
      </c>
      <c r="B80" s="21" t="s">
        <v>174</v>
      </c>
      <c r="C80" s="21" t="s">
        <v>90</v>
      </c>
      <c r="D80" s="21" t="s">
        <v>97</v>
      </c>
      <c r="E80" s="21" t="s">
        <v>85</v>
      </c>
      <c r="F80" s="21" t="s">
        <v>98</v>
      </c>
      <c r="G80" s="22" t="n">
        <v>0.12</v>
      </c>
      <c r="H80" s="6" t="n">
        <v>360</v>
      </c>
      <c r="I80" s="23" t="n">
        <f aca="false">INDEX(Hypothèses!$C$6:$C$16,MATCH(H80,Hypothèses!$A$6:$A$16,1))</f>
        <v>3.5</v>
      </c>
      <c r="J80" s="24" t="n">
        <f aca="false">H80/3600/I80</f>
        <v>0.0285714285714286</v>
      </c>
      <c r="K80" s="21" t="n">
        <f aca="false">IF(H80&lt;=2000,Hypothèses!$B$23,IF(H80&lt;=4000,Hypothèses!$B$24,Hypothèses!$B$25))</f>
        <v>250</v>
      </c>
      <c r="L80" s="21" t="n">
        <f aca="false">MAX(Hypothèses!$B$26,CEILING(J80/(K80/1000)*1000,Hypothèses!$B$27))</f>
        <v>200</v>
      </c>
      <c r="M80" s="24" t="n">
        <f aca="false">L80*K80/1000000</f>
        <v>0.05</v>
      </c>
      <c r="N80" s="25" t="n">
        <f aca="false">H80/3600/M80</f>
        <v>2</v>
      </c>
      <c r="O80" s="21" t="str">
        <f aca="false">IF(N80&lt;=I80,"oui","NON")</f>
        <v>oui</v>
      </c>
      <c r="P80" s="24" t="n">
        <f aca="false">1.3*((L80/1000)*(K80/1000))^0.625/((L80/1000)+(K80/1000))^0.25</f>
        <v>0.244059926740309</v>
      </c>
      <c r="Q80" s="26" t="n">
        <f aca="false">N80*P80/Hypothèses!$B$20</f>
        <v>32541.3235653746</v>
      </c>
      <c r="R80" s="27" t="n">
        <f aca="false">0.25/(LOG10(Hypothèses!$B$21/(3.7*P80)+5.74/Q80^0.9))^2</f>
        <v>0.02476271558301</v>
      </c>
      <c r="S80" s="25" t="n">
        <f aca="false">R80/P80*Hypothèses!$B$19*N80^2/2</f>
        <v>0.243507888382105</v>
      </c>
      <c r="T80" s="23" t="n">
        <f aca="false">S80*G80*(1+Hypothèses!$B$22)</f>
        <v>0.0438314199087789</v>
      </c>
      <c r="U80" s="5" t="s">
        <v>87</v>
      </c>
      <c r="V80" s="21" t="str">
        <f aca="false">IF(K80&lt;=Hypothèses!$B$28-100,"oui","NON")</f>
        <v>oui</v>
      </c>
    </row>
    <row r="81" customFormat="false" ht="15" hidden="false" customHeight="false" outlineLevel="0" collapsed="false">
      <c r="A81" s="21" t="s">
        <v>18</v>
      </c>
      <c r="B81" s="21" t="s">
        <v>175</v>
      </c>
      <c r="C81" s="21" t="s">
        <v>90</v>
      </c>
      <c r="D81" s="21" t="s">
        <v>97</v>
      </c>
      <c r="E81" s="21" t="s">
        <v>85</v>
      </c>
      <c r="F81" s="21" t="s">
        <v>98</v>
      </c>
      <c r="G81" s="22" t="n">
        <v>3.63</v>
      </c>
      <c r="H81" s="6" t="n">
        <v>270</v>
      </c>
      <c r="I81" s="23" t="n">
        <f aca="false">INDEX(Hypothèses!$C$6:$C$16,MATCH(H81,Hypothèses!$A$6:$A$16,1))</f>
        <v>3</v>
      </c>
      <c r="J81" s="24" t="n">
        <f aca="false">H81/3600/I81</f>
        <v>0.025</v>
      </c>
      <c r="K81" s="21" t="n">
        <f aca="false">IF(H81&lt;=2000,Hypothèses!$B$23,IF(H81&lt;=4000,Hypothèses!$B$24,Hypothèses!$B$25))</f>
        <v>250</v>
      </c>
      <c r="L81" s="21" t="n">
        <f aca="false">MAX(Hypothèses!$B$26,CEILING(J81/(K81/1000)*1000,Hypothèses!$B$27))</f>
        <v>200</v>
      </c>
      <c r="M81" s="24" t="n">
        <f aca="false">L81*K81/1000000</f>
        <v>0.05</v>
      </c>
      <c r="N81" s="25" t="n">
        <f aca="false">H81/3600/M81</f>
        <v>1.5</v>
      </c>
      <c r="O81" s="21" t="str">
        <f aca="false">IF(N81&lt;=I81,"oui","NON")</f>
        <v>oui</v>
      </c>
      <c r="P81" s="24" t="n">
        <f aca="false">1.3*((L81/1000)*(K81/1000))^0.625/((L81/1000)+(K81/1000))^0.25</f>
        <v>0.244059926740309</v>
      </c>
      <c r="Q81" s="26" t="n">
        <f aca="false">N81*P81/Hypothèses!$B$20</f>
        <v>24405.9926740309</v>
      </c>
      <c r="R81" s="27" t="n">
        <f aca="false">0.25/(LOG10(Hypothèses!$B$21/(3.7*P81)+5.74/Q81^0.9))^2</f>
        <v>0.0261757755144053</v>
      </c>
      <c r="S81" s="25" t="n">
        <f aca="false">R81/P81*Hypothèses!$B$19*N81^2/2</f>
        <v>0.144789426992034</v>
      </c>
      <c r="T81" s="23" t="n">
        <f aca="false">S81*G81*(1+Hypothèses!$B$22)</f>
        <v>0.788378429971625</v>
      </c>
      <c r="U81" s="5" t="s">
        <v>87</v>
      </c>
      <c r="V81" s="21" t="str">
        <f aca="false">IF(K81&lt;=Hypothèses!$B$28-100,"oui","NON")</f>
        <v>oui</v>
      </c>
    </row>
    <row r="82" customFormat="false" ht="15" hidden="false" customHeight="false" outlineLevel="0" collapsed="false">
      <c r="A82" s="21" t="s">
        <v>18</v>
      </c>
      <c r="B82" s="21" t="s">
        <v>176</v>
      </c>
      <c r="C82" s="21" t="s">
        <v>90</v>
      </c>
      <c r="D82" s="21" t="s">
        <v>97</v>
      </c>
      <c r="E82" s="21" t="s">
        <v>85</v>
      </c>
      <c r="F82" s="21" t="s">
        <v>98</v>
      </c>
      <c r="G82" s="22" t="n">
        <v>0.78</v>
      </c>
      <c r="H82" s="6" t="n">
        <v>180</v>
      </c>
      <c r="I82" s="23" t="n">
        <f aca="false">INDEX(Hypothèses!$C$6:$C$16,MATCH(H82,Hypothèses!$A$6:$A$16,1))</f>
        <v>3</v>
      </c>
      <c r="J82" s="24" t="n">
        <f aca="false">H82/3600/I82</f>
        <v>0.0166666666666667</v>
      </c>
      <c r="K82" s="21" t="n">
        <f aca="false">IF(H82&lt;=2000,Hypothèses!$B$23,IF(H82&lt;=4000,Hypothèses!$B$24,Hypothèses!$B$25))</f>
        <v>250</v>
      </c>
      <c r="L82" s="21" t="n">
        <f aca="false">MAX(Hypothèses!$B$26,CEILING(J82/(K82/1000)*1000,Hypothèses!$B$27))</f>
        <v>200</v>
      </c>
      <c r="M82" s="24" t="n">
        <f aca="false">L82*K82/1000000</f>
        <v>0.05</v>
      </c>
      <c r="N82" s="25" t="n">
        <f aca="false">H82/3600/M82</f>
        <v>1</v>
      </c>
      <c r="O82" s="21" t="str">
        <f aca="false">IF(N82&lt;=I82,"oui","NON")</f>
        <v>oui</v>
      </c>
      <c r="P82" s="24" t="n">
        <f aca="false">1.3*((L82/1000)*(K82/1000))^0.625/((L82/1000)+(K82/1000))^0.25</f>
        <v>0.244059926740309</v>
      </c>
      <c r="Q82" s="26" t="n">
        <f aca="false">N82*P82/Hypothèses!$B$20</f>
        <v>16270.6617826873</v>
      </c>
      <c r="R82" s="27" t="n">
        <f aca="false">0.25/(LOG10(Hypothèses!$B$21/(3.7*P82)+5.74/Q82^0.9))^2</f>
        <v>0.0285334679281754</v>
      </c>
      <c r="S82" s="25" t="n">
        <f aca="false">R82/P82*Hypothèses!$B$19*N82^2/2</f>
        <v>0.0701470371869846</v>
      </c>
      <c r="T82" s="23" t="n">
        <f aca="false">S82*G82*(1+Hypothèses!$B$22)</f>
        <v>0.082072033508772</v>
      </c>
      <c r="U82" s="5" t="s">
        <v>87</v>
      </c>
      <c r="V82" s="21" t="str">
        <f aca="false">IF(K82&lt;=Hypothèses!$B$28-100,"oui","NON")</f>
        <v>oui</v>
      </c>
    </row>
    <row r="83" customFormat="false" ht="15" hidden="false" customHeight="false" outlineLevel="0" collapsed="false">
      <c r="A83" s="21" t="s">
        <v>18</v>
      </c>
      <c r="B83" s="21" t="s">
        <v>177</v>
      </c>
      <c r="C83" s="21" t="s">
        <v>90</v>
      </c>
      <c r="D83" s="21" t="s">
        <v>97</v>
      </c>
      <c r="E83" s="21" t="s">
        <v>85</v>
      </c>
      <c r="F83" s="21" t="s">
        <v>98</v>
      </c>
      <c r="G83" s="22" t="n">
        <v>3.58</v>
      </c>
      <c r="H83" s="6" t="n">
        <v>90</v>
      </c>
      <c r="I83" s="23" t="n">
        <f aca="false">INDEX(Hypothèses!$C$6:$C$16,MATCH(H83,Hypothèses!$A$6:$A$16,1))</f>
        <v>3</v>
      </c>
      <c r="J83" s="24" t="n">
        <f aca="false">H83/3600/I83</f>
        <v>0.00833333333333333</v>
      </c>
      <c r="K83" s="21" t="n">
        <f aca="false">IF(H83&lt;=2000,Hypothèses!$B$23,IF(H83&lt;=4000,Hypothèses!$B$24,Hypothèses!$B$25))</f>
        <v>250</v>
      </c>
      <c r="L83" s="21" t="n">
        <f aca="false">MAX(Hypothèses!$B$26,CEILING(J83/(K83/1000)*1000,Hypothèses!$B$27))</f>
        <v>200</v>
      </c>
      <c r="M83" s="24" t="n">
        <f aca="false">L83*K83/1000000</f>
        <v>0.05</v>
      </c>
      <c r="N83" s="25" t="n">
        <f aca="false">H83/3600/M83</f>
        <v>0.5</v>
      </c>
      <c r="O83" s="21" t="str">
        <f aca="false">IF(N83&lt;=I83,"oui","NON")</f>
        <v>oui</v>
      </c>
      <c r="P83" s="24" t="n">
        <f aca="false">1.3*((L83/1000)*(K83/1000))^0.625/((L83/1000)+(K83/1000))^0.25</f>
        <v>0.244059926740309</v>
      </c>
      <c r="Q83" s="26" t="n">
        <f aca="false">N83*P83/Hypothèses!$B$20</f>
        <v>8135.33089134364</v>
      </c>
      <c r="R83" s="27" t="n">
        <f aca="false">0.25/(LOG10(Hypothèses!$B$21/(3.7*P83)+5.74/Q83^0.9))^2</f>
        <v>0.033772654686126</v>
      </c>
      <c r="S83" s="25" t="n">
        <f aca="false">R83/P83*Hypothèses!$B$19*N83^2/2</f>
        <v>0.0207567799867008</v>
      </c>
      <c r="T83" s="23" t="n">
        <f aca="false">S83*G83*(1+Hypothèses!$B$22)</f>
        <v>0.111463908528583</v>
      </c>
      <c r="U83" s="5" t="s">
        <v>87</v>
      </c>
      <c r="V83" s="21" t="str">
        <f aca="false">IF(K83&lt;=Hypothèses!$B$28-100,"oui","NON")</f>
        <v>oui</v>
      </c>
    </row>
    <row r="84" customFormat="false" ht="15" hidden="false" customHeight="false" outlineLevel="0" collapsed="false">
      <c r="A84" s="21" t="s">
        <v>20</v>
      </c>
      <c r="B84" s="21" t="s">
        <v>178</v>
      </c>
      <c r="C84" s="21" t="s">
        <v>83</v>
      </c>
      <c r="D84" s="21" t="s">
        <v>84</v>
      </c>
      <c r="E84" s="21" t="s">
        <v>85</v>
      </c>
      <c r="F84" s="21" t="s">
        <v>86</v>
      </c>
      <c r="G84" s="22" t="n">
        <v>1.88</v>
      </c>
      <c r="H84" s="6" t="n">
        <v>1170</v>
      </c>
      <c r="I84" s="23" t="n">
        <f aca="false">INDEX(Hypothèses!$C$6:$C$16,MATCH(H84,Hypothèses!$A$6:$A$16,1))</f>
        <v>4.5</v>
      </c>
      <c r="J84" s="24" t="n">
        <f aca="false">H84/3600/I84</f>
        <v>0.0722222222222222</v>
      </c>
      <c r="K84" s="21" t="n">
        <f aca="false">IF(H84&lt;=2000,Hypothèses!$B$23,IF(H84&lt;=4000,Hypothèses!$B$24,Hypothèses!$B$25))</f>
        <v>250</v>
      </c>
      <c r="L84" s="21" t="n">
        <f aca="false">MAX(Hypothèses!$B$26,CEILING(J84/(K84/1000)*1000,Hypothèses!$B$27))</f>
        <v>300</v>
      </c>
      <c r="M84" s="24" t="n">
        <f aca="false">L84*K84/1000000</f>
        <v>0.075</v>
      </c>
      <c r="N84" s="25" t="n">
        <f aca="false">H84/3600/M84</f>
        <v>4.33333333333333</v>
      </c>
      <c r="O84" s="21" t="str">
        <f aca="false">IF(N84&lt;=I84,"oui","NON")</f>
        <v>oui</v>
      </c>
      <c r="P84" s="24" t="n">
        <f aca="false">1.3*((L84/1000)*(K84/1000))^0.625/((L84/1000)+(K84/1000))^0.25</f>
        <v>0.299065261432546</v>
      </c>
      <c r="Q84" s="26" t="n">
        <f aca="false">N84*P84/Hypothèses!$B$20</f>
        <v>86396.6310805133</v>
      </c>
      <c r="R84" s="27" t="n">
        <f aca="false">0.25/(LOG10(Hypothèses!$B$21/(3.7*P84)+5.74/Q84^0.9))^2</f>
        <v>0.0208200144734838</v>
      </c>
      <c r="S84" s="25" t="n">
        <f aca="false">R84/P84*Hypothèses!$B$19*N84^2/2</f>
        <v>0.784351087599738</v>
      </c>
      <c r="T84" s="23" t="n">
        <f aca="false">S84*G84*(1+Hypothèses!$B$22)</f>
        <v>2.21187006703126</v>
      </c>
      <c r="U84" s="5" t="s">
        <v>87</v>
      </c>
      <c r="V84" s="21" t="s">
        <v>88</v>
      </c>
    </row>
    <row r="85" customFormat="false" ht="15" hidden="false" customHeight="false" outlineLevel="0" collapsed="false">
      <c r="A85" s="21" t="s">
        <v>20</v>
      </c>
      <c r="B85" s="21" t="s">
        <v>179</v>
      </c>
      <c r="C85" s="21" t="s">
        <v>90</v>
      </c>
      <c r="D85" s="21" t="s">
        <v>91</v>
      </c>
      <c r="E85" s="21" t="s">
        <v>85</v>
      </c>
      <c r="F85" s="21" t="s">
        <v>92</v>
      </c>
      <c r="G85" s="22" t="n">
        <v>1.45</v>
      </c>
      <c r="H85" s="6" t="n">
        <v>1170</v>
      </c>
      <c r="I85" s="23" t="n">
        <f aca="false">INDEX(Hypothèses!$C$6:$C$16,MATCH(H85,Hypothèses!$A$6:$A$16,1))</f>
        <v>4.5</v>
      </c>
      <c r="J85" s="24" t="n">
        <f aca="false">H85/3600/I85</f>
        <v>0.0722222222222222</v>
      </c>
      <c r="K85" s="21" t="n">
        <f aca="false">IF(H85&lt;=2000,Hypothèses!$B$23,IF(H85&lt;=4000,Hypothèses!$B$24,Hypothèses!$B$25))</f>
        <v>250</v>
      </c>
      <c r="L85" s="21" t="n">
        <f aca="false">MAX(Hypothèses!$B$26,CEILING(J85/(K85/1000)*1000,Hypothèses!$B$27))</f>
        <v>300</v>
      </c>
      <c r="M85" s="24" t="n">
        <f aca="false">L85*K85/1000000</f>
        <v>0.075</v>
      </c>
      <c r="N85" s="25" t="n">
        <f aca="false">H85/3600/M85</f>
        <v>4.33333333333333</v>
      </c>
      <c r="O85" s="21" t="str">
        <f aca="false">IF(N85&lt;=I85,"oui","NON")</f>
        <v>oui</v>
      </c>
      <c r="P85" s="24" t="n">
        <f aca="false">1.3*((L85/1000)*(K85/1000))^0.625/((L85/1000)+(K85/1000))^0.25</f>
        <v>0.299065261432546</v>
      </c>
      <c r="Q85" s="26" t="n">
        <f aca="false">N85*P85/Hypothèses!$B$20</f>
        <v>86396.6310805133</v>
      </c>
      <c r="R85" s="27" t="n">
        <f aca="false">0.25/(LOG10(Hypothèses!$B$21/(3.7*P85)+5.74/Q85^0.9))^2</f>
        <v>0.0208200144734838</v>
      </c>
      <c r="S85" s="25" t="n">
        <f aca="false">R85/P85*Hypothèses!$B$19*N85^2/2</f>
        <v>0.784351087599738</v>
      </c>
      <c r="T85" s="23" t="n">
        <f aca="false">S85*G85*(1+Hypothèses!$B$22)</f>
        <v>1.70596361552943</v>
      </c>
      <c r="U85" s="5" t="s">
        <v>87</v>
      </c>
      <c r="V85" s="21" t="s">
        <v>88</v>
      </c>
    </row>
    <row r="86" customFormat="false" ht="15" hidden="false" customHeight="false" outlineLevel="0" collapsed="false">
      <c r="A86" s="21" t="s">
        <v>20</v>
      </c>
      <c r="B86" s="21" t="s">
        <v>180</v>
      </c>
      <c r="C86" s="21" t="s">
        <v>90</v>
      </c>
      <c r="D86" s="21" t="s">
        <v>97</v>
      </c>
      <c r="E86" s="21" t="s">
        <v>85</v>
      </c>
      <c r="F86" s="21" t="s">
        <v>98</v>
      </c>
      <c r="G86" s="22" t="n">
        <v>2.49</v>
      </c>
      <c r="H86" s="6" t="n">
        <v>1080</v>
      </c>
      <c r="I86" s="23" t="n">
        <f aca="false">INDEX(Hypothèses!$C$6:$C$16,MATCH(H86,Hypothèses!$A$6:$A$16,1))</f>
        <v>4.5</v>
      </c>
      <c r="J86" s="24" t="n">
        <f aca="false">H86/3600/I86</f>
        <v>0.0666666666666667</v>
      </c>
      <c r="K86" s="21" t="n">
        <f aca="false">IF(H86&lt;=2000,Hypothèses!$B$23,IF(H86&lt;=4000,Hypothèses!$B$24,Hypothèses!$B$25))</f>
        <v>250</v>
      </c>
      <c r="L86" s="21" t="n">
        <f aca="false">MAX(Hypothèses!$B$26,CEILING(J86/(K86/1000)*1000,Hypothèses!$B$27))</f>
        <v>300</v>
      </c>
      <c r="M86" s="24" t="n">
        <f aca="false">L86*K86/1000000</f>
        <v>0.075</v>
      </c>
      <c r="N86" s="25" t="n">
        <f aca="false">H86/3600/M86</f>
        <v>4</v>
      </c>
      <c r="O86" s="21" t="str">
        <f aca="false">IF(N86&lt;=I86,"oui","NON")</f>
        <v>oui</v>
      </c>
      <c r="P86" s="24" t="n">
        <f aca="false">1.3*((L86/1000)*(K86/1000))^0.625/((L86/1000)+(K86/1000))^0.25</f>
        <v>0.299065261432546</v>
      </c>
      <c r="Q86" s="26" t="n">
        <f aca="false">N86*P86/Hypothèses!$B$20</f>
        <v>79750.7363820123</v>
      </c>
      <c r="R86" s="27" t="n">
        <f aca="false">0.25/(LOG10(Hypothèses!$B$21/(3.7*P86)+5.74/Q86^0.9))^2</f>
        <v>0.0210523603049695</v>
      </c>
      <c r="S86" s="25" t="n">
        <f aca="false">R86/P86*Hypothèses!$B$19*N86^2/2</f>
        <v>0.67578112536247</v>
      </c>
      <c r="T86" s="23" t="n">
        <f aca="false">S86*G86*(1+Hypothèses!$B$22)</f>
        <v>2.52404250322882</v>
      </c>
      <c r="U86" s="5" t="s">
        <v>87</v>
      </c>
      <c r="V86" s="21" t="str">
        <f aca="false">IF(K86&lt;=Hypothèses!$B$28-100,"oui","NON")</f>
        <v>oui</v>
      </c>
    </row>
    <row r="87" customFormat="false" ht="15" hidden="false" customHeight="false" outlineLevel="0" collapsed="false">
      <c r="A87" s="21" t="s">
        <v>20</v>
      </c>
      <c r="B87" s="21" t="s">
        <v>181</v>
      </c>
      <c r="C87" s="21" t="s">
        <v>90</v>
      </c>
      <c r="D87" s="21" t="s">
        <v>97</v>
      </c>
      <c r="E87" s="21" t="s">
        <v>85</v>
      </c>
      <c r="F87" s="21" t="s">
        <v>98</v>
      </c>
      <c r="G87" s="22" t="n">
        <v>3.73</v>
      </c>
      <c r="H87" s="6" t="n">
        <v>990</v>
      </c>
      <c r="I87" s="23" t="n">
        <f aca="false">INDEX(Hypothèses!$C$6:$C$16,MATCH(H87,Hypothèses!$A$6:$A$16,1))</f>
        <v>4.5</v>
      </c>
      <c r="J87" s="24" t="n">
        <f aca="false">H87/3600/I87</f>
        <v>0.0611111111111111</v>
      </c>
      <c r="K87" s="21" t="n">
        <f aca="false">IF(H87&lt;=2000,Hypothèses!$B$23,IF(H87&lt;=4000,Hypothèses!$B$24,Hypothèses!$B$25))</f>
        <v>250</v>
      </c>
      <c r="L87" s="21" t="n">
        <f aca="false">MAX(Hypothèses!$B$26,CEILING(J87/(K87/1000)*1000,Hypothèses!$B$27))</f>
        <v>250</v>
      </c>
      <c r="M87" s="24" t="n">
        <f aca="false">L87*K87/1000000</f>
        <v>0.0625</v>
      </c>
      <c r="N87" s="25" t="n">
        <f aca="false">H87/3600/M87</f>
        <v>4.4</v>
      </c>
      <c r="O87" s="21" t="str">
        <f aca="false">IF(N87&lt;=I87,"oui","NON")</f>
        <v>oui</v>
      </c>
      <c r="P87" s="24" t="n">
        <f aca="false">1.3*((L87/1000)*(K87/1000))^0.625/((L87/1000)+(K87/1000))^0.25</f>
        <v>0.273291334957457</v>
      </c>
      <c r="Q87" s="26" t="n">
        <f aca="false">N87*P87/Hypothèses!$B$20</f>
        <v>80165.4582541875</v>
      </c>
      <c r="R87" s="27" t="n">
        <f aca="false">0.25/(LOG10(Hypothèses!$B$21/(3.7*P87)+5.74/Q87^0.9))^2</f>
        <v>0.0212247153073596</v>
      </c>
      <c r="S87" s="25" t="n">
        <f aca="false">R87/P87*Hypothèses!$B$19*N87^2/2</f>
        <v>0.902137248693483</v>
      </c>
      <c r="T87" s="23" t="n">
        <f aca="false">S87*G87*(1+Hypothèses!$B$22)</f>
        <v>5.04745790644004</v>
      </c>
      <c r="U87" s="5" t="s">
        <v>87</v>
      </c>
      <c r="V87" s="21" t="str">
        <f aca="false">IF(K87&lt;=Hypothèses!$B$28-100,"oui","NON")</f>
        <v>oui</v>
      </c>
    </row>
    <row r="88" customFormat="false" ht="15" hidden="false" customHeight="false" outlineLevel="0" collapsed="false">
      <c r="A88" s="21" t="s">
        <v>20</v>
      </c>
      <c r="B88" s="21" t="s">
        <v>182</v>
      </c>
      <c r="C88" s="21" t="s">
        <v>90</v>
      </c>
      <c r="D88" s="21" t="s">
        <v>97</v>
      </c>
      <c r="E88" s="21" t="s">
        <v>85</v>
      </c>
      <c r="F88" s="21"/>
      <c r="G88" s="22" t="n">
        <v>0.86</v>
      </c>
      <c r="H88" s="6" t="n">
        <v>900</v>
      </c>
      <c r="I88" s="23" t="n">
        <f aca="false">INDEX(Hypothèses!$C$6:$C$16,MATCH(H88,Hypothèses!$A$6:$A$16,1))</f>
        <v>4.5</v>
      </c>
      <c r="J88" s="24" t="n">
        <f aca="false">H88/3600/I88</f>
        <v>0.0555555555555556</v>
      </c>
      <c r="K88" s="21" t="n">
        <f aca="false">IF(H88&lt;=2000,Hypothèses!$B$23,IF(H88&lt;=4000,Hypothèses!$B$24,Hypothèses!$B$25))</f>
        <v>250</v>
      </c>
      <c r="L88" s="21" t="n">
        <f aca="false">MAX(Hypothèses!$B$26,CEILING(J88/(K88/1000)*1000,Hypothèses!$B$27))</f>
        <v>250</v>
      </c>
      <c r="M88" s="24" t="n">
        <f aca="false">L88*K88/1000000</f>
        <v>0.0625</v>
      </c>
      <c r="N88" s="25" t="n">
        <f aca="false">H88/3600/M88</f>
        <v>4</v>
      </c>
      <c r="O88" s="21" t="str">
        <f aca="false">IF(N88&lt;=I88,"oui","NON")</f>
        <v>oui</v>
      </c>
      <c r="P88" s="24" t="n">
        <f aca="false">1.3*((L88/1000)*(K88/1000))^0.625/((L88/1000)+(K88/1000))^0.25</f>
        <v>0.273291334957457</v>
      </c>
      <c r="Q88" s="26" t="n">
        <f aca="false">N88*P88/Hypothèses!$B$20</f>
        <v>72877.6893219886</v>
      </c>
      <c r="R88" s="27" t="n">
        <f aca="false">0.25/(LOG10(Hypothèses!$B$21/(3.7*P88)+5.74/Q88^0.9))^2</f>
        <v>0.0215081903576626</v>
      </c>
      <c r="S88" s="25" t="n">
        <f aca="false">R88/P88*Hypothèses!$B$19*N88^2/2</f>
        <v>0.755525701046112</v>
      </c>
      <c r="T88" s="23" t="n">
        <f aca="false">S88*G88*(1+Hypothèses!$B$22)</f>
        <v>0.974628154349484</v>
      </c>
      <c r="U88" s="5" t="s">
        <v>87</v>
      </c>
      <c r="V88" s="21" t="str">
        <f aca="false">IF(K88&lt;=Hypothèses!$B$28-100,"oui","NON")</f>
        <v>oui</v>
      </c>
    </row>
    <row r="89" customFormat="false" ht="15" hidden="false" customHeight="false" outlineLevel="0" collapsed="false">
      <c r="A89" s="21" t="s">
        <v>20</v>
      </c>
      <c r="B89" s="21" t="s">
        <v>183</v>
      </c>
      <c r="C89" s="21" t="s">
        <v>90</v>
      </c>
      <c r="D89" s="21" t="s">
        <v>97</v>
      </c>
      <c r="E89" s="21" t="s">
        <v>85</v>
      </c>
      <c r="F89" s="21" t="s">
        <v>98</v>
      </c>
      <c r="G89" s="22" t="n">
        <v>0.55</v>
      </c>
      <c r="H89" s="6" t="n">
        <v>900</v>
      </c>
      <c r="I89" s="23" t="n">
        <f aca="false">INDEX(Hypothèses!$C$6:$C$16,MATCH(H89,Hypothèses!$A$6:$A$16,1))</f>
        <v>4.5</v>
      </c>
      <c r="J89" s="24" t="n">
        <f aca="false">H89/3600/I89</f>
        <v>0.0555555555555556</v>
      </c>
      <c r="K89" s="21" t="n">
        <f aca="false">IF(H89&lt;=2000,Hypothèses!$B$23,IF(H89&lt;=4000,Hypothèses!$B$24,Hypothèses!$B$25))</f>
        <v>250</v>
      </c>
      <c r="L89" s="21" t="n">
        <f aca="false">MAX(Hypothèses!$B$26,CEILING(J89/(K89/1000)*1000,Hypothèses!$B$27))</f>
        <v>250</v>
      </c>
      <c r="M89" s="24" t="n">
        <f aca="false">L89*K89/1000000</f>
        <v>0.0625</v>
      </c>
      <c r="N89" s="25" t="n">
        <f aca="false">H89/3600/M89</f>
        <v>4</v>
      </c>
      <c r="O89" s="21" t="str">
        <f aca="false">IF(N89&lt;=I89,"oui","NON")</f>
        <v>oui</v>
      </c>
      <c r="P89" s="24" t="n">
        <f aca="false">1.3*((L89/1000)*(K89/1000))^0.625/((L89/1000)+(K89/1000))^0.25</f>
        <v>0.273291334957457</v>
      </c>
      <c r="Q89" s="26" t="n">
        <f aca="false">N89*P89/Hypothèses!$B$20</f>
        <v>72877.6893219886</v>
      </c>
      <c r="R89" s="27" t="n">
        <f aca="false">0.25/(LOG10(Hypothèses!$B$21/(3.7*P89)+5.74/Q89^0.9))^2</f>
        <v>0.0215081903576626</v>
      </c>
      <c r="S89" s="25" t="n">
        <f aca="false">R89/P89*Hypothèses!$B$19*N89^2/2</f>
        <v>0.755525701046112</v>
      </c>
      <c r="T89" s="23" t="n">
        <f aca="false">S89*G89*(1+Hypothèses!$B$22)</f>
        <v>0.623308703363042</v>
      </c>
      <c r="U89" s="5" t="s">
        <v>87</v>
      </c>
      <c r="V89" s="21" t="str">
        <f aca="false">IF(K89&lt;=Hypothèses!$B$28-100,"oui","NON")</f>
        <v>oui</v>
      </c>
    </row>
    <row r="90" customFormat="false" ht="15" hidden="false" customHeight="false" outlineLevel="0" collapsed="false">
      <c r="A90" s="21" t="s">
        <v>20</v>
      </c>
      <c r="B90" s="21" t="s">
        <v>184</v>
      </c>
      <c r="C90" s="21" t="s">
        <v>90</v>
      </c>
      <c r="D90" s="21" t="s">
        <v>97</v>
      </c>
      <c r="E90" s="21" t="s">
        <v>85</v>
      </c>
      <c r="F90" s="21" t="s">
        <v>98</v>
      </c>
      <c r="G90" s="22" t="n">
        <v>2.93</v>
      </c>
      <c r="H90" s="6" t="n">
        <v>810</v>
      </c>
      <c r="I90" s="23" t="n">
        <f aca="false">INDEX(Hypothèses!$C$6:$C$16,MATCH(H90,Hypothèses!$A$6:$A$16,1))</f>
        <v>4.5</v>
      </c>
      <c r="J90" s="24" t="n">
        <f aca="false">H90/3600/I90</f>
        <v>0.05</v>
      </c>
      <c r="K90" s="21" t="n">
        <f aca="false">IF(H90&lt;=2000,Hypothèses!$B$23,IF(H90&lt;=4000,Hypothèses!$B$24,Hypothèses!$B$25))</f>
        <v>250</v>
      </c>
      <c r="L90" s="21" t="n">
        <f aca="false">MAX(Hypothèses!$B$26,CEILING(J90/(K90/1000)*1000,Hypothèses!$B$27))</f>
        <v>200</v>
      </c>
      <c r="M90" s="24" t="n">
        <f aca="false">L90*K90/1000000</f>
        <v>0.05</v>
      </c>
      <c r="N90" s="25" t="n">
        <f aca="false">H90/3600/M90</f>
        <v>4.5</v>
      </c>
      <c r="O90" s="21" t="str">
        <f aca="false">IF(N90&lt;=I90,"oui","NON")</f>
        <v>oui</v>
      </c>
      <c r="P90" s="24" t="n">
        <f aca="false">1.3*((L90/1000)*(K90/1000))^0.625/((L90/1000)+(K90/1000))^0.25</f>
        <v>0.244059926740309</v>
      </c>
      <c r="Q90" s="26" t="n">
        <f aca="false">N90*P90/Hypothèses!$B$20</f>
        <v>73217.9780220928</v>
      </c>
      <c r="R90" s="27" t="n">
        <f aca="false">0.25/(LOG10(Hypothèses!$B$21/(3.7*P90)+5.74/Q90^0.9))^2</f>
        <v>0.0217407914266501</v>
      </c>
      <c r="S90" s="25" t="n">
        <f aca="false">R90/P90*Hypothèses!$B$19*N90^2/2</f>
        <v>1.08231867214672</v>
      </c>
      <c r="T90" s="23" t="n">
        <f aca="false">S90*G90*(1+Hypothèses!$B$22)</f>
        <v>4.75679056408486</v>
      </c>
      <c r="U90" s="5" t="s">
        <v>87</v>
      </c>
      <c r="V90" s="21" t="str">
        <f aca="false">IF(K90&lt;=Hypothèses!$B$28-100,"oui","NON")</f>
        <v>oui</v>
      </c>
    </row>
    <row r="91" customFormat="false" ht="15" hidden="false" customHeight="false" outlineLevel="0" collapsed="false">
      <c r="A91" s="21" t="s">
        <v>20</v>
      </c>
      <c r="B91" s="21" t="s">
        <v>185</v>
      </c>
      <c r="C91" s="21" t="s">
        <v>90</v>
      </c>
      <c r="D91" s="21" t="s">
        <v>97</v>
      </c>
      <c r="E91" s="21" t="s">
        <v>85</v>
      </c>
      <c r="F91" s="21" t="s">
        <v>98</v>
      </c>
      <c r="G91" s="22" t="n">
        <v>0.86</v>
      </c>
      <c r="H91" s="6" t="n">
        <v>720</v>
      </c>
      <c r="I91" s="23" t="n">
        <f aca="false">INDEX(Hypothèses!$C$6:$C$16,MATCH(H91,Hypothèses!$A$6:$A$16,1))</f>
        <v>4</v>
      </c>
      <c r="J91" s="24" t="n">
        <f aca="false">H91/3600/I91</f>
        <v>0.05</v>
      </c>
      <c r="K91" s="21" t="n">
        <f aca="false">IF(H91&lt;=2000,Hypothèses!$B$23,IF(H91&lt;=4000,Hypothèses!$B$24,Hypothèses!$B$25))</f>
        <v>250</v>
      </c>
      <c r="L91" s="21" t="n">
        <f aca="false">MAX(Hypothèses!$B$26,CEILING(J91/(K91/1000)*1000,Hypothèses!$B$27))</f>
        <v>200</v>
      </c>
      <c r="M91" s="24" t="n">
        <f aca="false">L91*K91/1000000</f>
        <v>0.05</v>
      </c>
      <c r="N91" s="25" t="n">
        <f aca="false">H91/3600/M91</f>
        <v>4</v>
      </c>
      <c r="O91" s="21" t="str">
        <f aca="false">IF(N91&lt;=I91,"oui","NON")</f>
        <v>oui</v>
      </c>
      <c r="P91" s="24" t="n">
        <f aca="false">1.3*((L91/1000)*(K91/1000))^0.625/((L91/1000)+(K91/1000))^0.25</f>
        <v>0.244059926740309</v>
      </c>
      <c r="Q91" s="26" t="n">
        <f aca="false">N91*P91/Hypothèses!$B$20</f>
        <v>65082.6471307491</v>
      </c>
      <c r="R91" s="27" t="n">
        <f aca="false">0.25/(LOG10(Hypothèses!$B$21/(3.7*P91)+5.74/Q91^0.9))^2</f>
        <v>0.0221017738290741</v>
      </c>
      <c r="S91" s="25" t="n">
        <f aca="false">R91/P91*Hypothèses!$B$19*N91^2/2</f>
        <v>0.869364469591424</v>
      </c>
      <c r="T91" s="23" t="n">
        <f aca="false">S91*G91*(1+Hypothèses!$B$22)</f>
        <v>1.12148016577294</v>
      </c>
      <c r="U91" s="5" t="s">
        <v>87</v>
      </c>
      <c r="V91" s="21" t="str">
        <f aca="false">IF(K91&lt;=Hypothèses!$B$28-100,"oui","NON")</f>
        <v>oui</v>
      </c>
    </row>
    <row r="92" customFormat="false" ht="15" hidden="false" customHeight="false" outlineLevel="0" collapsed="false">
      <c r="A92" s="21" t="s">
        <v>20</v>
      </c>
      <c r="B92" s="21" t="s">
        <v>186</v>
      </c>
      <c r="C92" s="21" t="s">
        <v>90</v>
      </c>
      <c r="D92" s="21" t="s">
        <v>97</v>
      </c>
      <c r="E92" s="21" t="s">
        <v>85</v>
      </c>
      <c r="F92" s="21" t="s">
        <v>98</v>
      </c>
      <c r="G92" s="22" t="n">
        <v>2.87</v>
      </c>
      <c r="H92" s="6" t="n">
        <v>630</v>
      </c>
      <c r="I92" s="23" t="n">
        <f aca="false">INDEX(Hypothèses!$C$6:$C$16,MATCH(H92,Hypothèses!$A$6:$A$16,1))</f>
        <v>4</v>
      </c>
      <c r="J92" s="24" t="n">
        <f aca="false">H92/3600/I92</f>
        <v>0.04375</v>
      </c>
      <c r="K92" s="21" t="n">
        <f aca="false">IF(H92&lt;=2000,Hypothèses!$B$23,IF(H92&lt;=4000,Hypothèses!$B$24,Hypothèses!$B$25))</f>
        <v>250</v>
      </c>
      <c r="L92" s="21" t="n">
        <f aca="false">MAX(Hypothèses!$B$26,CEILING(J92/(K92/1000)*1000,Hypothèses!$B$27))</f>
        <v>200</v>
      </c>
      <c r="M92" s="24" t="n">
        <f aca="false">L92*K92/1000000</f>
        <v>0.05</v>
      </c>
      <c r="N92" s="25" t="n">
        <f aca="false">H92/3600/M92</f>
        <v>3.5</v>
      </c>
      <c r="O92" s="21" t="str">
        <f aca="false">IF(N92&lt;=I92,"oui","NON")</f>
        <v>oui</v>
      </c>
      <c r="P92" s="24" t="n">
        <f aca="false">1.3*((L92/1000)*(K92/1000))^0.625/((L92/1000)+(K92/1000))^0.25</f>
        <v>0.244059926740309</v>
      </c>
      <c r="Q92" s="26" t="n">
        <f aca="false">N92*P92/Hypothèses!$B$20</f>
        <v>56947.3162394055</v>
      </c>
      <c r="R92" s="27" t="n">
        <f aca="false">0.25/(LOG10(Hypothèses!$B$21/(3.7*P92)+5.74/Q92^0.9))^2</f>
        <v>0.0225408508367514</v>
      </c>
      <c r="S92" s="25" t="n">
        <f aca="false">R92/P92*Hypothèses!$B$19*N92^2/2</f>
        <v>0.678830219540338</v>
      </c>
      <c r="T92" s="23" t="n">
        <f aca="false">S92*G92*(1+Hypothèses!$B$22)</f>
        <v>2.92236409512115</v>
      </c>
      <c r="U92" s="5" t="s">
        <v>87</v>
      </c>
      <c r="V92" s="21" t="str">
        <f aca="false">IF(K92&lt;=Hypothèses!$B$28-100,"oui","NON")</f>
        <v>oui</v>
      </c>
    </row>
    <row r="93" customFormat="false" ht="15" hidden="false" customHeight="false" outlineLevel="0" collapsed="false">
      <c r="A93" s="21" t="s">
        <v>20</v>
      </c>
      <c r="B93" s="21" t="s">
        <v>187</v>
      </c>
      <c r="C93" s="21" t="s">
        <v>90</v>
      </c>
      <c r="D93" s="21" t="s">
        <v>97</v>
      </c>
      <c r="E93" s="21" t="s">
        <v>85</v>
      </c>
      <c r="F93" s="21" t="s">
        <v>98</v>
      </c>
      <c r="G93" s="22" t="n">
        <v>1.55</v>
      </c>
      <c r="H93" s="6" t="n">
        <v>540</v>
      </c>
      <c r="I93" s="23" t="n">
        <f aca="false">INDEX(Hypothèses!$C$6:$C$16,MATCH(H93,Hypothèses!$A$6:$A$16,1))</f>
        <v>3.5</v>
      </c>
      <c r="J93" s="24" t="n">
        <f aca="false">H93/3600/I93</f>
        <v>0.0428571428571429</v>
      </c>
      <c r="K93" s="21" t="n">
        <f aca="false">IF(H93&lt;=2000,Hypothèses!$B$23,IF(H93&lt;=4000,Hypothèses!$B$24,Hypothèses!$B$25))</f>
        <v>250</v>
      </c>
      <c r="L93" s="21" t="n">
        <f aca="false">MAX(Hypothèses!$B$26,CEILING(J93/(K93/1000)*1000,Hypothèses!$B$27))</f>
        <v>200</v>
      </c>
      <c r="M93" s="24" t="n">
        <f aca="false">L93*K93/1000000</f>
        <v>0.05</v>
      </c>
      <c r="N93" s="25" t="n">
        <f aca="false">H93/3600/M93</f>
        <v>3</v>
      </c>
      <c r="O93" s="21" t="str">
        <f aca="false">IF(N93&lt;=I93,"oui","NON")</f>
        <v>oui</v>
      </c>
      <c r="P93" s="24" t="n">
        <f aca="false">1.3*((L93/1000)*(K93/1000))^0.625/((L93/1000)+(K93/1000))^0.25</f>
        <v>0.244059926740309</v>
      </c>
      <c r="Q93" s="26" t="n">
        <f aca="false">N93*P93/Hypothèses!$B$20</f>
        <v>48811.9853480618</v>
      </c>
      <c r="R93" s="27" t="n">
        <f aca="false">0.25/(LOG10(Hypothèses!$B$21/(3.7*P93)+5.74/Q93^0.9))^2</f>
        <v>0.0230891942725925</v>
      </c>
      <c r="S93" s="25" t="n">
        <f aca="false">R93/P93*Hypothèses!$B$19*N93^2/2</f>
        <v>0.510864895918232</v>
      </c>
      <c r="T93" s="23" t="n">
        <f aca="false">S93*G93*(1+Hypothèses!$B$22)</f>
        <v>1.18776088300989</v>
      </c>
      <c r="U93" s="5" t="s">
        <v>87</v>
      </c>
      <c r="V93" s="21" t="str">
        <f aca="false">IF(K93&lt;=Hypothèses!$B$28-100,"oui","NON")</f>
        <v>oui</v>
      </c>
    </row>
    <row r="94" customFormat="false" ht="15" hidden="false" customHeight="false" outlineLevel="0" collapsed="false">
      <c r="A94" s="21" t="s">
        <v>20</v>
      </c>
      <c r="B94" s="21" t="s">
        <v>188</v>
      </c>
      <c r="C94" s="21" t="s">
        <v>90</v>
      </c>
      <c r="D94" s="21" t="s">
        <v>97</v>
      </c>
      <c r="E94" s="21" t="s">
        <v>85</v>
      </c>
      <c r="F94" s="21" t="s">
        <v>98</v>
      </c>
      <c r="G94" s="22" t="n">
        <v>2.83</v>
      </c>
      <c r="H94" s="6" t="n">
        <v>450</v>
      </c>
      <c r="I94" s="23" t="n">
        <f aca="false">INDEX(Hypothèses!$C$6:$C$16,MATCH(H94,Hypothèses!$A$6:$A$16,1))</f>
        <v>3.5</v>
      </c>
      <c r="J94" s="24" t="n">
        <f aca="false">H94/3600/I94</f>
        <v>0.0357142857142857</v>
      </c>
      <c r="K94" s="21" t="n">
        <f aca="false">IF(H94&lt;=2000,Hypothèses!$B$23,IF(H94&lt;=4000,Hypothèses!$B$24,Hypothèses!$B$25))</f>
        <v>250</v>
      </c>
      <c r="L94" s="21" t="n">
        <f aca="false">MAX(Hypothèses!$B$26,CEILING(J94/(K94/1000)*1000,Hypothèses!$B$27))</f>
        <v>200</v>
      </c>
      <c r="M94" s="24" t="n">
        <f aca="false">L94*K94/1000000</f>
        <v>0.05</v>
      </c>
      <c r="N94" s="25" t="n">
        <f aca="false">H94/3600/M94</f>
        <v>2.5</v>
      </c>
      <c r="O94" s="21" t="str">
        <f aca="false">IF(N94&lt;=I94,"oui","NON")</f>
        <v>oui</v>
      </c>
      <c r="P94" s="24" t="n">
        <f aca="false">1.3*((L94/1000)*(K94/1000))^0.625/((L94/1000)+(K94/1000))^0.25</f>
        <v>0.244059926740309</v>
      </c>
      <c r="Q94" s="26" t="n">
        <f aca="false">N94*P94/Hypothèses!$B$20</f>
        <v>40676.6544567182</v>
      </c>
      <c r="R94" s="27" t="n">
        <f aca="false">0.25/(LOG10(Hypothèses!$B$21/(3.7*P94)+5.74/Q94^0.9))^2</f>
        <v>0.0237985309638672</v>
      </c>
      <c r="S94" s="25" t="n">
        <f aca="false">R94/P94*Hypothèses!$B$19*N94^2/2</f>
        <v>0.365666302971</v>
      </c>
      <c r="T94" s="23" t="n">
        <f aca="false">S94*G94*(1+Hypothèses!$B$22)</f>
        <v>1.5522534561119</v>
      </c>
      <c r="U94" s="5" t="s">
        <v>87</v>
      </c>
      <c r="V94" s="21" t="str">
        <f aca="false">IF(K94&lt;=Hypothèses!$B$28-100,"oui","NON")</f>
        <v>oui</v>
      </c>
    </row>
    <row r="95" customFormat="false" ht="15" hidden="false" customHeight="false" outlineLevel="0" collapsed="false">
      <c r="A95" s="21" t="s">
        <v>20</v>
      </c>
      <c r="B95" s="21" t="s">
        <v>189</v>
      </c>
      <c r="C95" s="21" t="s">
        <v>90</v>
      </c>
      <c r="D95" s="21" t="s">
        <v>97</v>
      </c>
      <c r="E95" s="21" t="s">
        <v>85</v>
      </c>
      <c r="F95" s="21" t="s">
        <v>98</v>
      </c>
      <c r="G95" s="22" t="n">
        <v>0.95</v>
      </c>
      <c r="H95" s="6" t="n">
        <v>360</v>
      </c>
      <c r="I95" s="23" t="n">
        <f aca="false">INDEX(Hypothèses!$C$6:$C$16,MATCH(H95,Hypothèses!$A$6:$A$16,1))</f>
        <v>3.5</v>
      </c>
      <c r="J95" s="24" t="n">
        <f aca="false">H95/3600/I95</f>
        <v>0.0285714285714286</v>
      </c>
      <c r="K95" s="21" t="n">
        <f aca="false">IF(H95&lt;=2000,Hypothèses!$B$23,IF(H95&lt;=4000,Hypothèses!$B$24,Hypothèses!$B$25))</f>
        <v>250</v>
      </c>
      <c r="L95" s="21" t="n">
        <f aca="false">MAX(Hypothèses!$B$26,CEILING(J95/(K95/1000)*1000,Hypothèses!$B$27))</f>
        <v>200</v>
      </c>
      <c r="M95" s="24" t="n">
        <f aca="false">L95*K95/1000000</f>
        <v>0.05</v>
      </c>
      <c r="N95" s="25" t="n">
        <f aca="false">H95/3600/M95</f>
        <v>2</v>
      </c>
      <c r="O95" s="21" t="str">
        <f aca="false">IF(N95&lt;=I95,"oui","NON")</f>
        <v>oui</v>
      </c>
      <c r="P95" s="24" t="n">
        <f aca="false">1.3*((L95/1000)*(K95/1000))^0.625/((L95/1000)+(K95/1000))^0.25</f>
        <v>0.244059926740309</v>
      </c>
      <c r="Q95" s="26" t="n">
        <f aca="false">N95*P95/Hypothèses!$B$20</f>
        <v>32541.3235653746</v>
      </c>
      <c r="R95" s="27" t="n">
        <f aca="false">0.25/(LOG10(Hypothèses!$B$21/(3.7*P95)+5.74/Q95^0.9))^2</f>
        <v>0.02476271558301</v>
      </c>
      <c r="S95" s="25" t="n">
        <f aca="false">R95/P95*Hypothèses!$B$19*N95^2/2</f>
        <v>0.243507888382105</v>
      </c>
      <c r="T95" s="23" t="n">
        <f aca="false">S95*G95*(1+Hypothèses!$B$22)</f>
        <v>0.3469987409445</v>
      </c>
      <c r="U95" s="5" t="s">
        <v>87</v>
      </c>
      <c r="V95" s="21" t="str">
        <f aca="false">IF(K95&lt;=Hypothèses!$B$28-100,"oui","NON")</f>
        <v>oui</v>
      </c>
    </row>
    <row r="96" customFormat="false" ht="15" hidden="false" customHeight="false" outlineLevel="0" collapsed="false">
      <c r="A96" s="21" t="s">
        <v>20</v>
      </c>
      <c r="B96" s="21" t="s">
        <v>190</v>
      </c>
      <c r="C96" s="21" t="s">
        <v>90</v>
      </c>
      <c r="D96" s="21" t="s">
        <v>97</v>
      </c>
      <c r="E96" s="21" t="s">
        <v>85</v>
      </c>
      <c r="F96" s="21" t="s">
        <v>98</v>
      </c>
      <c r="G96" s="22" t="n">
        <v>2.79</v>
      </c>
      <c r="H96" s="6" t="n">
        <v>270</v>
      </c>
      <c r="I96" s="23" t="n">
        <f aca="false">INDEX(Hypothèses!$C$6:$C$16,MATCH(H96,Hypothèses!$A$6:$A$16,1))</f>
        <v>3</v>
      </c>
      <c r="J96" s="24" t="n">
        <f aca="false">H96/3600/I96</f>
        <v>0.025</v>
      </c>
      <c r="K96" s="21" t="n">
        <f aca="false">IF(H96&lt;=2000,Hypothèses!$B$23,IF(H96&lt;=4000,Hypothèses!$B$24,Hypothèses!$B$25))</f>
        <v>250</v>
      </c>
      <c r="L96" s="21" t="n">
        <f aca="false">MAX(Hypothèses!$B$26,CEILING(J96/(K96/1000)*1000,Hypothèses!$B$27))</f>
        <v>200</v>
      </c>
      <c r="M96" s="24" t="n">
        <f aca="false">L96*K96/1000000</f>
        <v>0.05</v>
      </c>
      <c r="N96" s="25" t="n">
        <f aca="false">H96/3600/M96</f>
        <v>1.5</v>
      </c>
      <c r="O96" s="21" t="str">
        <f aca="false">IF(N96&lt;=I96,"oui","NON")</f>
        <v>oui</v>
      </c>
      <c r="P96" s="24" t="n">
        <f aca="false">1.3*((L96/1000)*(K96/1000))^0.625/((L96/1000)+(K96/1000))^0.25</f>
        <v>0.244059926740309</v>
      </c>
      <c r="Q96" s="26" t="n">
        <f aca="false">N96*P96/Hypothèses!$B$20</f>
        <v>24405.9926740309</v>
      </c>
      <c r="R96" s="27" t="n">
        <f aca="false">0.25/(LOG10(Hypothèses!$B$21/(3.7*P96)+5.74/Q96^0.9))^2</f>
        <v>0.0261757755144053</v>
      </c>
      <c r="S96" s="25" t="n">
        <f aca="false">R96/P96*Hypothèses!$B$19*N96^2/2</f>
        <v>0.144789426992034</v>
      </c>
      <c r="T96" s="23" t="n">
        <f aca="false">S96*G96*(1+Hypothèses!$B$22)</f>
        <v>0.605943751961662</v>
      </c>
      <c r="U96" s="5" t="s">
        <v>87</v>
      </c>
      <c r="V96" s="21" t="str">
        <f aca="false">IF(K96&lt;=Hypothèses!$B$28-100,"oui","NON")</f>
        <v>oui</v>
      </c>
    </row>
    <row r="97" customFormat="false" ht="15" hidden="false" customHeight="false" outlineLevel="0" collapsed="false">
      <c r="A97" s="21" t="s">
        <v>20</v>
      </c>
      <c r="B97" s="21" t="s">
        <v>191</v>
      </c>
      <c r="C97" s="21" t="s">
        <v>90</v>
      </c>
      <c r="D97" s="21" t="s">
        <v>97</v>
      </c>
      <c r="E97" s="21" t="s">
        <v>85</v>
      </c>
      <c r="F97" s="21" t="s">
        <v>98</v>
      </c>
      <c r="G97" s="22" t="n">
        <v>1.63</v>
      </c>
      <c r="H97" s="6" t="n">
        <v>180</v>
      </c>
      <c r="I97" s="23" t="n">
        <f aca="false">INDEX(Hypothèses!$C$6:$C$16,MATCH(H97,Hypothèses!$A$6:$A$16,1))</f>
        <v>3</v>
      </c>
      <c r="J97" s="24" t="n">
        <f aca="false">H97/3600/I97</f>
        <v>0.0166666666666667</v>
      </c>
      <c r="K97" s="21" t="n">
        <f aca="false">IF(H97&lt;=2000,Hypothèses!$B$23,IF(H97&lt;=4000,Hypothèses!$B$24,Hypothèses!$B$25))</f>
        <v>250</v>
      </c>
      <c r="L97" s="21" t="n">
        <f aca="false">MAX(Hypothèses!$B$26,CEILING(J97/(K97/1000)*1000,Hypothèses!$B$27))</f>
        <v>200</v>
      </c>
      <c r="M97" s="24" t="n">
        <f aca="false">L97*K97/1000000</f>
        <v>0.05</v>
      </c>
      <c r="N97" s="25" t="n">
        <f aca="false">H97/3600/M97</f>
        <v>1</v>
      </c>
      <c r="O97" s="21" t="str">
        <f aca="false">IF(N97&lt;=I97,"oui","NON")</f>
        <v>oui</v>
      </c>
      <c r="P97" s="24" t="n">
        <f aca="false">1.3*((L97/1000)*(K97/1000))^0.625/((L97/1000)+(K97/1000))^0.25</f>
        <v>0.244059926740309</v>
      </c>
      <c r="Q97" s="26" t="n">
        <f aca="false">N97*P97/Hypothèses!$B$20</f>
        <v>16270.6617826873</v>
      </c>
      <c r="R97" s="27" t="n">
        <f aca="false">0.25/(LOG10(Hypothèses!$B$21/(3.7*P97)+5.74/Q97^0.9))^2</f>
        <v>0.0285334679281754</v>
      </c>
      <c r="S97" s="25" t="n">
        <f aca="false">R97/P97*Hypothèses!$B$19*N97^2/2</f>
        <v>0.0701470371869846</v>
      </c>
      <c r="T97" s="23" t="n">
        <f aca="false">S97*G97*(1+Hypothèses!$B$22)</f>
        <v>0.171509505922177</v>
      </c>
      <c r="U97" s="5" t="s">
        <v>87</v>
      </c>
      <c r="V97" s="21" t="str">
        <f aca="false">IF(K97&lt;=Hypothèses!$B$28-100,"oui","NON")</f>
        <v>oui</v>
      </c>
    </row>
    <row r="98" customFormat="false" ht="15" hidden="false" customHeight="false" outlineLevel="0" collapsed="false">
      <c r="A98" s="21" t="s">
        <v>20</v>
      </c>
      <c r="B98" s="21" t="s">
        <v>192</v>
      </c>
      <c r="C98" s="21" t="s">
        <v>90</v>
      </c>
      <c r="D98" s="21" t="s">
        <v>97</v>
      </c>
      <c r="E98" s="21" t="s">
        <v>85</v>
      </c>
      <c r="F98" s="21" t="s">
        <v>98</v>
      </c>
      <c r="G98" s="22" t="n">
        <v>2.8</v>
      </c>
      <c r="H98" s="6" t="n">
        <v>90</v>
      </c>
      <c r="I98" s="23" t="n">
        <f aca="false">INDEX(Hypothèses!$C$6:$C$16,MATCH(H98,Hypothèses!$A$6:$A$16,1))</f>
        <v>3</v>
      </c>
      <c r="J98" s="24" t="n">
        <f aca="false">H98/3600/I98</f>
        <v>0.00833333333333333</v>
      </c>
      <c r="K98" s="21" t="n">
        <f aca="false">IF(H98&lt;=2000,Hypothèses!$B$23,IF(H98&lt;=4000,Hypothèses!$B$24,Hypothèses!$B$25))</f>
        <v>250</v>
      </c>
      <c r="L98" s="21" t="n">
        <f aca="false">MAX(Hypothèses!$B$26,CEILING(J98/(K98/1000)*1000,Hypothèses!$B$27))</f>
        <v>200</v>
      </c>
      <c r="M98" s="24" t="n">
        <f aca="false">L98*K98/1000000</f>
        <v>0.05</v>
      </c>
      <c r="N98" s="25" t="n">
        <f aca="false">H98/3600/M98</f>
        <v>0.5</v>
      </c>
      <c r="O98" s="21" t="str">
        <f aca="false">IF(N98&lt;=I98,"oui","NON")</f>
        <v>oui</v>
      </c>
      <c r="P98" s="24" t="n">
        <f aca="false">1.3*((L98/1000)*(K98/1000))^0.625/((L98/1000)+(K98/1000))^0.25</f>
        <v>0.244059926740309</v>
      </c>
      <c r="Q98" s="26" t="n">
        <f aca="false">N98*P98/Hypothèses!$B$20</f>
        <v>8135.33089134364</v>
      </c>
      <c r="R98" s="27" t="n">
        <f aca="false">0.25/(LOG10(Hypothèses!$B$21/(3.7*P98)+5.74/Q98^0.9))^2</f>
        <v>0.033772654686126</v>
      </c>
      <c r="S98" s="25" t="n">
        <f aca="false">R98/P98*Hypothèses!$B$19*N98^2/2</f>
        <v>0.0207567799867008</v>
      </c>
      <c r="T98" s="23" t="n">
        <f aca="false">S98*G98*(1+Hypothèses!$B$22)</f>
        <v>0.0871784759441432</v>
      </c>
      <c r="U98" s="5" t="s">
        <v>87</v>
      </c>
      <c r="V98" s="21" t="str">
        <f aca="false">IF(K98&lt;=Hypothèses!$B$28-100,"oui","NON")</f>
        <v>oui</v>
      </c>
    </row>
    <row r="99" customFormat="false" ht="15" hidden="false" customHeight="false" outlineLevel="0" collapsed="false">
      <c r="A99" s="21" t="s">
        <v>20</v>
      </c>
      <c r="B99" s="21" t="s">
        <v>193</v>
      </c>
      <c r="C99" s="21" t="s">
        <v>90</v>
      </c>
      <c r="D99" s="21" t="s">
        <v>97</v>
      </c>
      <c r="E99" s="21" t="s">
        <v>85</v>
      </c>
      <c r="F99" s="21" t="s">
        <v>98</v>
      </c>
      <c r="G99" s="22" t="n">
        <v>1.59</v>
      </c>
      <c r="H99" s="6" t="n">
        <v>90</v>
      </c>
      <c r="I99" s="23" t="n">
        <f aca="false">INDEX(Hypothèses!$C$6:$C$16,MATCH(H99,Hypothèses!$A$6:$A$16,1))</f>
        <v>3</v>
      </c>
      <c r="J99" s="24" t="n">
        <f aca="false">H99/3600/I99</f>
        <v>0.00833333333333333</v>
      </c>
      <c r="K99" s="21" t="n">
        <f aca="false">IF(H99&lt;=2000,Hypothèses!$B$23,IF(H99&lt;=4000,Hypothèses!$B$24,Hypothèses!$B$25))</f>
        <v>250</v>
      </c>
      <c r="L99" s="21" t="n">
        <f aca="false">MAX(Hypothèses!$B$26,CEILING(J99/(K99/1000)*1000,Hypothèses!$B$27))</f>
        <v>200</v>
      </c>
      <c r="M99" s="24" t="n">
        <f aca="false">L99*K99/1000000</f>
        <v>0.05</v>
      </c>
      <c r="N99" s="25" t="n">
        <f aca="false">H99/3600/M99</f>
        <v>0.5</v>
      </c>
      <c r="O99" s="21" t="str">
        <f aca="false">IF(N99&lt;=I99,"oui","NON")</f>
        <v>oui</v>
      </c>
      <c r="P99" s="24" t="n">
        <f aca="false">1.3*((L99/1000)*(K99/1000))^0.625/((L99/1000)+(K99/1000))^0.25</f>
        <v>0.244059926740309</v>
      </c>
      <c r="Q99" s="26" t="n">
        <f aca="false">N99*P99/Hypothèses!$B$20</f>
        <v>8135.33089134364</v>
      </c>
      <c r="R99" s="27" t="n">
        <f aca="false">0.25/(LOG10(Hypothèses!$B$21/(3.7*P99)+5.74/Q99^0.9))^2</f>
        <v>0.033772654686126</v>
      </c>
      <c r="S99" s="25" t="n">
        <f aca="false">R99/P99*Hypothèses!$B$19*N99^2/2</f>
        <v>0.0207567799867008</v>
      </c>
      <c r="T99" s="23" t="n">
        <f aca="false">S99*G99*(1+Hypothèses!$B$22)</f>
        <v>0.0495049202682813</v>
      </c>
      <c r="U99" s="5"/>
      <c r="V99" s="21" t="str">
        <f aca="false">IF(K99&lt;=Hypothèses!$B$28-100,"oui","NON")</f>
        <v>oui</v>
      </c>
    </row>
    <row r="100" customFormat="false" ht="15" hidden="false" customHeight="false" outlineLevel="0" collapsed="false">
      <c r="A100" s="21" t="s">
        <v>22</v>
      </c>
      <c r="B100" s="21" t="s">
        <v>194</v>
      </c>
      <c r="C100" s="21" t="s">
        <v>83</v>
      </c>
      <c r="D100" s="21" t="s">
        <v>84</v>
      </c>
      <c r="E100" s="21" t="s">
        <v>85</v>
      </c>
      <c r="F100" s="21" t="s">
        <v>86</v>
      </c>
      <c r="G100" s="22" t="n">
        <v>3.75</v>
      </c>
      <c r="H100" s="6" t="n">
        <v>6123</v>
      </c>
      <c r="I100" s="23" t="n">
        <f aca="false">INDEX(Hypothèses!$C$6:$C$16,MATCH(H100,Hypothèses!$A$6:$A$16,1))</f>
        <v>6.5</v>
      </c>
      <c r="J100" s="24" t="n">
        <f aca="false">H100/3600/I100</f>
        <v>0.261666666666667</v>
      </c>
      <c r="K100" s="21" t="n">
        <f aca="false">IF(H100&lt;=2000,Hypothèses!$B$23,IF(H100&lt;=4000,Hypothèses!$B$24,Hypothèses!$B$25))</f>
        <v>400</v>
      </c>
      <c r="L100" s="21" t="n">
        <f aca="false">MAX(Hypothèses!$B$26,CEILING(J100/(K100/1000)*1000,Hypothèses!$B$27))</f>
        <v>700</v>
      </c>
      <c r="M100" s="24" t="n">
        <f aca="false">L100*K100/1000000</f>
        <v>0.28</v>
      </c>
      <c r="N100" s="25" t="n">
        <f aca="false">H100/3600/M100</f>
        <v>6.07440476190476</v>
      </c>
      <c r="O100" s="21" t="str">
        <f aca="false">IF(N100&lt;=I100,"oui","NON")</f>
        <v>oui</v>
      </c>
      <c r="P100" s="24" t="n">
        <f aca="false">1.3*((L100/1000)*(K100/1000))^0.625/((L100/1000)+(K100/1000))^0.25</f>
        <v>0.572886977959678</v>
      </c>
      <c r="Q100" s="26" t="n">
        <f aca="false">N100*P100/Hypothèses!$B$20</f>
        <v>231996.492463433</v>
      </c>
      <c r="R100" s="27" t="n">
        <f aca="false">0.25/(LOG10(Hypothèses!$B$21/(3.7*P100)+5.74/Q100^0.9))^2</f>
        <v>0.0172473836855018</v>
      </c>
      <c r="S100" s="25" t="n">
        <f aca="false">R100/P100*Hypothèses!$B$19*N100^2/2</f>
        <v>0.666519683197835</v>
      </c>
      <c r="T100" s="23" t="n">
        <f aca="false">S100*G100*(1+Hypothèses!$B$22)</f>
        <v>3.74917321798782</v>
      </c>
      <c r="U100" s="5" t="s">
        <v>87</v>
      </c>
      <c r="V100" s="21" t="s">
        <v>88</v>
      </c>
    </row>
    <row r="101" customFormat="false" ht="15" hidden="false" customHeight="false" outlineLevel="0" collapsed="false">
      <c r="A101" s="21" t="s">
        <v>22</v>
      </c>
      <c r="B101" s="21" t="s">
        <v>195</v>
      </c>
      <c r="C101" s="21" t="s">
        <v>90</v>
      </c>
      <c r="D101" s="21" t="s">
        <v>91</v>
      </c>
      <c r="E101" s="21" t="s">
        <v>85</v>
      </c>
      <c r="F101" s="21" t="s">
        <v>92</v>
      </c>
      <c r="G101" s="22" t="n">
        <v>1.6</v>
      </c>
      <c r="H101" s="6" t="n">
        <v>6123</v>
      </c>
      <c r="I101" s="23" t="n">
        <f aca="false">INDEX(Hypothèses!$C$6:$C$16,MATCH(H101,Hypothèses!$A$6:$A$16,1))</f>
        <v>6.5</v>
      </c>
      <c r="J101" s="24" t="n">
        <f aca="false">H101/3600/I101</f>
        <v>0.261666666666667</v>
      </c>
      <c r="K101" s="21" t="n">
        <f aca="false">IF(H101&lt;=2000,Hypothèses!$B$23,IF(H101&lt;=4000,Hypothèses!$B$24,Hypothèses!$B$25))</f>
        <v>400</v>
      </c>
      <c r="L101" s="21" t="n">
        <f aca="false">MAX(Hypothèses!$B$26,CEILING(J101/(K101/1000)*1000,Hypothèses!$B$27))</f>
        <v>700</v>
      </c>
      <c r="M101" s="24" t="n">
        <f aca="false">L101*K101/1000000</f>
        <v>0.28</v>
      </c>
      <c r="N101" s="25" t="n">
        <f aca="false">H101/3600/M101</f>
        <v>6.07440476190476</v>
      </c>
      <c r="O101" s="21" t="str">
        <f aca="false">IF(N101&lt;=I101,"oui","NON")</f>
        <v>oui</v>
      </c>
      <c r="P101" s="24" t="n">
        <f aca="false">1.3*((L101/1000)*(K101/1000))^0.625/((L101/1000)+(K101/1000))^0.25</f>
        <v>0.572886977959678</v>
      </c>
      <c r="Q101" s="26" t="n">
        <f aca="false">N101*P101/Hypothèses!$B$20</f>
        <v>231996.492463433</v>
      </c>
      <c r="R101" s="27" t="n">
        <f aca="false">0.25/(LOG10(Hypothèses!$B$21/(3.7*P101)+5.74/Q101^0.9))^2</f>
        <v>0.0172473836855018</v>
      </c>
      <c r="S101" s="25" t="n">
        <f aca="false">R101/P101*Hypothèses!$B$19*N101^2/2</f>
        <v>0.666519683197835</v>
      </c>
      <c r="T101" s="23" t="n">
        <f aca="false">S101*G101*(1+Hypothèses!$B$22)</f>
        <v>1.5996472396748</v>
      </c>
      <c r="U101" s="5" t="s">
        <v>87</v>
      </c>
      <c r="V101" s="21" t="s">
        <v>88</v>
      </c>
    </row>
    <row r="102" customFormat="false" ht="15" hidden="false" customHeight="false" outlineLevel="0" collapsed="false">
      <c r="A102" s="21" t="s">
        <v>22</v>
      </c>
      <c r="B102" s="21" t="s">
        <v>196</v>
      </c>
      <c r="C102" s="21" t="s">
        <v>94</v>
      </c>
      <c r="D102" s="21" t="s">
        <v>91</v>
      </c>
      <c r="E102" s="21" t="s">
        <v>85</v>
      </c>
      <c r="F102" s="21" t="s">
        <v>95</v>
      </c>
      <c r="G102" s="22" t="n">
        <v>3.36</v>
      </c>
      <c r="H102" s="6" t="n">
        <v>4093</v>
      </c>
      <c r="I102" s="23" t="n">
        <f aca="false">INDEX(Hypothèses!$C$6:$C$16,MATCH(H102,Hypothèses!$A$6:$A$16,1))</f>
        <v>6</v>
      </c>
      <c r="J102" s="24" t="n">
        <f aca="false">H102/3600/I102</f>
        <v>0.189490740740741</v>
      </c>
      <c r="K102" s="21" t="n">
        <f aca="false">IF(H102&lt;=2000,Hypothèses!$B$23,IF(H102&lt;=4000,Hypothèses!$B$24,Hypothèses!$B$25))</f>
        <v>400</v>
      </c>
      <c r="L102" s="21" t="n">
        <f aca="false">MAX(Hypothèses!$B$26,CEILING(J102/(K102/1000)*1000,Hypothèses!$B$27))</f>
        <v>500</v>
      </c>
      <c r="M102" s="24" t="n">
        <f aca="false">L102*K102/1000000</f>
        <v>0.2</v>
      </c>
      <c r="N102" s="25" t="n">
        <f aca="false">H102/3600/M102</f>
        <v>5.68472222222222</v>
      </c>
      <c r="O102" s="21" t="str">
        <f aca="false">IF(N102&lt;=I102,"oui","NON")</f>
        <v>oui</v>
      </c>
      <c r="P102" s="24" t="n">
        <f aca="false">1.3*((L102/1000)*(K102/1000))^0.625/((L102/1000)+(K102/1000))^0.25</f>
        <v>0.488119853480619</v>
      </c>
      <c r="Q102" s="26" t="n">
        <f aca="false">N102*P102/Hypothèses!$B$20</f>
        <v>184988.385212609</v>
      </c>
      <c r="R102" s="27" t="n">
        <f aca="false">0.25/(LOG10(Hypothèses!$B$21/(3.7*P102)+5.74/Q102^0.9))^2</f>
        <v>0.0179956929007326</v>
      </c>
      <c r="S102" s="25" t="n">
        <f aca="false">R102/P102*Hypothèses!$B$19*N102^2/2</f>
        <v>0.714844940726735</v>
      </c>
      <c r="T102" s="23" t="n">
        <f aca="false">S102*G102*(1+Hypothèses!$B$22)</f>
        <v>3.60281850126275</v>
      </c>
      <c r="U102" s="5"/>
      <c r="V102" s="21" t="s">
        <v>88</v>
      </c>
    </row>
    <row r="103" customFormat="false" ht="15" hidden="false" customHeight="false" outlineLevel="0" collapsed="false">
      <c r="A103" s="21" t="s">
        <v>22</v>
      </c>
      <c r="B103" s="21" t="s">
        <v>197</v>
      </c>
      <c r="C103" s="21" t="s">
        <v>94</v>
      </c>
      <c r="D103" s="21" t="s">
        <v>97</v>
      </c>
      <c r="E103" s="21" t="s">
        <v>85</v>
      </c>
      <c r="F103" s="21" t="s">
        <v>198</v>
      </c>
      <c r="G103" s="22" t="n">
        <v>3.06</v>
      </c>
      <c r="H103" s="6" t="n">
        <v>4039</v>
      </c>
      <c r="I103" s="23" t="n">
        <f aca="false">INDEX(Hypothèses!$C$6:$C$16,MATCH(H103,Hypothèses!$A$6:$A$16,1))</f>
        <v>6</v>
      </c>
      <c r="J103" s="24" t="n">
        <f aca="false">H103/3600/I103</f>
        <v>0.186990740740741</v>
      </c>
      <c r="K103" s="21" t="n">
        <f aca="false">IF(H103&lt;=2000,Hypothèses!$B$23,IF(H103&lt;=4000,Hypothèses!$B$24,Hypothèses!$B$25))</f>
        <v>400</v>
      </c>
      <c r="L103" s="21" t="n">
        <f aca="false">MAX(Hypothèses!$B$26,CEILING(J103/(K103/1000)*1000,Hypothèses!$B$27))</f>
        <v>500</v>
      </c>
      <c r="M103" s="24" t="n">
        <f aca="false">L103*K103/1000000</f>
        <v>0.2</v>
      </c>
      <c r="N103" s="25" t="n">
        <f aca="false">H103/3600/M103</f>
        <v>5.60972222222222</v>
      </c>
      <c r="O103" s="21" t="str">
        <f aca="false">IF(N103&lt;=I103,"oui","NON")</f>
        <v>oui</v>
      </c>
      <c r="P103" s="24" t="n">
        <f aca="false">1.3*((L103/1000)*(K103/1000))^0.625/((L103/1000)+(K103/1000))^0.25</f>
        <v>0.488119853480619</v>
      </c>
      <c r="Q103" s="26" t="n">
        <f aca="false">N103*P103/Hypothèses!$B$20</f>
        <v>182547.785945205</v>
      </c>
      <c r="R103" s="27" t="n">
        <f aca="false">0.25/(LOG10(Hypothèses!$B$21/(3.7*P103)+5.74/Q103^0.9))^2</f>
        <v>0.0180237107808149</v>
      </c>
      <c r="S103" s="25" t="n">
        <f aca="false">R103/P103*Hypothèses!$B$19*N103^2/2</f>
        <v>0.697190886434031</v>
      </c>
      <c r="T103" s="23" t="n">
        <f aca="false">S103*G103*(1+Hypothèses!$B$22)</f>
        <v>3.2001061687322</v>
      </c>
      <c r="U103" s="5"/>
      <c r="V103" s="21" t="str">
        <f aca="false">IF(K103&lt;=Hypothèses!$B$28-100,"oui","NON")</f>
        <v>oui</v>
      </c>
    </row>
    <row r="104" customFormat="false" ht="15" hidden="false" customHeight="false" outlineLevel="0" collapsed="false">
      <c r="A104" s="21" t="s">
        <v>22</v>
      </c>
      <c r="B104" s="21" t="s">
        <v>199</v>
      </c>
      <c r="C104" s="21" t="s">
        <v>94</v>
      </c>
      <c r="D104" s="21" t="s">
        <v>97</v>
      </c>
      <c r="E104" s="21" t="s">
        <v>85</v>
      </c>
      <c r="F104" s="21" t="s">
        <v>200</v>
      </c>
      <c r="G104" s="22" t="n">
        <v>1.11</v>
      </c>
      <c r="H104" s="6" t="n">
        <v>3964</v>
      </c>
      <c r="I104" s="23" t="n">
        <f aca="false">INDEX(Hypothèses!$C$6:$C$16,MATCH(H104,Hypothèses!$A$6:$A$16,1))</f>
        <v>5.5</v>
      </c>
      <c r="J104" s="24" t="n">
        <f aca="false">H104/3600/I104</f>
        <v>0.20020202020202</v>
      </c>
      <c r="K104" s="21" t="n">
        <f aca="false">IF(H104&lt;=2000,Hypothèses!$B$23,IF(H104&lt;=4000,Hypothèses!$B$24,Hypothèses!$B$25))</f>
        <v>300</v>
      </c>
      <c r="L104" s="21" t="n">
        <f aca="false">MAX(Hypothèses!$B$26,CEILING(J104/(K104/1000)*1000,Hypothèses!$B$27))</f>
        <v>700</v>
      </c>
      <c r="M104" s="24" t="n">
        <f aca="false">L104*K104/1000000</f>
        <v>0.21</v>
      </c>
      <c r="N104" s="25" t="n">
        <f aca="false">H104/3600/M104</f>
        <v>5.24338624338624</v>
      </c>
      <c r="O104" s="21" t="str">
        <f aca="false">IF(N104&lt;=I104,"oui","NON")</f>
        <v>oui</v>
      </c>
      <c r="P104" s="24" t="n">
        <f aca="false">1.3*((L104/1000)*(K104/1000))^0.625/((L104/1000)+(K104/1000))^0.25</f>
        <v>0.490151585185148</v>
      </c>
      <c r="Q104" s="26" t="n">
        <f aca="false">N104*P104/Hypothèses!$B$20</f>
        <v>171336.938595584</v>
      </c>
      <c r="R104" s="27" t="n">
        <f aca="false">0.25/(LOG10(Hypothèses!$B$21/(3.7*P104)+5.74/Q104^0.9))^2</f>
        <v>0.0181528651790223</v>
      </c>
      <c r="S104" s="25" t="n">
        <f aca="false">R104/P104*Hypothèses!$B$19*N104^2/2</f>
        <v>0.610927566062352</v>
      </c>
      <c r="T104" s="23" t="n">
        <f aca="false">S104*G104*(1+Hypothèses!$B$22)</f>
        <v>1.01719439749382</v>
      </c>
      <c r="U104" s="5"/>
      <c r="V104" s="21" t="str">
        <f aca="false">IF(K104&lt;=Hypothèses!$B$28-100,"oui","NON")</f>
        <v>oui</v>
      </c>
    </row>
    <row r="105" customFormat="false" ht="15" hidden="false" customHeight="false" outlineLevel="0" collapsed="false">
      <c r="A105" s="21" t="s">
        <v>22</v>
      </c>
      <c r="B105" s="21" t="s">
        <v>201</v>
      </c>
      <c r="C105" s="21" t="s">
        <v>94</v>
      </c>
      <c r="D105" s="21" t="s">
        <v>97</v>
      </c>
      <c r="E105" s="21" t="s">
        <v>85</v>
      </c>
      <c r="F105" s="21" t="s">
        <v>202</v>
      </c>
      <c r="G105" s="22" t="n">
        <v>0.16</v>
      </c>
      <c r="H105" s="6" t="n">
        <v>3889</v>
      </c>
      <c r="I105" s="23" t="n">
        <f aca="false">INDEX(Hypothèses!$C$6:$C$16,MATCH(H105,Hypothèses!$A$6:$A$16,1))</f>
        <v>5.5</v>
      </c>
      <c r="J105" s="24" t="n">
        <f aca="false">H105/3600/I105</f>
        <v>0.196414141414141</v>
      </c>
      <c r="K105" s="21" t="n">
        <f aca="false">IF(H105&lt;=2000,Hypothèses!$B$23,IF(H105&lt;=4000,Hypothèses!$B$24,Hypothèses!$B$25))</f>
        <v>300</v>
      </c>
      <c r="L105" s="21" t="n">
        <f aca="false">MAX(Hypothèses!$B$26,CEILING(J105/(K105/1000)*1000,Hypothèses!$B$27))</f>
        <v>700</v>
      </c>
      <c r="M105" s="24" t="n">
        <f aca="false">L105*K105/1000000</f>
        <v>0.21</v>
      </c>
      <c r="N105" s="25" t="n">
        <f aca="false">H105/3600/M105</f>
        <v>5.14417989417989</v>
      </c>
      <c r="O105" s="21" t="str">
        <f aca="false">IF(N105&lt;=I105,"oui","NON")</f>
        <v>oui</v>
      </c>
      <c r="P105" s="24" t="n">
        <f aca="false">1.3*((L105/1000)*(K105/1000))^0.625/((L105/1000)+(K105/1000))^0.25</f>
        <v>0.490151585185148</v>
      </c>
      <c r="Q105" s="26" t="n">
        <f aca="false">N105*P105/Hypothèses!$B$20</f>
        <v>168095.195307323</v>
      </c>
      <c r="R105" s="27" t="n">
        <f aca="false">0.25/(LOG10(Hypothèses!$B$21/(3.7*P105)+5.74/Q105^0.9))^2</f>
        <v>0.01819507507845</v>
      </c>
      <c r="S105" s="25" t="n">
        <f aca="false">R105/P105*Hypothèses!$B$19*N105^2/2</f>
        <v>0.589395731262116</v>
      </c>
      <c r="T105" s="23" t="n">
        <f aca="false">S105*G105*(1+Hypothèses!$B$22)</f>
        <v>0.141454975502908</v>
      </c>
      <c r="U105" s="5"/>
      <c r="V105" s="21" t="str">
        <f aca="false">IF(K105&lt;=Hypothèses!$B$28-100,"oui","NON")</f>
        <v>oui</v>
      </c>
    </row>
    <row r="106" customFormat="false" ht="15" hidden="false" customHeight="false" outlineLevel="0" collapsed="false">
      <c r="A106" s="21" t="s">
        <v>22</v>
      </c>
      <c r="B106" s="21" t="s">
        <v>203</v>
      </c>
      <c r="C106" s="21" t="s">
        <v>94</v>
      </c>
      <c r="D106" s="21" t="s">
        <v>97</v>
      </c>
      <c r="E106" s="21" t="s">
        <v>85</v>
      </c>
      <c r="F106" s="21" t="s">
        <v>204</v>
      </c>
      <c r="G106" s="22" t="n">
        <v>1.75</v>
      </c>
      <c r="H106" s="6" t="n">
        <v>3886</v>
      </c>
      <c r="I106" s="23" t="n">
        <f aca="false">INDEX(Hypothèses!$C$6:$C$16,MATCH(H106,Hypothèses!$A$6:$A$16,1))</f>
        <v>5.5</v>
      </c>
      <c r="J106" s="24" t="n">
        <f aca="false">H106/3600/I106</f>
        <v>0.196262626262626</v>
      </c>
      <c r="K106" s="21" t="n">
        <f aca="false">IF(H106&lt;=2000,Hypothèses!$B$23,IF(H106&lt;=4000,Hypothèses!$B$24,Hypothèses!$B$25))</f>
        <v>300</v>
      </c>
      <c r="L106" s="21" t="n">
        <f aca="false">MAX(Hypothèses!$B$26,CEILING(J106/(K106/1000)*1000,Hypothèses!$B$27))</f>
        <v>700</v>
      </c>
      <c r="M106" s="24" t="n">
        <f aca="false">L106*K106/1000000</f>
        <v>0.21</v>
      </c>
      <c r="N106" s="25" t="n">
        <f aca="false">H106/3600/M106</f>
        <v>5.14021164021164</v>
      </c>
      <c r="O106" s="21" t="str">
        <f aca="false">IF(N106&lt;=I106,"oui","NON")</f>
        <v>oui</v>
      </c>
      <c r="P106" s="24" t="n">
        <f aca="false">1.3*((L106/1000)*(K106/1000))^0.625/((L106/1000)+(K106/1000))^0.25</f>
        <v>0.490151585185148</v>
      </c>
      <c r="Q106" s="26" t="n">
        <f aca="false">N106*P106/Hypothèses!$B$20</f>
        <v>167965.525575792</v>
      </c>
      <c r="R106" s="27" t="n">
        <f aca="false">0.25/(LOG10(Hypothèses!$B$21/(3.7*P106)+5.74/Q106^0.9))^2</f>
        <v>0.0181967899157217</v>
      </c>
      <c r="S106" s="25" t="n">
        <f aca="false">R106/P106*Hypothèses!$B$19*N106^2/2</f>
        <v>0.588542217865724</v>
      </c>
      <c r="T106" s="23" t="n">
        <f aca="false">S106*G106*(1+Hypothèses!$B$22)</f>
        <v>1.54492332189753</v>
      </c>
      <c r="U106" s="5"/>
      <c r="V106" s="21" t="str">
        <f aca="false">IF(K106&lt;=Hypothèses!$B$28-100,"oui","NON")</f>
        <v>oui</v>
      </c>
    </row>
    <row r="107" customFormat="false" ht="15" hidden="false" customHeight="false" outlineLevel="0" collapsed="false">
      <c r="A107" s="21" t="s">
        <v>22</v>
      </c>
      <c r="B107" s="21" t="s">
        <v>205</v>
      </c>
      <c r="C107" s="21" t="s">
        <v>94</v>
      </c>
      <c r="D107" s="21" t="s">
        <v>97</v>
      </c>
      <c r="E107" s="21" t="s">
        <v>85</v>
      </c>
      <c r="F107" s="21" t="s">
        <v>206</v>
      </c>
      <c r="G107" s="22" t="n">
        <v>3.19</v>
      </c>
      <c r="H107" s="6" t="n">
        <v>3778</v>
      </c>
      <c r="I107" s="23" t="n">
        <f aca="false">INDEX(Hypothèses!$C$6:$C$16,MATCH(H107,Hypothèses!$A$6:$A$16,1))</f>
        <v>5.5</v>
      </c>
      <c r="J107" s="24" t="n">
        <f aca="false">H107/3600/I107</f>
        <v>0.190808080808081</v>
      </c>
      <c r="K107" s="21" t="n">
        <f aca="false">IF(H107&lt;=2000,Hypothèses!$B$23,IF(H107&lt;=4000,Hypothèses!$B$24,Hypothèses!$B$25))</f>
        <v>300</v>
      </c>
      <c r="L107" s="21" t="n">
        <f aca="false">MAX(Hypothèses!$B$26,CEILING(J107/(K107/1000)*1000,Hypothèses!$B$27))</f>
        <v>650</v>
      </c>
      <c r="M107" s="24" t="n">
        <f aca="false">L107*K107/1000000</f>
        <v>0.195</v>
      </c>
      <c r="N107" s="25" t="n">
        <f aca="false">H107/3600/M107</f>
        <v>5.38176638176638</v>
      </c>
      <c r="O107" s="21" t="str">
        <f aca="false">IF(N107&lt;=I107,"oui","NON")</f>
        <v>oui</v>
      </c>
      <c r="P107" s="24" t="n">
        <f aca="false">1.3*((L107/1000)*(K107/1000))^0.625/((L107/1000)+(K107/1000))^0.25</f>
        <v>0.474006266364055</v>
      </c>
      <c r="Q107" s="26" t="n">
        <f aca="false">N107*P107/Hypothèses!$B$20</f>
        <v>170066.065937645</v>
      </c>
      <c r="R107" s="27" t="n">
        <f aca="false">0.25/(LOG10(Hypothèses!$B$21/(3.7*P107)+5.74/Q107^0.9))^2</f>
        <v>0.0182303615720055</v>
      </c>
      <c r="S107" s="25" t="n">
        <f aca="false">R107/P107*Hypothèses!$B$19*N107^2/2</f>
        <v>0.668362588811134</v>
      </c>
      <c r="T107" s="23" t="n">
        <f aca="false">S107*G107*(1+Hypothèses!$B$22)</f>
        <v>3.19811498746128</v>
      </c>
      <c r="U107" s="5"/>
      <c r="V107" s="21" t="str">
        <f aca="false">IF(K107&lt;=Hypothèses!$B$28-100,"oui","NON")</f>
        <v>oui</v>
      </c>
    </row>
    <row r="108" customFormat="false" ht="15" hidden="false" customHeight="false" outlineLevel="0" collapsed="false">
      <c r="A108" s="21" t="s">
        <v>22</v>
      </c>
      <c r="B108" s="21" t="s">
        <v>207</v>
      </c>
      <c r="C108" s="21" t="s">
        <v>94</v>
      </c>
      <c r="D108" s="21" t="s">
        <v>97</v>
      </c>
      <c r="E108" s="21" t="s">
        <v>85</v>
      </c>
      <c r="F108" s="21" t="s">
        <v>208</v>
      </c>
      <c r="G108" s="22" t="n">
        <v>0.5</v>
      </c>
      <c r="H108" s="6" t="n">
        <v>3703</v>
      </c>
      <c r="I108" s="23" t="n">
        <f aca="false">INDEX(Hypothèses!$C$6:$C$16,MATCH(H108,Hypothèses!$A$6:$A$16,1))</f>
        <v>5.5</v>
      </c>
      <c r="J108" s="24" t="n">
        <f aca="false">H108/3600/I108</f>
        <v>0.187020202020202</v>
      </c>
      <c r="K108" s="21" t="n">
        <f aca="false">IF(H108&lt;=2000,Hypothèses!$B$23,IF(H108&lt;=4000,Hypothèses!$B$24,Hypothèses!$B$25))</f>
        <v>300</v>
      </c>
      <c r="L108" s="21" t="n">
        <f aca="false">MAX(Hypothèses!$B$26,CEILING(J108/(K108/1000)*1000,Hypothèses!$B$27))</f>
        <v>650</v>
      </c>
      <c r="M108" s="24" t="n">
        <f aca="false">L108*K108/1000000</f>
        <v>0.195</v>
      </c>
      <c r="N108" s="25" t="n">
        <f aca="false">H108/3600/M108</f>
        <v>5.27492877492877</v>
      </c>
      <c r="O108" s="21" t="str">
        <f aca="false">IF(N108&lt;=I108,"oui","NON")</f>
        <v>oui</v>
      </c>
      <c r="P108" s="24" t="n">
        <f aca="false">1.3*((L108/1000)*(K108/1000))^0.625/((L108/1000)+(K108/1000))^0.25</f>
        <v>0.474006266364055</v>
      </c>
      <c r="Q108" s="26" t="n">
        <f aca="false">N108*P108/Hypothèses!$B$20</f>
        <v>166689.952929354</v>
      </c>
      <c r="R108" s="27" t="n">
        <f aca="false">0.25/(LOG10(Hypothèses!$B$21/(3.7*P108)+5.74/Q108^0.9))^2</f>
        <v>0.0182744592039994</v>
      </c>
      <c r="S108" s="25" t="n">
        <f aca="false">R108/P108*Hypothèses!$B$19*N108^2/2</f>
        <v>0.643642778402502</v>
      </c>
      <c r="T108" s="23" t="n">
        <f aca="false">S108*G108*(1+Hypothèses!$B$22)</f>
        <v>0.482732083801877</v>
      </c>
      <c r="U108" s="5"/>
      <c r="V108" s="21" t="str">
        <f aca="false">IF(K108&lt;=Hypothèses!$B$28-100,"oui","NON")</f>
        <v>oui</v>
      </c>
    </row>
    <row r="109" customFormat="false" ht="15" hidden="false" customHeight="false" outlineLevel="0" collapsed="false">
      <c r="A109" s="21" t="s">
        <v>22</v>
      </c>
      <c r="B109" s="21" t="s">
        <v>209</v>
      </c>
      <c r="C109" s="21" t="s">
        <v>94</v>
      </c>
      <c r="D109" s="21" t="s">
        <v>97</v>
      </c>
      <c r="E109" s="21" t="s">
        <v>85</v>
      </c>
      <c r="F109" s="21" t="s">
        <v>210</v>
      </c>
      <c r="G109" s="22" t="n">
        <v>4.61</v>
      </c>
      <c r="H109" s="6" t="n">
        <v>3628</v>
      </c>
      <c r="I109" s="23" t="n">
        <f aca="false">INDEX(Hypothèses!$C$6:$C$16,MATCH(H109,Hypothèses!$A$6:$A$16,1))</f>
        <v>5.5</v>
      </c>
      <c r="J109" s="24" t="n">
        <f aca="false">H109/3600/I109</f>
        <v>0.183232323232323</v>
      </c>
      <c r="K109" s="21" t="n">
        <f aca="false">IF(H109&lt;=2000,Hypothèses!$B$23,IF(H109&lt;=4000,Hypothèses!$B$24,Hypothèses!$B$25))</f>
        <v>300</v>
      </c>
      <c r="L109" s="21" t="n">
        <f aca="false">MAX(Hypothèses!$B$26,CEILING(J109/(K109/1000)*1000,Hypothèses!$B$27))</f>
        <v>650</v>
      </c>
      <c r="M109" s="24" t="n">
        <f aca="false">L109*K109/1000000</f>
        <v>0.195</v>
      </c>
      <c r="N109" s="25" t="n">
        <f aca="false">H109/3600/M109</f>
        <v>5.16809116809117</v>
      </c>
      <c r="O109" s="21" t="str">
        <f aca="false">IF(N109&lt;=I109,"oui","NON")</f>
        <v>oui</v>
      </c>
      <c r="P109" s="24" t="n">
        <f aca="false">1.3*((L109/1000)*(K109/1000))^0.625/((L109/1000)+(K109/1000))^0.25</f>
        <v>0.474006266364055</v>
      </c>
      <c r="Q109" s="26" t="n">
        <f aca="false">N109*P109/Hypothèses!$B$20</f>
        <v>163313.839921063</v>
      </c>
      <c r="R109" s="27" t="n">
        <f aca="false">0.25/(LOG10(Hypothèses!$B$21/(3.7*P109)+5.74/Q109^0.9))^2</f>
        <v>0.01831997823634</v>
      </c>
      <c r="S109" s="25" t="n">
        <f aca="false">R109/P109*Hypothèses!$B$19*N109^2/2</f>
        <v>0.619373262059648</v>
      </c>
      <c r="T109" s="23" t="n">
        <f aca="false">S109*G109*(1+Hypothèses!$B$22)</f>
        <v>4.28296610714247</v>
      </c>
      <c r="U109" s="5"/>
      <c r="V109" s="21" t="str">
        <f aca="false">IF(K109&lt;=Hypothèses!$B$28-100,"oui","NON")</f>
        <v>oui</v>
      </c>
    </row>
    <row r="110" customFormat="false" ht="15" hidden="false" customHeight="false" outlineLevel="0" collapsed="false">
      <c r="A110" s="21" t="s">
        <v>22</v>
      </c>
      <c r="B110" s="21" t="s">
        <v>211</v>
      </c>
      <c r="C110" s="21" t="s">
        <v>94</v>
      </c>
      <c r="D110" s="21" t="s">
        <v>97</v>
      </c>
      <c r="E110" s="21" t="s">
        <v>85</v>
      </c>
      <c r="F110" s="21" t="s">
        <v>212</v>
      </c>
      <c r="G110" s="22" t="n">
        <v>0.06</v>
      </c>
      <c r="H110" s="6" t="n">
        <v>3394</v>
      </c>
      <c r="I110" s="23" t="n">
        <f aca="false">INDEX(Hypothèses!$C$6:$C$16,MATCH(H110,Hypothèses!$A$6:$A$16,1))</f>
        <v>5.5</v>
      </c>
      <c r="J110" s="24" t="n">
        <f aca="false">H110/3600/I110</f>
        <v>0.171414141414141</v>
      </c>
      <c r="K110" s="21" t="n">
        <f aca="false">IF(H110&lt;=2000,Hypothèses!$B$23,IF(H110&lt;=4000,Hypothèses!$B$24,Hypothèses!$B$25))</f>
        <v>300</v>
      </c>
      <c r="L110" s="21" t="n">
        <f aca="false">MAX(Hypothèses!$B$26,CEILING(J110/(K110/1000)*1000,Hypothèses!$B$27))</f>
        <v>600</v>
      </c>
      <c r="M110" s="24" t="n">
        <f aca="false">L110*K110/1000000</f>
        <v>0.18</v>
      </c>
      <c r="N110" s="25" t="n">
        <f aca="false">H110/3600/M110</f>
        <v>5.23765432098766</v>
      </c>
      <c r="O110" s="21" t="str">
        <f aca="false">IF(N110&lt;=I110,"oui","NON")</f>
        <v>oui</v>
      </c>
      <c r="P110" s="24" t="n">
        <f aca="false">1.3*((L110/1000)*(K110/1000))^0.625/((L110/1000)+(K110/1000))^0.25</f>
        <v>0.457012459777829</v>
      </c>
      <c r="Q110" s="26" t="n">
        <f aca="false">N110*P110/Hypothèses!$B$20</f>
        <v>159578.218980036</v>
      </c>
      <c r="R110" s="27" t="n">
        <f aca="false">0.25/(LOG10(Hypothèses!$B$21/(3.7*P110)+5.74/Q110^0.9))^2</f>
        <v>0.0184389604950212</v>
      </c>
      <c r="S110" s="25" t="n">
        <f aca="false">R110/P110*Hypothèses!$B$19*N110^2/2</f>
        <v>0.66409973635153</v>
      </c>
      <c r="T110" s="23" t="n">
        <f aca="false">S110*G110*(1+Hypothèses!$B$22)</f>
        <v>0.0597689762716377</v>
      </c>
      <c r="U110" s="5"/>
      <c r="V110" s="21" t="str">
        <f aca="false">IF(K110&lt;=Hypothèses!$B$28-100,"oui","NON")</f>
        <v>oui</v>
      </c>
    </row>
    <row r="111" customFormat="false" ht="15" hidden="false" customHeight="false" outlineLevel="0" collapsed="false">
      <c r="A111" s="21" t="s">
        <v>22</v>
      </c>
      <c r="B111" s="21" t="s">
        <v>213</v>
      </c>
      <c r="C111" s="21" t="s">
        <v>94</v>
      </c>
      <c r="D111" s="21" t="s">
        <v>97</v>
      </c>
      <c r="E111" s="21" t="s">
        <v>85</v>
      </c>
      <c r="F111" s="21" t="s">
        <v>214</v>
      </c>
      <c r="G111" s="22" t="n">
        <v>3.73</v>
      </c>
      <c r="H111" s="6" t="n">
        <v>3344</v>
      </c>
      <c r="I111" s="23" t="n">
        <f aca="false">INDEX(Hypothèses!$C$6:$C$16,MATCH(H111,Hypothèses!$A$6:$A$16,1))</f>
        <v>5.5</v>
      </c>
      <c r="J111" s="24" t="n">
        <f aca="false">H111/3600/I111</f>
        <v>0.168888888888889</v>
      </c>
      <c r="K111" s="21" t="n">
        <f aca="false">IF(H111&lt;=2000,Hypothèses!$B$23,IF(H111&lt;=4000,Hypothèses!$B$24,Hypothèses!$B$25))</f>
        <v>300</v>
      </c>
      <c r="L111" s="21" t="n">
        <f aca="false">MAX(Hypothèses!$B$26,CEILING(J111/(K111/1000)*1000,Hypothèses!$B$27))</f>
        <v>600</v>
      </c>
      <c r="M111" s="24" t="n">
        <f aca="false">L111*K111/1000000</f>
        <v>0.18</v>
      </c>
      <c r="N111" s="25" t="n">
        <f aca="false">H111/3600/M111</f>
        <v>5.16049382716049</v>
      </c>
      <c r="O111" s="21" t="str">
        <f aca="false">IF(N111&lt;=I111,"oui","NON")</f>
        <v>oui</v>
      </c>
      <c r="P111" s="24" t="n">
        <f aca="false">1.3*((L111/1000)*(K111/1000))^0.625/((L111/1000)+(K111/1000))^0.25</f>
        <v>0.457012459777829</v>
      </c>
      <c r="Q111" s="26" t="n">
        <f aca="false">N111*P111/Hypothèses!$B$20</f>
        <v>157227.331841261</v>
      </c>
      <c r="R111" s="27" t="n">
        <f aca="false">0.25/(LOG10(Hypothèses!$B$21/(3.7*P111)+5.74/Q111^0.9))^2</f>
        <v>0.0184724094173898</v>
      </c>
      <c r="S111" s="25" t="n">
        <f aca="false">R111/P111*Hypothèses!$B$19*N111^2/2</f>
        <v>0.645846456526736</v>
      </c>
      <c r="T111" s="23" t="n">
        <f aca="false">S111*G111*(1+Hypothèses!$B$22)</f>
        <v>3.61351092426709</v>
      </c>
      <c r="U111" s="5"/>
      <c r="V111" s="21" t="str">
        <f aca="false">IF(K111&lt;=Hypothèses!$B$28-100,"oui","NON")</f>
        <v>oui</v>
      </c>
    </row>
    <row r="112" customFormat="false" ht="15" hidden="false" customHeight="false" outlineLevel="0" collapsed="false">
      <c r="A112" s="21" t="s">
        <v>22</v>
      </c>
      <c r="B112" s="21" t="s">
        <v>215</v>
      </c>
      <c r="C112" s="21" t="s">
        <v>94</v>
      </c>
      <c r="D112" s="21" t="s">
        <v>97</v>
      </c>
      <c r="E112" s="21" t="s">
        <v>85</v>
      </c>
      <c r="F112" s="21" t="s">
        <v>216</v>
      </c>
      <c r="G112" s="22" t="n">
        <v>0.24</v>
      </c>
      <c r="H112" s="6" t="n">
        <v>3269</v>
      </c>
      <c r="I112" s="23" t="n">
        <f aca="false">INDEX(Hypothèses!$C$6:$C$16,MATCH(H112,Hypothèses!$A$6:$A$16,1))</f>
        <v>5.5</v>
      </c>
      <c r="J112" s="24" t="n">
        <f aca="false">H112/3600/I112</f>
        <v>0.16510101010101</v>
      </c>
      <c r="K112" s="21" t="n">
        <f aca="false">IF(H112&lt;=2000,Hypothèses!$B$23,IF(H112&lt;=4000,Hypothèses!$B$24,Hypothèses!$B$25))</f>
        <v>300</v>
      </c>
      <c r="L112" s="21" t="n">
        <f aca="false">MAX(Hypothèses!$B$26,CEILING(J112/(K112/1000)*1000,Hypothèses!$B$27))</f>
        <v>600</v>
      </c>
      <c r="M112" s="24" t="n">
        <f aca="false">L112*K112/1000000</f>
        <v>0.18</v>
      </c>
      <c r="N112" s="25" t="n">
        <f aca="false">H112/3600/M112</f>
        <v>5.04475308641975</v>
      </c>
      <c r="O112" s="21" t="str">
        <f aca="false">IF(N112&lt;=I112,"oui","NON")</f>
        <v>oui</v>
      </c>
      <c r="P112" s="24" t="n">
        <f aca="false">1.3*((L112/1000)*(K112/1000))^0.625/((L112/1000)+(K112/1000))^0.25</f>
        <v>0.457012459777829</v>
      </c>
      <c r="Q112" s="26" t="n">
        <f aca="false">N112*P112/Hypothèses!$B$20</f>
        <v>153701.001133099</v>
      </c>
      <c r="R112" s="27" t="n">
        <f aca="false">0.25/(LOG10(Hypothèses!$B$21/(3.7*P112)+5.74/Q112^0.9))^2</f>
        <v>0.0185240770417572</v>
      </c>
      <c r="S112" s="25" t="n">
        <f aca="false">R112/P112*Hypothèses!$B$19*N112^2/2</f>
        <v>0.618927269360576</v>
      </c>
      <c r="T112" s="23" t="n">
        <f aca="false">S112*G112*(1+Hypothèses!$B$22)</f>
        <v>0.222813816969807</v>
      </c>
      <c r="U112" s="5"/>
      <c r="V112" s="21" t="str">
        <f aca="false">IF(K112&lt;=Hypothèses!$B$28-100,"oui","NON")</f>
        <v>oui</v>
      </c>
    </row>
    <row r="113" customFormat="false" ht="15" hidden="false" customHeight="false" outlineLevel="0" collapsed="false">
      <c r="A113" s="21" t="s">
        <v>22</v>
      </c>
      <c r="B113" s="21" t="s">
        <v>217</v>
      </c>
      <c r="C113" s="21" t="s">
        <v>94</v>
      </c>
      <c r="D113" s="21" t="s">
        <v>97</v>
      </c>
      <c r="E113" s="21" t="s">
        <v>85</v>
      </c>
      <c r="F113" s="21" t="s">
        <v>218</v>
      </c>
      <c r="G113" s="22" t="n">
        <v>1.62</v>
      </c>
      <c r="H113" s="6" t="n">
        <v>3219</v>
      </c>
      <c r="I113" s="23" t="n">
        <f aca="false">INDEX(Hypothèses!$C$6:$C$16,MATCH(H113,Hypothèses!$A$6:$A$16,1))</f>
        <v>5.5</v>
      </c>
      <c r="J113" s="24" t="n">
        <f aca="false">H113/3600/I113</f>
        <v>0.162575757575758</v>
      </c>
      <c r="K113" s="21" t="n">
        <f aca="false">IF(H113&lt;=2000,Hypothèses!$B$23,IF(H113&lt;=4000,Hypothèses!$B$24,Hypothèses!$B$25))</f>
        <v>300</v>
      </c>
      <c r="L113" s="21" t="n">
        <f aca="false">MAX(Hypothèses!$B$26,CEILING(J113/(K113/1000)*1000,Hypothèses!$B$27))</f>
        <v>550</v>
      </c>
      <c r="M113" s="24" t="n">
        <f aca="false">L113*K113/1000000</f>
        <v>0.165</v>
      </c>
      <c r="N113" s="25" t="n">
        <f aca="false">H113/3600/M113</f>
        <v>5.41919191919192</v>
      </c>
      <c r="O113" s="21" t="str">
        <f aca="false">IF(N113&lt;=I113,"oui","NON")</f>
        <v>oui</v>
      </c>
      <c r="P113" s="24" t="n">
        <f aca="false">1.3*((L113/1000)*(K113/1000))^0.625/((L113/1000)+(K113/1000))^0.25</f>
        <v>0.439052127572127</v>
      </c>
      <c r="Q113" s="26" t="n">
        <f aca="false">N113*P113/Hypothèses!$B$20</f>
        <v>158620.516122859</v>
      </c>
      <c r="R113" s="27" t="n">
        <f aca="false">0.25/(LOG10(Hypothèses!$B$21/(3.7*P113)+5.74/Q113^0.9))^2</f>
        <v>0.0185278400113118</v>
      </c>
      <c r="S113" s="25" t="n">
        <f aca="false">R113/P113*Hypothèses!$B$19*N113^2/2</f>
        <v>0.743582259386714</v>
      </c>
      <c r="T113" s="23" t="n">
        <f aca="false">S113*G113*(1+Hypothèses!$B$22)</f>
        <v>1.80690489030971</v>
      </c>
      <c r="U113" s="5"/>
      <c r="V113" s="21" t="str">
        <f aca="false">IF(K113&lt;=Hypothèses!$B$28-100,"oui","NON")</f>
        <v>oui</v>
      </c>
    </row>
    <row r="114" customFormat="false" ht="15" hidden="false" customHeight="false" outlineLevel="0" collapsed="false">
      <c r="A114" s="21" t="s">
        <v>22</v>
      </c>
      <c r="B114" s="21" t="s">
        <v>219</v>
      </c>
      <c r="C114" s="21" t="s">
        <v>94</v>
      </c>
      <c r="D114" s="21" t="s">
        <v>97</v>
      </c>
      <c r="E114" s="21" t="s">
        <v>85</v>
      </c>
      <c r="F114" s="21" t="s">
        <v>220</v>
      </c>
      <c r="G114" s="22" t="n">
        <v>2.35</v>
      </c>
      <c r="H114" s="6" t="n">
        <v>3119</v>
      </c>
      <c r="I114" s="23" t="n">
        <f aca="false">INDEX(Hypothèses!$C$6:$C$16,MATCH(H114,Hypothèses!$A$6:$A$16,1))</f>
        <v>5.5</v>
      </c>
      <c r="J114" s="24" t="n">
        <f aca="false">H114/3600/I114</f>
        <v>0.157525252525253</v>
      </c>
      <c r="K114" s="21" t="n">
        <f aca="false">IF(H114&lt;=2000,Hypothèses!$B$23,IF(H114&lt;=4000,Hypothèses!$B$24,Hypothèses!$B$25))</f>
        <v>300</v>
      </c>
      <c r="L114" s="21" t="n">
        <f aca="false">MAX(Hypothèses!$B$26,CEILING(J114/(K114/1000)*1000,Hypothèses!$B$27))</f>
        <v>550</v>
      </c>
      <c r="M114" s="24" t="n">
        <f aca="false">L114*K114/1000000</f>
        <v>0.165</v>
      </c>
      <c r="N114" s="25" t="n">
        <f aca="false">H114/3600/M114</f>
        <v>5.25084175084175</v>
      </c>
      <c r="O114" s="21" t="str">
        <f aca="false">IF(N114&lt;=I114,"oui","NON")</f>
        <v>oui</v>
      </c>
      <c r="P114" s="24" t="n">
        <f aca="false">1.3*((L114/1000)*(K114/1000))^0.625/((L114/1000)+(K114/1000))^0.25</f>
        <v>0.439052127572127</v>
      </c>
      <c r="Q114" s="26" t="n">
        <f aca="false">N114*P114/Hypothèses!$B$20</f>
        <v>153692.882816775</v>
      </c>
      <c r="R114" s="27" t="n">
        <f aca="false">0.25/(LOG10(Hypothèses!$B$21/(3.7*P114)+5.74/Q114^0.9))^2</f>
        <v>0.0185987575265573</v>
      </c>
      <c r="S114" s="25" t="n">
        <f aca="false">R114/P114*Hypothèses!$B$19*N114^2/2</f>
        <v>0.700772347872263</v>
      </c>
      <c r="T114" s="23" t="n">
        <f aca="false">S114*G114*(1+Hypothèses!$B$22)</f>
        <v>2.47022252624973</v>
      </c>
      <c r="U114" s="5"/>
      <c r="V114" s="21" t="str">
        <f aca="false">IF(K114&lt;=Hypothèses!$B$28-100,"oui","NON")</f>
        <v>oui</v>
      </c>
    </row>
    <row r="115" customFormat="false" ht="15" hidden="false" customHeight="false" outlineLevel="0" collapsed="false">
      <c r="A115" s="21" t="s">
        <v>22</v>
      </c>
      <c r="B115" s="21" t="s">
        <v>221</v>
      </c>
      <c r="C115" s="21" t="s">
        <v>94</v>
      </c>
      <c r="D115" s="21" t="s">
        <v>97</v>
      </c>
      <c r="E115" s="21" t="s">
        <v>85</v>
      </c>
      <c r="F115" s="21" t="s">
        <v>222</v>
      </c>
      <c r="G115" s="22" t="n">
        <v>1.03</v>
      </c>
      <c r="H115" s="6" t="n">
        <v>3117</v>
      </c>
      <c r="I115" s="23" t="n">
        <f aca="false">INDEX(Hypothèses!$C$6:$C$16,MATCH(H115,Hypothèses!$A$6:$A$16,1))</f>
        <v>5.5</v>
      </c>
      <c r="J115" s="24" t="n">
        <f aca="false">H115/3600/I115</f>
        <v>0.157424242424242</v>
      </c>
      <c r="K115" s="21" t="n">
        <f aca="false">IF(H115&lt;=2000,Hypothèses!$B$23,IF(H115&lt;=4000,Hypothèses!$B$24,Hypothèses!$B$25))</f>
        <v>300</v>
      </c>
      <c r="L115" s="21" t="n">
        <f aca="false">MAX(Hypothèses!$B$26,CEILING(J115/(K115/1000)*1000,Hypothèses!$B$27))</f>
        <v>550</v>
      </c>
      <c r="M115" s="24" t="n">
        <f aca="false">L115*K115/1000000</f>
        <v>0.165</v>
      </c>
      <c r="N115" s="25" t="n">
        <f aca="false">H115/3600/M115</f>
        <v>5.24747474747475</v>
      </c>
      <c r="O115" s="21" t="str">
        <f aca="false">IF(N115&lt;=I115,"oui","NON")</f>
        <v>oui</v>
      </c>
      <c r="P115" s="24" t="n">
        <f aca="false">1.3*((L115/1000)*(K115/1000))^0.625/((L115/1000)+(K115/1000))^0.25</f>
        <v>0.439052127572127</v>
      </c>
      <c r="Q115" s="26" t="n">
        <f aca="false">N115*P115/Hypothèses!$B$20</f>
        <v>153594.330150653</v>
      </c>
      <c r="R115" s="27" t="n">
        <f aca="false">0.25/(LOG10(Hypothèses!$B$21/(3.7*P115)+5.74/Q115^0.9))^2</f>
        <v>0.0186002122137158</v>
      </c>
      <c r="S115" s="25" t="n">
        <f aca="false">R115/P115*Hypothèses!$B$19*N115^2/2</f>
        <v>0.699928661964687</v>
      </c>
      <c r="T115" s="23" t="n">
        <f aca="false">S115*G115*(1+Hypothèses!$B$22)</f>
        <v>1.08138978273544</v>
      </c>
      <c r="U115" s="5"/>
      <c r="V115" s="21" t="str">
        <f aca="false">IF(K115&lt;=Hypothèses!$B$28-100,"oui","NON")</f>
        <v>oui</v>
      </c>
    </row>
    <row r="116" customFormat="false" ht="15" hidden="false" customHeight="false" outlineLevel="0" collapsed="false">
      <c r="A116" s="21" t="s">
        <v>22</v>
      </c>
      <c r="B116" s="21" t="s">
        <v>223</v>
      </c>
      <c r="C116" s="21" t="s">
        <v>94</v>
      </c>
      <c r="D116" s="21" t="s">
        <v>97</v>
      </c>
      <c r="E116" s="21" t="s">
        <v>85</v>
      </c>
      <c r="F116" s="21"/>
      <c r="G116" s="22" t="n">
        <v>0.98</v>
      </c>
      <c r="H116" s="6" t="n">
        <v>3067</v>
      </c>
      <c r="I116" s="23" t="n">
        <f aca="false">INDEX(Hypothèses!$C$6:$C$16,MATCH(H116,Hypothèses!$A$6:$A$16,1))</f>
        <v>5.5</v>
      </c>
      <c r="J116" s="24" t="n">
        <f aca="false">H116/3600/I116</f>
        <v>0.15489898989899</v>
      </c>
      <c r="K116" s="21" t="n">
        <f aca="false">IF(H116&lt;=2000,Hypothèses!$B$23,IF(H116&lt;=4000,Hypothèses!$B$24,Hypothèses!$B$25))</f>
        <v>300</v>
      </c>
      <c r="L116" s="21" t="n">
        <f aca="false">MAX(Hypothèses!$B$26,CEILING(J116/(K116/1000)*1000,Hypothèses!$B$27))</f>
        <v>550</v>
      </c>
      <c r="M116" s="24" t="n">
        <f aca="false">L116*K116/1000000</f>
        <v>0.165</v>
      </c>
      <c r="N116" s="25" t="n">
        <f aca="false">H116/3600/M116</f>
        <v>5.16329966329966</v>
      </c>
      <c r="O116" s="21" t="str">
        <f aca="false">IF(N116&lt;=I116,"oui","NON")</f>
        <v>oui</v>
      </c>
      <c r="P116" s="24" t="n">
        <f aca="false">1.3*((L116/1000)*(K116/1000))^0.625/((L116/1000)+(K116/1000))^0.25</f>
        <v>0.439052127572127</v>
      </c>
      <c r="Q116" s="26" t="n">
        <f aca="false">N116*P116/Hypothèses!$B$20</f>
        <v>151130.513497611</v>
      </c>
      <c r="R116" s="27" t="n">
        <f aca="false">0.25/(LOG10(Hypothèses!$B$21/(3.7*P116)+5.74/Q116^0.9))^2</f>
        <v>0.0186370615262089</v>
      </c>
      <c r="S116" s="25" t="n">
        <f aca="false">R116/P116*Hypothèses!$B$19*N116^2/2</f>
        <v>0.67899607735992</v>
      </c>
      <c r="T116" s="23" t="n">
        <f aca="false">S116*G116*(1+Hypothèses!$B$22)</f>
        <v>0.998124233719083</v>
      </c>
      <c r="U116" s="5"/>
      <c r="V116" s="21" t="str">
        <f aca="false">IF(K116&lt;=Hypothèses!$B$28-100,"oui","NON")</f>
        <v>oui</v>
      </c>
    </row>
    <row r="117" customFormat="false" ht="15" hidden="false" customHeight="false" outlineLevel="0" collapsed="false">
      <c r="A117" s="21" t="s">
        <v>22</v>
      </c>
      <c r="B117" s="21" t="s">
        <v>224</v>
      </c>
      <c r="C117" s="21" t="s">
        <v>94</v>
      </c>
      <c r="D117" s="21" t="s">
        <v>97</v>
      </c>
      <c r="E117" s="21" t="s">
        <v>85</v>
      </c>
      <c r="F117" s="21" t="s">
        <v>225</v>
      </c>
      <c r="G117" s="22" t="n">
        <v>5.58</v>
      </c>
      <c r="H117" s="6" t="n">
        <v>3067</v>
      </c>
      <c r="I117" s="23" t="n">
        <f aca="false">INDEX(Hypothèses!$C$6:$C$16,MATCH(H117,Hypothèses!$A$6:$A$16,1))</f>
        <v>5.5</v>
      </c>
      <c r="J117" s="24" t="n">
        <f aca="false">H117/3600/I117</f>
        <v>0.15489898989899</v>
      </c>
      <c r="K117" s="21" t="n">
        <f aca="false">IF(H117&lt;=2000,Hypothèses!$B$23,IF(H117&lt;=4000,Hypothèses!$B$24,Hypothèses!$B$25))</f>
        <v>300</v>
      </c>
      <c r="L117" s="21" t="n">
        <f aca="false">MAX(Hypothèses!$B$26,CEILING(J117/(K117/1000)*1000,Hypothèses!$B$27))</f>
        <v>550</v>
      </c>
      <c r="M117" s="24" t="n">
        <f aca="false">L117*K117/1000000</f>
        <v>0.165</v>
      </c>
      <c r="N117" s="25" t="n">
        <f aca="false">H117/3600/M117</f>
        <v>5.16329966329966</v>
      </c>
      <c r="O117" s="21" t="str">
        <f aca="false">IF(N117&lt;=I117,"oui","NON")</f>
        <v>oui</v>
      </c>
      <c r="P117" s="24" t="n">
        <f aca="false">1.3*((L117/1000)*(K117/1000))^0.625/((L117/1000)+(K117/1000))^0.25</f>
        <v>0.439052127572127</v>
      </c>
      <c r="Q117" s="26" t="n">
        <f aca="false">N117*P117/Hypothèses!$B$20</f>
        <v>151130.513497611</v>
      </c>
      <c r="R117" s="27" t="n">
        <f aca="false">0.25/(LOG10(Hypothèses!$B$21/(3.7*P117)+5.74/Q117^0.9))^2</f>
        <v>0.0186370615262089</v>
      </c>
      <c r="S117" s="25" t="n">
        <f aca="false">R117/P117*Hypothèses!$B$19*N117^2/2</f>
        <v>0.67899607735992</v>
      </c>
      <c r="T117" s="23" t="n">
        <f aca="false">S117*G117*(1+Hypothèses!$B$22)</f>
        <v>5.68319716750253</v>
      </c>
      <c r="U117" s="5"/>
      <c r="V117" s="21" t="str">
        <f aca="false">IF(K117&lt;=Hypothèses!$B$28-100,"oui","NON")</f>
        <v>oui</v>
      </c>
    </row>
    <row r="118" customFormat="false" ht="15" hidden="false" customHeight="false" outlineLevel="0" collapsed="false">
      <c r="A118" s="21" t="s">
        <v>22</v>
      </c>
      <c r="B118" s="21" t="s">
        <v>226</v>
      </c>
      <c r="C118" s="21" t="s">
        <v>94</v>
      </c>
      <c r="D118" s="21" t="s">
        <v>97</v>
      </c>
      <c r="E118" s="21" t="s">
        <v>85</v>
      </c>
      <c r="F118" s="21" t="s">
        <v>227</v>
      </c>
      <c r="G118" s="22" t="n">
        <v>3.69</v>
      </c>
      <c r="H118" s="6" t="n">
        <v>2856</v>
      </c>
      <c r="I118" s="23" t="n">
        <f aca="false">INDEX(Hypothèses!$C$6:$C$16,MATCH(H118,Hypothèses!$A$6:$A$16,1))</f>
        <v>5.5</v>
      </c>
      <c r="J118" s="24" t="n">
        <f aca="false">H118/3600/I118</f>
        <v>0.144242424242424</v>
      </c>
      <c r="K118" s="21" t="n">
        <f aca="false">IF(H118&lt;=2000,Hypothèses!$B$23,IF(H118&lt;=4000,Hypothèses!$B$24,Hypothèses!$B$25))</f>
        <v>300</v>
      </c>
      <c r="L118" s="21" t="n">
        <f aca="false">MAX(Hypothèses!$B$26,CEILING(J118/(K118/1000)*1000,Hypothèses!$B$27))</f>
        <v>500</v>
      </c>
      <c r="M118" s="24" t="n">
        <f aca="false">L118*K118/1000000</f>
        <v>0.15</v>
      </c>
      <c r="N118" s="25" t="n">
        <f aca="false">H118/3600/M118</f>
        <v>5.28888888888889</v>
      </c>
      <c r="O118" s="21" t="str">
        <f aca="false">IF(N118&lt;=I118,"oui","NON")</f>
        <v>oui</v>
      </c>
      <c r="P118" s="24" t="n">
        <f aca="false">1.3*((L118/1000)*(K118/1000))^0.625/((L118/1000)+(K118/1000))^0.25</f>
        <v>0.419979306877563</v>
      </c>
      <c r="Q118" s="26" t="n">
        <f aca="false">N118*P118/Hypothèses!$B$20</f>
        <v>148081.5926472</v>
      </c>
      <c r="R118" s="27" t="n">
        <f aca="false">0.25/(LOG10(Hypothèses!$B$21/(3.7*P118)+5.74/Q118^0.9))^2</f>
        <v>0.0187681041153355</v>
      </c>
      <c r="S118" s="25" t="n">
        <f aca="false">R118/P118*Hypothèses!$B$19*N118^2/2</f>
        <v>0.750019661621438</v>
      </c>
      <c r="T118" s="23" t="n">
        <f aca="false">S118*G118*(1+Hypothèses!$B$22)</f>
        <v>4.15135882707466</v>
      </c>
      <c r="U118" s="5"/>
      <c r="V118" s="21" t="str">
        <f aca="false">IF(K118&lt;=Hypothèses!$B$28-100,"oui","NON")</f>
        <v>oui</v>
      </c>
    </row>
    <row r="119" customFormat="false" ht="15" hidden="false" customHeight="false" outlineLevel="0" collapsed="false">
      <c r="A119" s="21" t="s">
        <v>22</v>
      </c>
      <c r="B119" s="21" t="s">
        <v>228</v>
      </c>
      <c r="C119" s="21" t="s">
        <v>94</v>
      </c>
      <c r="D119" s="21" t="s">
        <v>97</v>
      </c>
      <c r="E119" s="21" t="s">
        <v>85</v>
      </c>
      <c r="F119" s="21" t="s">
        <v>229</v>
      </c>
      <c r="G119" s="22" t="n">
        <v>3.94</v>
      </c>
      <c r="H119" s="6" t="n">
        <v>2727</v>
      </c>
      <c r="I119" s="23" t="n">
        <f aca="false">INDEX(Hypothèses!$C$6:$C$16,MATCH(H119,Hypothèses!$A$6:$A$16,1))</f>
        <v>5.5</v>
      </c>
      <c r="J119" s="24" t="n">
        <f aca="false">H119/3600/I119</f>
        <v>0.137727272727273</v>
      </c>
      <c r="K119" s="21" t="n">
        <f aca="false">IF(H119&lt;=2000,Hypothèses!$B$23,IF(H119&lt;=4000,Hypothèses!$B$24,Hypothèses!$B$25))</f>
        <v>300</v>
      </c>
      <c r="L119" s="21" t="n">
        <f aca="false">MAX(Hypothèses!$B$26,CEILING(J119/(K119/1000)*1000,Hypothèses!$B$27))</f>
        <v>500</v>
      </c>
      <c r="M119" s="24" t="n">
        <f aca="false">L119*K119/1000000</f>
        <v>0.15</v>
      </c>
      <c r="N119" s="25" t="n">
        <f aca="false">H119/3600/M119</f>
        <v>5.05</v>
      </c>
      <c r="O119" s="21" t="str">
        <f aca="false">IF(N119&lt;=I119,"oui","NON")</f>
        <v>oui</v>
      </c>
      <c r="P119" s="24" t="n">
        <f aca="false">1.3*((L119/1000)*(K119/1000))^0.625/((L119/1000)+(K119/1000))^0.25</f>
        <v>0.419979306877563</v>
      </c>
      <c r="Q119" s="26" t="n">
        <f aca="false">N119*P119/Hypothèses!$B$20</f>
        <v>141393.033315446</v>
      </c>
      <c r="R119" s="27" t="n">
        <f aca="false">0.25/(LOG10(Hypothèses!$B$21/(3.7*P119)+5.74/Q119^0.9))^2</f>
        <v>0.018875244148939</v>
      </c>
      <c r="S119" s="25" t="n">
        <f aca="false">R119/P119*Hypothèses!$B$19*N119^2/2</f>
        <v>0.687699473796195</v>
      </c>
      <c r="T119" s="23" t="n">
        <f aca="false">S119*G119*(1+Hypothèses!$B$22)</f>
        <v>4.06430389013551</v>
      </c>
      <c r="U119" s="5"/>
      <c r="V119" s="21" t="str">
        <f aca="false">IF(K119&lt;=Hypothèses!$B$28-100,"oui","NON")</f>
        <v>oui</v>
      </c>
    </row>
    <row r="120" customFormat="false" ht="15" hidden="false" customHeight="false" outlineLevel="0" collapsed="false">
      <c r="A120" s="21" t="s">
        <v>22</v>
      </c>
      <c r="B120" s="21" t="s">
        <v>230</v>
      </c>
      <c r="C120" s="21" t="s">
        <v>94</v>
      </c>
      <c r="D120" s="21" t="s">
        <v>97</v>
      </c>
      <c r="E120" s="21" t="s">
        <v>85</v>
      </c>
      <c r="F120" s="21" t="s">
        <v>231</v>
      </c>
      <c r="G120" s="22" t="n">
        <v>3.03</v>
      </c>
      <c r="H120" s="6" t="n">
        <v>2722</v>
      </c>
      <c r="I120" s="23" t="n">
        <f aca="false">INDEX(Hypothèses!$C$6:$C$16,MATCH(H120,Hypothèses!$A$6:$A$16,1))</f>
        <v>5.5</v>
      </c>
      <c r="J120" s="24" t="n">
        <f aca="false">H120/3600/I120</f>
        <v>0.137474747474747</v>
      </c>
      <c r="K120" s="21" t="n">
        <f aca="false">IF(H120&lt;=2000,Hypothèses!$B$23,IF(H120&lt;=4000,Hypothèses!$B$24,Hypothèses!$B$25))</f>
        <v>300</v>
      </c>
      <c r="L120" s="21" t="n">
        <f aca="false">MAX(Hypothèses!$B$26,CEILING(J120/(K120/1000)*1000,Hypothèses!$B$27))</f>
        <v>500</v>
      </c>
      <c r="M120" s="24" t="n">
        <f aca="false">L120*K120/1000000</f>
        <v>0.15</v>
      </c>
      <c r="N120" s="25" t="n">
        <f aca="false">H120/3600/M120</f>
        <v>5.04074074074074</v>
      </c>
      <c r="O120" s="21" t="str">
        <f aca="false">IF(N120&lt;=I120,"oui","NON")</f>
        <v>oui</v>
      </c>
      <c r="P120" s="24" t="n">
        <f aca="false">1.3*((L120/1000)*(K120/1000))^0.625/((L120/1000)+(K120/1000))^0.25</f>
        <v>0.419979306877563</v>
      </c>
      <c r="Q120" s="26" t="n">
        <f aca="false">N120*P120/Hypothèses!$B$20</f>
        <v>141133.786829719</v>
      </c>
      <c r="R120" s="27" t="n">
        <f aca="false">0.25/(LOG10(Hypothèses!$B$21/(3.7*P120)+5.74/Q120^0.9))^2</f>
        <v>0.0188795564595242</v>
      </c>
      <c r="S120" s="25" t="n">
        <f aca="false">R120/P120*Hypothèses!$B$19*N120^2/2</f>
        <v>0.685336507614389</v>
      </c>
      <c r="T120" s="23" t="n">
        <f aca="false">S120*G120*(1+Hypothèses!$B$22)</f>
        <v>3.1148544271074</v>
      </c>
      <c r="U120" s="5"/>
      <c r="V120" s="21" t="str">
        <f aca="false">IF(K120&lt;=Hypothèses!$B$28-100,"oui","NON")</f>
        <v>oui</v>
      </c>
    </row>
    <row r="121" customFormat="false" ht="15" hidden="false" customHeight="false" outlineLevel="0" collapsed="false">
      <c r="A121" s="21" t="s">
        <v>22</v>
      </c>
      <c r="B121" s="21" t="s">
        <v>232</v>
      </c>
      <c r="C121" s="21" t="s">
        <v>94</v>
      </c>
      <c r="D121" s="21" t="s">
        <v>97</v>
      </c>
      <c r="E121" s="21" t="s">
        <v>85</v>
      </c>
      <c r="F121" s="21" t="s">
        <v>233</v>
      </c>
      <c r="G121" s="22" t="n">
        <v>1.64</v>
      </c>
      <c r="H121" s="6" t="n">
        <v>2720</v>
      </c>
      <c r="I121" s="23" t="n">
        <f aca="false">INDEX(Hypothèses!$C$6:$C$16,MATCH(H121,Hypothèses!$A$6:$A$16,1))</f>
        <v>5.5</v>
      </c>
      <c r="J121" s="24" t="n">
        <f aca="false">H121/3600/I121</f>
        <v>0.137373737373737</v>
      </c>
      <c r="K121" s="21" t="n">
        <f aca="false">IF(H121&lt;=2000,Hypothèses!$B$23,IF(H121&lt;=4000,Hypothèses!$B$24,Hypothèses!$B$25))</f>
        <v>300</v>
      </c>
      <c r="L121" s="21" t="n">
        <f aca="false">MAX(Hypothèses!$B$26,CEILING(J121/(K121/1000)*1000,Hypothèses!$B$27))</f>
        <v>500</v>
      </c>
      <c r="M121" s="24" t="n">
        <f aca="false">L121*K121/1000000</f>
        <v>0.15</v>
      </c>
      <c r="N121" s="25" t="n">
        <f aca="false">H121/3600/M121</f>
        <v>5.03703703703704</v>
      </c>
      <c r="O121" s="21" t="str">
        <f aca="false">IF(N121&lt;=I121,"oui","NON")</f>
        <v>oui</v>
      </c>
      <c r="P121" s="24" t="n">
        <f aca="false">1.3*((L121/1000)*(K121/1000))^0.625/((L121/1000)+(K121/1000))^0.25</f>
        <v>0.419979306877563</v>
      </c>
      <c r="Q121" s="26" t="n">
        <f aca="false">N121*P121/Hypothèses!$B$20</f>
        <v>141030.088235429</v>
      </c>
      <c r="R121" s="27" t="n">
        <f aca="false">0.25/(LOG10(Hypothèses!$B$21/(3.7*P121)+5.74/Q121^0.9))^2</f>
        <v>0.0188812848568492</v>
      </c>
      <c r="S121" s="25" t="n">
        <f aca="false">R121/P121*Hypothèses!$B$19*N121^2/2</f>
        <v>0.684392419762669</v>
      </c>
      <c r="T121" s="23" t="n">
        <f aca="false">S121*G121*(1+Hypothèses!$B$22)</f>
        <v>1.68360535261617</v>
      </c>
      <c r="U121" s="5"/>
      <c r="V121" s="21" t="str">
        <f aca="false">IF(K121&lt;=Hypothèses!$B$28-100,"oui","NON")</f>
        <v>oui</v>
      </c>
    </row>
    <row r="122" customFormat="false" ht="15" hidden="false" customHeight="false" outlineLevel="0" collapsed="false">
      <c r="A122" s="21" t="s">
        <v>22</v>
      </c>
      <c r="B122" s="21" t="s">
        <v>234</v>
      </c>
      <c r="C122" s="21" t="s">
        <v>94</v>
      </c>
      <c r="D122" s="21" t="s">
        <v>97</v>
      </c>
      <c r="E122" s="21" t="s">
        <v>85</v>
      </c>
      <c r="F122" s="21" t="s">
        <v>235</v>
      </c>
      <c r="G122" s="22" t="n">
        <v>0.24</v>
      </c>
      <c r="H122" s="6" t="n">
        <v>54</v>
      </c>
      <c r="I122" s="23" t="n">
        <f aca="false">INDEX(Hypothèses!$C$6:$C$16,MATCH(H122,Hypothèses!$A$6:$A$16,1))</f>
        <v>3</v>
      </c>
      <c r="J122" s="24" t="n">
        <f aca="false">H122/3600/I122</f>
        <v>0.005</v>
      </c>
      <c r="K122" s="21" t="n">
        <f aca="false">IF(H122&lt;=2000,Hypothèses!$B$23,IF(H122&lt;=4000,Hypothèses!$B$24,Hypothèses!$B$25))</f>
        <v>250</v>
      </c>
      <c r="L122" s="21" t="n">
        <f aca="false">MAX(Hypothèses!$B$26,CEILING(J122/(K122/1000)*1000,Hypothèses!$B$27))</f>
        <v>200</v>
      </c>
      <c r="M122" s="24" t="n">
        <f aca="false">L122*K122/1000000</f>
        <v>0.05</v>
      </c>
      <c r="N122" s="25" t="n">
        <f aca="false">H122/3600/M122</f>
        <v>0.3</v>
      </c>
      <c r="O122" s="21" t="str">
        <f aca="false">IF(N122&lt;=I122,"oui","NON")</f>
        <v>oui</v>
      </c>
      <c r="P122" s="24" t="n">
        <f aca="false">1.3*((L122/1000)*(K122/1000))^0.625/((L122/1000)+(K122/1000))^0.25</f>
        <v>0.244059926740309</v>
      </c>
      <c r="Q122" s="26" t="n">
        <f aca="false">N122*P122/Hypothèses!$B$20</f>
        <v>4881.19853480619</v>
      </c>
      <c r="R122" s="27" t="n">
        <f aca="false">0.25/(LOG10(Hypothèses!$B$21/(3.7*P122)+5.74/Q122^0.9))^2</f>
        <v>0.0388943275636816</v>
      </c>
      <c r="S122" s="25" t="n">
        <f aca="false">R122/P122*Hypothèses!$B$19*N122^2/2</f>
        <v>0.00860564745917347</v>
      </c>
      <c r="T122" s="23" t="n">
        <f aca="false">S122*G122*(1+Hypothèses!$B$22)</f>
        <v>0.00309803308530245</v>
      </c>
      <c r="U122" s="5"/>
      <c r="V122" s="21" t="str">
        <f aca="false">IF(K122&lt;=Hypothèses!$B$28-100,"oui","NON")</f>
        <v>oui</v>
      </c>
    </row>
    <row r="123" customFormat="false" ht="15" hidden="false" customHeight="false" outlineLevel="0" collapsed="false">
      <c r="A123" s="21" t="s">
        <v>22</v>
      </c>
      <c r="B123" s="21" t="s">
        <v>236</v>
      </c>
      <c r="C123" s="21" t="s">
        <v>94</v>
      </c>
      <c r="D123" s="21" t="s">
        <v>97</v>
      </c>
      <c r="E123" s="21" t="s">
        <v>85</v>
      </c>
      <c r="F123" s="21" t="s">
        <v>237</v>
      </c>
      <c r="G123" s="22" t="n">
        <v>2.93</v>
      </c>
      <c r="H123" s="6" t="n">
        <v>4</v>
      </c>
      <c r="I123" s="23" t="n">
        <f aca="false">INDEX(Hypothèses!$C$6:$C$16,MATCH(H123,Hypothèses!$A$6:$A$16,1))</f>
        <v>3</v>
      </c>
      <c r="J123" s="24" t="n">
        <f aca="false">H123/3600/I123</f>
        <v>0.00037037037037037</v>
      </c>
      <c r="K123" s="21" t="n">
        <f aca="false">IF(H123&lt;=2000,Hypothèses!$B$23,IF(H123&lt;=4000,Hypothèses!$B$24,Hypothèses!$B$25))</f>
        <v>250</v>
      </c>
      <c r="L123" s="21" t="n">
        <f aca="false">MAX(Hypothèses!$B$26,CEILING(J123/(K123/1000)*1000,Hypothèses!$B$27))</f>
        <v>200</v>
      </c>
      <c r="M123" s="24" t="n">
        <f aca="false">L123*K123/1000000</f>
        <v>0.05</v>
      </c>
      <c r="N123" s="25" t="n">
        <f aca="false">H123/3600/M123</f>
        <v>0.0222222222222222</v>
      </c>
      <c r="O123" s="21" t="str">
        <f aca="false">IF(N123&lt;=I123,"oui","NON")</f>
        <v>oui</v>
      </c>
      <c r="P123" s="24" t="n">
        <f aca="false">1.3*((L123/1000)*(K123/1000))^0.625/((L123/1000)+(K123/1000))^0.25</f>
        <v>0.244059926740309</v>
      </c>
      <c r="Q123" s="26" t="n">
        <f aca="false">N123*P123/Hypothèses!$B$20</f>
        <v>361.570261837495</v>
      </c>
      <c r="R123" s="27" t="n">
        <f aca="false">0.25/(LOG10(Hypothèses!$B$21/(3.7*P123)+5.74/Q123^0.9))^2</f>
        <v>0.1052844790503</v>
      </c>
      <c r="S123" s="25" t="n">
        <f aca="false">R123/P123*Hypothèses!$B$19*N123^2/2</f>
        <v>0.0001278186124889</v>
      </c>
      <c r="T123" s="23" t="n">
        <f aca="false">S123*G123*(1+Hypothèses!$B$22)</f>
        <v>0.000561762801888715</v>
      </c>
      <c r="U123" s="5"/>
      <c r="V123" s="21" t="str">
        <f aca="false">IF(K123&lt;=Hypothèses!$B$28-100,"oui","NON")</f>
        <v>oui</v>
      </c>
    </row>
    <row r="124" customFormat="false" ht="15" hidden="false" customHeight="false" outlineLevel="0" collapsed="false">
      <c r="A124" s="21" t="s">
        <v>22</v>
      </c>
      <c r="B124" s="21" t="s">
        <v>238</v>
      </c>
      <c r="C124" s="21" t="s">
        <v>94</v>
      </c>
      <c r="D124" s="21" t="s">
        <v>97</v>
      </c>
      <c r="E124" s="21" t="s">
        <v>239</v>
      </c>
      <c r="F124" s="21"/>
      <c r="G124" s="22" t="n">
        <v>10.38</v>
      </c>
      <c r="H124" s="6" t="n">
        <v>211</v>
      </c>
      <c r="I124" s="23" t="n">
        <f aca="false">INDEX(Hypothèses!$C$6:$C$16,MATCH(H124,Hypothèses!$A$6:$A$16,1))</f>
        <v>3</v>
      </c>
      <c r="J124" s="24" t="n">
        <f aca="false">H124/3600/I124</f>
        <v>0.019537037037037</v>
      </c>
      <c r="K124" s="21" t="n">
        <f aca="false">IF(H124&lt;=2000,Hypothèses!$B$23,IF(H124&lt;=4000,Hypothèses!$B$24,Hypothèses!$B$25))</f>
        <v>250</v>
      </c>
      <c r="L124" s="21" t="n">
        <f aca="false">MAX(Hypothèses!$B$26,CEILING(J124/(K124/1000)*1000,Hypothèses!$B$27))</f>
        <v>200</v>
      </c>
      <c r="M124" s="24" t="n">
        <f aca="false">L124*K124/1000000</f>
        <v>0.05</v>
      </c>
      <c r="N124" s="25" t="n">
        <f aca="false">H124/3600/M124</f>
        <v>1.17222222222222</v>
      </c>
      <c r="O124" s="21" t="str">
        <f aca="false">IF(N124&lt;=I124,"oui","NON")</f>
        <v>oui</v>
      </c>
      <c r="P124" s="24" t="n">
        <f aca="false">1.3*((L124/1000)*(K124/1000))^0.625/((L124/1000)+(K124/1000))^0.25</f>
        <v>0.244059926740309</v>
      </c>
      <c r="Q124" s="26" t="n">
        <f aca="false">N124*P124/Hypothèses!$B$20</f>
        <v>19072.8313119279</v>
      </c>
      <c r="R124" s="27" t="n">
        <f aca="false">0.25/(LOG10(Hypothèses!$B$21/(3.7*P124)+5.74/Q124^0.9))^2</f>
        <v>0.0275547489433475</v>
      </c>
      <c r="S124" s="25" t="n">
        <f aca="false">R124/P124*Hypothèses!$B$19*N124^2/2</f>
        <v>0.0930831630614463</v>
      </c>
      <c r="T124" s="23" t="n">
        <f aca="false">S124*G124*(1+Hypothèses!$B$22)</f>
        <v>1.44930484886672</v>
      </c>
      <c r="U124" s="5"/>
      <c r="V124" s="21" t="str">
        <f aca="false">IF(K124&lt;=Hypothèses!$B$28-100,"oui","NON")</f>
        <v>oui</v>
      </c>
    </row>
    <row r="125" customFormat="false" ht="15" hidden="false" customHeight="false" outlineLevel="0" collapsed="false">
      <c r="A125" s="21" t="s">
        <v>22</v>
      </c>
      <c r="B125" s="21" t="s">
        <v>240</v>
      </c>
      <c r="C125" s="21" t="s">
        <v>94</v>
      </c>
      <c r="D125" s="21" t="s">
        <v>97</v>
      </c>
      <c r="E125" s="21" t="s">
        <v>239</v>
      </c>
      <c r="F125" s="21" t="s">
        <v>241</v>
      </c>
      <c r="G125" s="22" t="n">
        <v>2.16</v>
      </c>
      <c r="H125" s="6" t="n">
        <v>211</v>
      </c>
      <c r="I125" s="23" t="n">
        <f aca="false">INDEX(Hypothèses!$C$6:$C$16,MATCH(H125,Hypothèses!$A$6:$A$16,1))</f>
        <v>3</v>
      </c>
      <c r="J125" s="24" t="n">
        <f aca="false">H125/3600/I125</f>
        <v>0.019537037037037</v>
      </c>
      <c r="K125" s="21" t="n">
        <f aca="false">IF(H125&lt;=2000,Hypothèses!$B$23,IF(H125&lt;=4000,Hypothèses!$B$24,Hypothèses!$B$25))</f>
        <v>250</v>
      </c>
      <c r="L125" s="21" t="n">
        <f aca="false">MAX(Hypothèses!$B$26,CEILING(J125/(K125/1000)*1000,Hypothèses!$B$27))</f>
        <v>200</v>
      </c>
      <c r="M125" s="24" t="n">
        <f aca="false">L125*K125/1000000</f>
        <v>0.05</v>
      </c>
      <c r="N125" s="25" t="n">
        <f aca="false">H125/3600/M125</f>
        <v>1.17222222222222</v>
      </c>
      <c r="O125" s="21" t="str">
        <f aca="false">IF(N125&lt;=I125,"oui","NON")</f>
        <v>oui</v>
      </c>
      <c r="P125" s="24" t="n">
        <f aca="false">1.3*((L125/1000)*(K125/1000))^0.625/((L125/1000)+(K125/1000))^0.25</f>
        <v>0.244059926740309</v>
      </c>
      <c r="Q125" s="26" t="n">
        <f aca="false">N125*P125/Hypothèses!$B$20</f>
        <v>19072.8313119279</v>
      </c>
      <c r="R125" s="27" t="n">
        <f aca="false">0.25/(LOG10(Hypothèses!$B$21/(3.7*P125)+5.74/Q125^0.9))^2</f>
        <v>0.0275547489433475</v>
      </c>
      <c r="S125" s="25" t="n">
        <f aca="false">R125/P125*Hypothèses!$B$19*N125^2/2</f>
        <v>0.0930831630614463</v>
      </c>
      <c r="T125" s="23" t="n">
        <f aca="false">S125*G125*(1+Hypothèses!$B$22)</f>
        <v>0.301589448319086</v>
      </c>
      <c r="U125" s="5"/>
      <c r="V125" s="21" t="str">
        <f aca="false">IF(K125&lt;=Hypothèses!$B$28-100,"oui","NON")</f>
        <v>oui</v>
      </c>
    </row>
    <row r="126" customFormat="false" ht="15" hidden="false" customHeight="false" outlineLevel="0" collapsed="false">
      <c r="A126" s="21" t="s">
        <v>22</v>
      </c>
      <c r="B126" s="21" t="s">
        <v>242</v>
      </c>
      <c r="C126" s="21" t="s">
        <v>94</v>
      </c>
      <c r="D126" s="21" t="s">
        <v>97</v>
      </c>
      <c r="E126" s="21" t="s">
        <v>239</v>
      </c>
      <c r="F126" s="21" t="s">
        <v>243</v>
      </c>
      <c r="G126" s="22" t="n">
        <v>5.57</v>
      </c>
      <c r="H126" s="6" t="n">
        <v>139</v>
      </c>
      <c r="I126" s="23" t="n">
        <f aca="false">INDEX(Hypothèses!$C$6:$C$16,MATCH(H126,Hypothèses!$A$6:$A$16,1))</f>
        <v>3</v>
      </c>
      <c r="J126" s="24" t="n">
        <f aca="false">H126/3600/I126</f>
        <v>0.0128703703703704</v>
      </c>
      <c r="K126" s="21" t="n">
        <f aca="false">IF(H126&lt;=2000,Hypothèses!$B$23,IF(H126&lt;=4000,Hypothèses!$B$24,Hypothèses!$B$25))</f>
        <v>250</v>
      </c>
      <c r="L126" s="21" t="n">
        <f aca="false">MAX(Hypothèses!$B$26,CEILING(J126/(K126/1000)*1000,Hypothèses!$B$27))</f>
        <v>200</v>
      </c>
      <c r="M126" s="24" t="n">
        <f aca="false">L126*K126/1000000</f>
        <v>0.05</v>
      </c>
      <c r="N126" s="25" t="n">
        <f aca="false">H126/3600/M126</f>
        <v>0.772222222222222</v>
      </c>
      <c r="O126" s="21" t="str">
        <f aca="false">IF(N126&lt;=I126,"oui","NON")</f>
        <v>oui</v>
      </c>
      <c r="P126" s="24" t="n">
        <f aca="false">1.3*((L126/1000)*(K126/1000))^0.625/((L126/1000)+(K126/1000))^0.25</f>
        <v>0.244059926740309</v>
      </c>
      <c r="Q126" s="26" t="n">
        <f aca="false">N126*P126/Hypothèses!$B$20</f>
        <v>12564.566598853</v>
      </c>
      <c r="R126" s="27" t="n">
        <f aca="false">0.25/(LOG10(Hypothèses!$B$21/(3.7*P126)+5.74/Q126^0.9))^2</f>
        <v>0.0302910299055985</v>
      </c>
      <c r="S126" s="25" t="n">
        <f aca="false">R126/P126*Hypothèses!$B$19*N126^2/2</f>
        <v>0.0444072013622934</v>
      </c>
      <c r="T126" s="23" t="n">
        <f aca="false">S126*G126*(1+Hypothèses!$B$22)</f>
        <v>0.371022167381962</v>
      </c>
      <c r="U126" s="5"/>
      <c r="V126" s="21" t="str">
        <f aca="false">IF(K126&lt;=Hypothèses!$B$28-100,"oui","NON")</f>
        <v>oui</v>
      </c>
    </row>
    <row r="127" customFormat="false" ht="15" hidden="false" customHeight="false" outlineLevel="0" collapsed="false">
      <c r="A127" s="21" t="s">
        <v>22</v>
      </c>
      <c r="B127" s="21" t="s">
        <v>244</v>
      </c>
      <c r="C127" s="21" t="s">
        <v>94</v>
      </c>
      <c r="D127" s="21" t="s">
        <v>97</v>
      </c>
      <c r="E127" s="21" t="s">
        <v>239</v>
      </c>
      <c r="F127" s="21" t="s">
        <v>245</v>
      </c>
      <c r="G127" s="22" t="n">
        <v>3.28</v>
      </c>
      <c r="H127" s="6" t="n">
        <v>13</v>
      </c>
      <c r="I127" s="23" t="n">
        <f aca="false">INDEX(Hypothèses!$C$6:$C$16,MATCH(H127,Hypothèses!$A$6:$A$16,1))</f>
        <v>3</v>
      </c>
      <c r="J127" s="24" t="n">
        <f aca="false">H127/3600/I127</f>
        <v>0.0012037037037037</v>
      </c>
      <c r="K127" s="21" t="n">
        <f aca="false">IF(H127&lt;=2000,Hypothèses!$B$23,IF(H127&lt;=4000,Hypothèses!$B$24,Hypothèses!$B$25))</f>
        <v>250</v>
      </c>
      <c r="L127" s="21" t="n">
        <f aca="false">MAX(Hypothèses!$B$26,CEILING(J127/(K127/1000)*1000,Hypothèses!$B$27))</f>
        <v>200</v>
      </c>
      <c r="M127" s="24" t="n">
        <f aca="false">L127*K127/1000000</f>
        <v>0.05</v>
      </c>
      <c r="N127" s="25" t="n">
        <f aca="false">H127/3600/M127</f>
        <v>0.0722222222222222</v>
      </c>
      <c r="O127" s="21" t="str">
        <f aca="false">IF(N127&lt;=I127,"oui","NON")</f>
        <v>oui</v>
      </c>
      <c r="P127" s="24" t="n">
        <f aca="false">1.3*((L127/1000)*(K127/1000))^0.625/((L127/1000)+(K127/1000))^0.25</f>
        <v>0.244059926740309</v>
      </c>
      <c r="Q127" s="26" t="n">
        <f aca="false">N127*P127/Hypothèses!$B$20</f>
        <v>1175.10335097186</v>
      </c>
      <c r="R127" s="27" t="n">
        <f aca="false">0.25/(LOG10(Hypothèses!$B$21/(3.7*P127)+5.74/Q127^0.9))^2</f>
        <v>0.0626920936123232</v>
      </c>
      <c r="S127" s="25" t="n">
        <f aca="false">R127/P127*Hypothèses!$B$19*N127^2/2</f>
        <v>0.000803913351663872</v>
      </c>
      <c r="T127" s="23" t="n">
        <f aca="false">S127*G127*(1+Hypothèses!$B$22)</f>
        <v>0.00395525369018625</v>
      </c>
      <c r="U127" s="5"/>
      <c r="V127" s="21" t="str">
        <f aca="false">IF(K127&lt;=Hypothèses!$B$28-100,"oui","NON")</f>
        <v>oui</v>
      </c>
    </row>
    <row r="128" customFormat="false" ht="15" hidden="false" customHeight="false" outlineLevel="0" collapsed="false">
      <c r="A128" s="21" t="s">
        <v>22</v>
      </c>
      <c r="B128" s="21" t="s">
        <v>246</v>
      </c>
      <c r="C128" s="21" t="s">
        <v>94</v>
      </c>
      <c r="D128" s="21" t="s">
        <v>97</v>
      </c>
      <c r="E128" s="21" t="s">
        <v>239</v>
      </c>
      <c r="F128" s="21" t="s">
        <v>247</v>
      </c>
      <c r="G128" s="22" t="n">
        <v>4.21</v>
      </c>
      <c r="H128" s="6" t="n">
        <v>129</v>
      </c>
      <c r="I128" s="23" t="n">
        <f aca="false">INDEX(Hypothèses!$C$6:$C$16,MATCH(H128,Hypothèses!$A$6:$A$16,1))</f>
        <v>3</v>
      </c>
      <c r="J128" s="24" t="n">
        <f aca="false">H128/3600/I128</f>
        <v>0.0119444444444444</v>
      </c>
      <c r="K128" s="21" t="n">
        <f aca="false">IF(H128&lt;=2000,Hypothèses!$B$23,IF(H128&lt;=4000,Hypothèses!$B$24,Hypothèses!$B$25))</f>
        <v>250</v>
      </c>
      <c r="L128" s="21" t="n">
        <f aca="false">MAX(Hypothèses!$B$26,CEILING(J128/(K128/1000)*1000,Hypothèses!$B$27))</f>
        <v>200</v>
      </c>
      <c r="M128" s="24" t="n">
        <f aca="false">L128*K128/1000000</f>
        <v>0.05</v>
      </c>
      <c r="N128" s="25" t="n">
        <f aca="false">H128/3600/M128</f>
        <v>0.716666666666667</v>
      </c>
      <c r="O128" s="21" t="str">
        <f aca="false">IF(N128&lt;=I128,"oui","NON")</f>
        <v>oui</v>
      </c>
      <c r="P128" s="24" t="n">
        <f aca="false">1.3*((L128/1000)*(K128/1000))^0.625/((L128/1000)+(K128/1000))^0.25</f>
        <v>0.244059926740309</v>
      </c>
      <c r="Q128" s="26" t="n">
        <f aca="false">N128*P128/Hypothèses!$B$20</f>
        <v>11660.6409442592</v>
      </c>
      <c r="R128" s="27" t="n">
        <f aca="false">0.25/(LOG10(Hypothèses!$B$21/(3.7*P128)+5.74/Q128^0.9))^2</f>
        <v>0.0308396986995105</v>
      </c>
      <c r="S128" s="25" t="n">
        <f aca="false">R128/P128*Hypothèses!$B$19*N128^2/2</f>
        <v>0.03894030157333</v>
      </c>
      <c r="T128" s="23" t="n">
        <f aca="false">S128*G128*(1+Hypothèses!$B$22)</f>
        <v>0.245908004435579</v>
      </c>
      <c r="U128" s="5"/>
      <c r="V128" s="21" t="str">
        <f aca="false">IF(K128&lt;=Hypothèses!$B$28-100,"oui","NON")</f>
        <v>oui</v>
      </c>
    </row>
    <row r="129" customFormat="false" ht="15" hidden="false" customHeight="false" outlineLevel="0" collapsed="false">
      <c r="A129" s="21" t="s">
        <v>22</v>
      </c>
      <c r="B129" s="21" t="s">
        <v>248</v>
      </c>
      <c r="C129" s="21" t="s">
        <v>94</v>
      </c>
      <c r="D129" s="21" t="s">
        <v>97</v>
      </c>
      <c r="E129" s="21" t="s">
        <v>239</v>
      </c>
      <c r="F129" s="21" t="s">
        <v>249</v>
      </c>
      <c r="G129" s="22" t="n">
        <v>2.89</v>
      </c>
      <c r="H129" s="6" t="n">
        <v>124</v>
      </c>
      <c r="I129" s="23" t="n">
        <f aca="false">INDEX(Hypothèses!$C$6:$C$16,MATCH(H129,Hypothèses!$A$6:$A$16,1))</f>
        <v>3</v>
      </c>
      <c r="J129" s="24" t="n">
        <f aca="false">H129/3600/I129</f>
        <v>0.0114814814814815</v>
      </c>
      <c r="K129" s="21" t="n">
        <f aca="false">IF(H129&lt;=2000,Hypothèses!$B$23,IF(H129&lt;=4000,Hypothèses!$B$24,Hypothèses!$B$25))</f>
        <v>250</v>
      </c>
      <c r="L129" s="21" t="n">
        <f aca="false">MAX(Hypothèses!$B$26,CEILING(J129/(K129/1000)*1000,Hypothèses!$B$27))</f>
        <v>200</v>
      </c>
      <c r="M129" s="24" t="n">
        <f aca="false">L129*K129/1000000</f>
        <v>0.05</v>
      </c>
      <c r="N129" s="25" t="n">
        <f aca="false">H129/3600/M129</f>
        <v>0.688888888888889</v>
      </c>
      <c r="O129" s="21" t="str">
        <f aca="false">IF(N129&lt;=I129,"oui","NON")</f>
        <v>oui</v>
      </c>
      <c r="P129" s="24" t="n">
        <f aca="false">1.3*((L129/1000)*(K129/1000))^0.625/((L129/1000)+(K129/1000))^0.25</f>
        <v>0.244059926740309</v>
      </c>
      <c r="Q129" s="26" t="n">
        <f aca="false">N129*P129/Hypothèses!$B$20</f>
        <v>11208.6781169624</v>
      </c>
      <c r="R129" s="27" t="n">
        <f aca="false">0.25/(LOG10(Hypothèses!$B$21/(3.7*P129)+5.74/Q129^0.9))^2</f>
        <v>0.0311380726109134</v>
      </c>
      <c r="S129" s="25" t="n">
        <f aca="false">R129/P129*Hypothèses!$B$19*N129^2/2</f>
        <v>0.0363282820694467</v>
      </c>
      <c r="T129" s="23" t="n">
        <f aca="false">S129*G129*(1+Hypothèses!$B$22)</f>
        <v>0.157483102771051</v>
      </c>
      <c r="U129" s="5"/>
      <c r="V129" s="21" t="str">
        <f aca="false">IF(K129&lt;=Hypothèses!$B$28-100,"oui","NON")</f>
        <v>oui</v>
      </c>
    </row>
    <row r="130" customFormat="false" ht="15" hidden="false" customHeight="false" outlineLevel="0" collapsed="false">
      <c r="A130" s="21" t="s">
        <v>22</v>
      </c>
      <c r="B130" s="21" t="s">
        <v>250</v>
      </c>
      <c r="C130" s="21" t="s">
        <v>94</v>
      </c>
      <c r="D130" s="21" t="s">
        <v>97</v>
      </c>
      <c r="E130" s="21" t="s">
        <v>239</v>
      </c>
      <c r="F130" s="21" t="s">
        <v>251</v>
      </c>
      <c r="G130" s="22" t="n">
        <v>0.23</v>
      </c>
      <c r="H130" s="6" t="n">
        <v>120</v>
      </c>
      <c r="I130" s="23" t="n">
        <f aca="false">INDEX(Hypothèses!$C$6:$C$16,MATCH(H130,Hypothèses!$A$6:$A$16,1))</f>
        <v>3</v>
      </c>
      <c r="J130" s="24" t="n">
        <f aca="false">H130/3600/I130</f>
        <v>0.0111111111111111</v>
      </c>
      <c r="K130" s="21" t="n">
        <f aca="false">IF(H130&lt;=2000,Hypothèses!$B$23,IF(H130&lt;=4000,Hypothèses!$B$24,Hypothèses!$B$25))</f>
        <v>250</v>
      </c>
      <c r="L130" s="21" t="n">
        <f aca="false">MAX(Hypothèses!$B$26,CEILING(J130/(K130/1000)*1000,Hypothèses!$B$27))</f>
        <v>200</v>
      </c>
      <c r="M130" s="24" t="n">
        <f aca="false">L130*K130/1000000</f>
        <v>0.05</v>
      </c>
      <c r="N130" s="25" t="n">
        <f aca="false">H130/3600/M130</f>
        <v>0.666666666666667</v>
      </c>
      <c r="O130" s="21" t="str">
        <f aca="false">IF(N130&lt;=I130,"oui","NON")</f>
        <v>oui</v>
      </c>
      <c r="P130" s="24" t="n">
        <f aca="false">1.3*((L130/1000)*(K130/1000))^0.625/((L130/1000)+(K130/1000))^0.25</f>
        <v>0.244059926740309</v>
      </c>
      <c r="Q130" s="26" t="n">
        <f aca="false">N130*P130/Hypothèses!$B$20</f>
        <v>10847.1078551249</v>
      </c>
      <c r="R130" s="27" t="n">
        <f aca="false">0.25/(LOG10(Hypothèses!$B$21/(3.7*P130)+5.74/Q130^0.9))^2</f>
        <v>0.0313897970023634</v>
      </c>
      <c r="S130" s="25" t="n">
        <f aca="false">R130/P130*Hypothèses!$B$19*N130^2/2</f>
        <v>0.0342973655927967</v>
      </c>
      <c r="T130" s="23" t="n">
        <f aca="false">S130*G130*(1+Hypothèses!$B$22)</f>
        <v>0.0118325911295149</v>
      </c>
      <c r="U130" s="5"/>
      <c r="V130" s="21" t="str">
        <f aca="false">IF(K130&lt;=Hypothèses!$B$28-100,"oui","NON")</f>
        <v>oui</v>
      </c>
    </row>
    <row r="131" customFormat="false" ht="15" hidden="false" customHeight="false" outlineLevel="0" collapsed="false">
      <c r="A131" s="21" t="s">
        <v>22</v>
      </c>
      <c r="B131" s="21" t="s">
        <v>252</v>
      </c>
      <c r="C131" s="21" t="s">
        <v>94</v>
      </c>
      <c r="D131" s="21" t="s">
        <v>97</v>
      </c>
      <c r="E131" s="21" t="s">
        <v>239</v>
      </c>
      <c r="F131" s="21" t="s">
        <v>253</v>
      </c>
      <c r="G131" s="22" t="n">
        <v>3.23</v>
      </c>
      <c r="H131" s="6" t="n">
        <v>30</v>
      </c>
      <c r="I131" s="23" t="n">
        <f aca="false">INDEX(Hypothèses!$C$6:$C$16,MATCH(H131,Hypothèses!$A$6:$A$16,1))</f>
        <v>3</v>
      </c>
      <c r="J131" s="24" t="n">
        <f aca="false">H131/3600/I131</f>
        <v>0.00277777777777778</v>
      </c>
      <c r="K131" s="21" t="n">
        <f aca="false">IF(H131&lt;=2000,Hypothèses!$B$23,IF(H131&lt;=4000,Hypothèses!$B$24,Hypothèses!$B$25))</f>
        <v>250</v>
      </c>
      <c r="L131" s="21" t="n">
        <f aca="false">MAX(Hypothèses!$B$26,CEILING(J131/(K131/1000)*1000,Hypothèses!$B$27))</f>
        <v>200</v>
      </c>
      <c r="M131" s="24" t="n">
        <f aca="false">L131*K131/1000000</f>
        <v>0.05</v>
      </c>
      <c r="N131" s="25" t="n">
        <f aca="false">H131/3600/M131</f>
        <v>0.166666666666667</v>
      </c>
      <c r="O131" s="21" t="str">
        <f aca="false">IF(N131&lt;=I131,"oui","NON")</f>
        <v>oui</v>
      </c>
      <c r="P131" s="24" t="n">
        <f aca="false">1.3*((L131/1000)*(K131/1000))^0.625/((L131/1000)+(K131/1000))^0.25</f>
        <v>0.244059926740309</v>
      </c>
      <c r="Q131" s="26" t="n">
        <f aca="false">N131*P131/Hypothèses!$B$20</f>
        <v>2711.77696378121</v>
      </c>
      <c r="R131" s="27" t="n">
        <f aca="false">0.25/(LOG10(Hypothèses!$B$21/(3.7*P131)+5.74/Q131^0.9))^2</f>
        <v>0.0466152642111913</v>
      </c>
      <c r="S131" s="25" t="n">
        <f aca="false">R131/P131*Hypothèses!$B$19*N131^2/2</f>
        <v>0.00318332091860865</v>
      </c>
      <c r="T131" s="23" t="n">
        <f aca="false">S131*G131*(1+Hypothèses!$B$22)</f>
        <v>0.0154231898506589</v>
      </c>
      <c r="U131" s="5"/>
      <c r="V131" s="21" t="str">
        <f aca="false">IF(K131&lt;=Hypothèses!$B$28-100,"oui","NON")</f>
        <v>oui</v>
      </c>
    </row>
    <row r="132" customFormat="false" ht="15" hidden="false" customHeight="false" outlineLevel="0" collapsed="false">
      <c r="A132" s="21" t="s">
        <v>22</v>
      </c>
      <c r="B132" s="21" t="s">
        <v>254</v>
      </c>
      <c r="C132" s="21" t="s">
        <v>94</v>
      </c>
      <c r="D132" s="21" t="s">
        <v>97</v>
      </c>
      <c r="E132" s="21" t="s">
        <v>239</v>
      </c>
      <c r="F132" s="21" t="s">
        <v>255</v>
      </c>
      <c r="G132" s="22" t="n">
        <v>0.63</v>
      </c>
      <c r="H132" s="6" t="n">
        <v>25</v>
      </c>
      <c r="I132" s="23" t="n">
        <f aca="false">INDEX(Hypothèses!$C$6:$C$16,MATCH(H132,Hypothèses!$A$6:$A$16,1))</f>
        <v>3</v>
      </c>
      <c r="J132" s="24" t="n">
        <f aca="false">H132/3600/I132</f>
        <v>0.00231481481481481</v>
      </c>
      <c r="K132" s="21" t="n">
        <f aca="false">IF(H132&lt;=2000,Hypothèses!$B$23,IF(H132&lt;=4000,Hypothèses!$B$24,Hypothèses!$B$25))</f>
        <v>250</v>
      </c>
      <c r="L132" s="21" t="n">
        <f aca="false">MAX(Hypothèses!$B$26,CEILING(J132/(K132/1000)*1000,Hypothèses!$B$27))</f>
        <v>200</v>
      </c>
      <c r="M132" s="24" t="n">
        <f aca="false">L132*K132/1000000</f>
        <v>0.05</v>
      </c>
      <c r="N132" s="25" t="n">
        <f aca="false">H132/3600/M132</f>
        <v>0.138888888888889</v>
      </c>
      <c r="O132" s="21" t="str">
        <f aca="false">IF(N132&lt;=I132,"oui","NON")</f>
        <v>oui</v>
      </c>
      <c r="P132" s="24" t="n">
        <f aca="false">1.3*((L132/1000)*(K132/1000))^0.625/((L132/1000)+(K132/1000))^0.25</f>
        <v>0.244059926740309</v>
      </c>
      <c r="Q132" s="26" t="n">
        <f aca="false">N132*P132/Hypothèses!$B$20</f>
        <v>2259.81413648435</v>
      </c>
      <c r="R132" s="27" t="n">
        <f aca="false">0.25/(LOG10(Hypothèses!$B$21/(3.7*P132)+5.74/Q132^0.9))^2</f>
        <v>0.0495222520606871</v>
      </c>
      <c r="S132" s="25" t="n">
        <f aca="false">R132/P132*Hypothèses!$B$19*N132^2/2</f>
        <v>0.00234849785182163</v>
      </c>
      <c r="T132" s="23" t="n">
        <f aca="false">S132*G132*(1+Hypothèses!$B$22)</f>
        <v>0.00221933046997144</v>
      </c>
      <c r="U132" s="5"/>
      <c r="V132" s="21" t="str">
        <f aca="false">IF(K132&lt;=Hypothèses!$B$28-100,"oui","NON")</f>
        <v>oui</v>
      </c>
    </row>
    <row r="133" customFormat="false" ht="15" hidden="false" customHeight="false" outlineLevel="0" collapsed="false">
      <c r="A133" s="21" t="s">
        <v>22</v>
      </c>
      <c r="B133" s="21" t="s">
        <v>256</v>
      </c>
      <c r="C133" s="21" t="s">
        <v>94</v>
      </c>
      <c r="D133" s="21" t="s">
        <v>97</v>
      </c>
      <c r="E133" s="21" t="s">
        <v>239</v>
      </c>
      <c r="F133" s="21" t="s">
        <v>257</v>
      </c>
      <c r="G133" s="22" t="n">
        <v>3.99</v>
      </c>
      <c r="H133" s="6" t="n">
        <v>21</v>
      </c>
      <c r="I133" s="23" t="n">
        <f aca="false">INDEX(Hypothèses!$C$6:$C$16,MATCH(H133,Hypothèses!$A$6:$A$16,1))</f>
        <v>3</v>
      </c>
      <c r="J133" s="24" t="n">
        <f aca="false">H133/3600/I133</f>
        <v>0.00194444444444444</v>
      </c>
      <c r="K133" s="21" t="n">
        <f aca="false">IF(H133&lt;=2000,Hypothèses!$B$23,IF(H133&lt;=4000,Hypothèses!$B$24,Hypothèses!$B$25))</f>
        <v>250</v>
      </c>
      <c r="L133" s="21" t="n">
        <f aca="false">MAX(Hypothèses!$B$26,CEILING(J133/(K133/1000)*1000,Hypothèses!$B$27))</f>
        <v>200</v>
      </c>
      <c r="M133" s="24" t="n">
        <f aca="false">L133*K133/1000000</f>
        <v>0.05</v>
      </c>
      <c r="N133" s="25" t="n">
        <f aca="false">H133/3600/M133</f>
        <v>0.116666666666667</v>
      </c>
      <c r="O133" s="21" t="str">
        <f aca="false">IF(N133&lt;=I133,"oui","NON")</f>
        <v>oui</v>
      </c>
      <c r="P133" s="24" t="n">
        <f aca="false">1.3*((L133/1000)*(K133/1000))^0.625/((L133/1000)+(K133/1000))^0.25</f>
        <v>0.244059926740309</v>
      </c>
      <c r="Q133" s="26" t="n">
        <f aca="false">N133*P133/Hypothèses!$B$20</f>
        <v>1898.24387464685</v>
      </c>
      <c r="R133" s="27" t="n">
        <f aca="false">0.25/(LOG10(Hypothèses!$B$21/(3.7*P133)+5.74/Q133^0.9))^2</f>
        <v>0.0525793000458438</v>
      </c>
      <c r="S133" s="25" t="n">
        <f aca="false">R133/P133*Hypothèses!$B$19*N133^2/2</f>
        <v>0.00175939418968177</v>
      </c>
      <c r="T133" s="23" t="n">
        <f aca="false">S133*G133*(1+Hypothèses!$B$22)</f>
        <v>0.0105299742252454</v>
      </c>
      <c r="U133" s="5"/>
      <c r="V133" s="21" t="str">
        <f aca="false">IF(K133&lt;=Hypothèses!$B$28-100,"oui","NON")</f>
        <v>oui</v>
      </c>
    </row>
    <row r="134" customFormat="false" ht="15" hidden="false" customHeight="false" outlineLevel="0" collapsed="false">
      <c r="A134" s="21" t="s">
        <v>22</v>
      </c>
      <c r="B134" s="21" t="s">
        <v>258</v>
      </c>
      <c r="C134" s="21" t="s">
        <v>90</v>
      </c>
      <c r="D134" s="21" t="s">
        <v>97</v>
      </c>
      <c r="E134" s="21" t="s">
        <v>85</v>
      </c>
      <c r="F134" s="21"/>
      <c r="G134" s="22" t="n">
        <v>8.64</v>
      </c>
      <c r="H134" s="6" t="n">
        <v>2030</v>
      </c>
      <c r="I134" s="23" t="n">
        <f aca="false">INDEX(Hypothèses!$C$6:$C$16,MATCH(H134,Hypothèses!$A$6:$A$16,1))</f>
        <v>5.5</v>
      </c>
      <c r="J134" s="24" t="n">
        <f aca="false">H134/3600/I134</f>
        <v>0.102525252525253</v>
      </c>
      <c r="K134" s="21" t="n">
        <f aca="false">IF(H134&lt;=2000,Hypothèses!$B$23,IF(H134&lt;=4000,Hypothèses!$B$24,Hypothèses!$B$25))</f>
        <v>300</v>
      </c>
      <c r="L134" s="21" t="n">
        <f aca="false">MAX(Hypothèses!$B$26,CEILING(J134/(K134/1000)*1000,Hypothèses!$B$27))</f>
        <v>350</v>
      </c>
      <c r="M134" s="24" t="n">
        <f aca="false">L134*K134/1000000</f>
        <v>0.105</v>
      </c>
      <c r="N134" s="25" t="n">
        <f aca="false">H134/3600/M134</f>
        <v>5.37037037037037</v>
      </c>
      <c r="O134" s="21" t="str">
        <f aca="false">IF(N134&lt;=I134,"oui","NON")</f>
        <v>oui</v>
      </c>
      <c r="P134" s="24" t="n">
        <f aca="false">1.3*((L134/1000)*(K134/1000))^0.625/((L134/1000)+(K134/1000))^0.25</f>
        <v>0.353963373098496</v>
      </c>
      <c r="Q134" s="26" t="n">
        <f aca="false">N134*P134/Hypothèses!$B$20</f>
        <v>126727.627405634</v>
      </c>
      <c r="R134" s="27" t="n">
        <f aca="false">0.25/(LOG10(Hypothèses!$B$21/(3.7*P134)+5.74/Q134^0.9))^2</f>
        <v>0.019473289099905</v>
      </c>
      <c r="S134" s="25" t="n">
        <f aca="false">R134/P134*Hypothèses!$B$19*N134^2/2</f>
        <v>0.952008252068462</v>
      </c>
      <c r="T134" s="23" t="n">
        <f aca="false">S134*G134*(1+Hypothèses!$B$22)</f>
        <v>12.3380269468073</v>
      </c>
      <c r="U134" s="5" t="s">
        <v>87</v>
      </c>
      <c r="V134" s="21" t="str">
        <f aca="false">IF(K134&lt;=Hypothèses!$B$28-100,"oui","NON")</f>
        <v>oui</v>
      </c>
    </row>
    <row r="135" customFormat="false" ht="15" hidden="false" customHeight="false" outlineLevel="0" collapsed="false">
      <c r="A135" s="21" t="s">
        <v>22</v>
      </c>
      <c r="B135" s="21" t="s">
        <v>259</v>
      </c>
      <c r="C135" s="21" t="s">
        <v>90</v>
      </c>
      <c r="D135" s="21" t="s">
        <v>97</v>
      </c>
      <c r="E135" s="21" t="s">
        <v>85</v>
      </c>
      <c r="F135" s="21" t="s">
        <v>260</v>
      </c>
      <c r="G135" s="22" t="n">
        <v>1.5</v>
      </c>
      <c r="H135" s="6" t="n">
        <v>2030</v>
      </c>
      <c r="I135" s="23" t="n">
        <f aca="false">INDEX(Hypothèses!$C$6:$C$16,MATCH(H135,Hypothèses!$A$6:$A$16,1))</f>
        <v>5.5</v>
      </c>
      <c r="J135" s="24" t="n">
        <f aca="false">H135/3600/I135</f>
        <v>0.102525252525253</v>
      </c>
      <c r="K135" s="21" t="n">
        <f aca="false">IF(H135&lt;=2000,Hypothèses!$B$23,IF(H135&lt;=4000,Hypothèses!$B$24,Hypothèses!$B$25))</f>
        <v>300</v>
      </c>
      <c r="L135" s="21" t="n">
        <f aca="false">MAX(Hypothèses!$B$26,CEILING(J135/(K135/1000)*1000,Hypothèses!$B$27))</f>
        <v>350</v>
      </c>
      <c r="M135" s="24" t="n">
        <f aca="false">L135*K135/1000000</f>
        <v>0.105</v>
      </c>
      <c r="N135" s="25" t="n">
        <f aca="false">H135/3600/M135</f>
        <v>5.37037037037037</v>
      </c>
      <c r="O135" s="21" t="str">
        <f aca="false">IF(N135&lt;=I135,"oui","NON")</f>
        <v>oui</v>
      </c>
      <c r="P135" s="24" t="n">
        <f aca="false">1.3*((L135/1000)*(K135/1000))^0.625/((L135/1000)+(K135/1000))^0.25</f>
        <v>0.353963373098496</v>
      </c>
      <c r="Q135" s="26" t="n">
        <f aca="false">N135*P135/Hypothèses!$B$20</f>
        <v>126727.627405634</v>
      </c>
      <c r="R135" s="27" t="n">
        <f aca="false">0.25/(LOG10(Hypothèses!$B$21/(3.7*P135)+5.74/Q135^0.9))^2</f>
        <v>0.019473289099905</v>
      </c>
      <c r="S135" s="25" t="n">
        <f aca="false">R135/P135*Hypothèses!$B$19*N135^2/2</f>
        <v>0.952008252068462</v>
      </c>
      <c r="T135" s="23" t="n">
        <f aca="false">S135*G135*(1+Hypothèses!$B$22)</f>
        <v>2.14201856715404</v>
      </c>
      <c r="U135" s="5" t="s">
        <v>87</v>
      </c>
      <c r="V135" s="21" t="str">
        <f aca="false">IF(K135&lt;=Hypothèses!$B$28-100,"oui","NON")</f>
        <v>oui</v>
      </c>
    </row>
    <row r="136" customFormat="false" ht="15" hidden="false" customHeight="false" outlineLevel="0" collapsed="false">
      <c r="A136" s="21" t="s">
        <v>22</v>
      </c>
      <c r="B136" s="21" t="s">
        <v>261</v>
      </c>
      <c r="C136" s="21" t="s">
        <v>90</v>
      </c>
      <c r="D136" s="21" t="s">
        <v>97</v>
      </c>
      <c r="E136" s="21" t="s">
        <v>85</v>
      </c>
      <c r="F136" s="21" t="s">
        <v>262</v>
      </c>
      <c r="G136" s="22" t="n">
        <v>5.67</v>
      </c>
      <c r="H136" s="6" t="n">
        <v>2028</v>
      </c>
      <c r="I136" s="23" t="n">
        <f aca="false">INDEX(Hypothèses!$C$6:$C$16,MATCH(H136,Hypothèses!$A$6:$A$16,1))</f>
        <v>5.5</v>
      </c>
      <c r="J136" s="24" t="n">
        <f aca="false">H136/3600/I136</f>
        <v>0.102424242424242</v>
      </c>
      <c r="K136" s="21" t="n">
        <f aca="false">IF(H136&lt;=2000,Hypothèses!$B$23,IF(H136&lt;=4000,Hypothèses!$B$24,Hypothèses!$B$25))</f>
        <v>300</v>
      </c>
      <c r="L136" s="21" t="n">
        <f aca="false">MAX(Hypothèses!$B$26,CEILING(J136/(K136/1000)*1000,Hypothèses!$B$27))</f>
        <v>350</v>
      </c>
      <c r="M136" s="24" t="n">
        <f aca="false">L136*K136/1000000</f>
        <v>0.105</v>
      </c>
      <c r="N136" s="25" t="n">
        <f aca="false">H136/3600/M136</f>
        <v>5.36507936507937</v>
      </c>
      <c r="O136" s="21" t="str">
        <f aca="false">IF(N136&lt;=I136,"oui","NON")</f>
        <v>oui</v>
      </c>
      <c r="P136" s="24" t="n">
        <f aca="false">1.3*((L136/1000)*(K136/1000))^0.625/((L136/1000)+(K136/1000))^0.25</f>
        <v>0.353963373098496</v>
      </c>
      <c r="Q136" s="26" t="n">
        <f aca="false">N136*P136/Hypothèses!$B$20</f>
        <v>126602.772600308</v>
      </c>
      <c r="R136" s="27" t="n">
        <f aca="false">0.25/(LOG10(Hypothèses!$B$21/(3.7*P136)+5.74/Q136^0.9))^2</f>
        <v>0.0194756413012419</v>
      </c>
      <c r="S136" s="25" t="n">
        <f aca="false">R136/P136*Hypothèses!$B$19*N136^2/2</f>
        <v>0.950248065528138</v>
      </c>
      <c r="T136" s="23" t="n">
        <f aca="false">S136*G136*(1+Hypothèses!$B$22)</f>
        <v>8.08185979731682</v>
      </c>
      <c r="U136" s="5" t="s">
        <v>87</v>
      </c>
      <c r="V136" s="21" t="str">
        <f aca="false">IF(K136&lt;=Hypothèses!$B$28-100,"oui","NON")</f>
        <v>oui</v>
      </c>
    </row>
    <row r="137" customFormat="false" ht="15" hidden="false" customHeight="false" outlineLevel="0" collapsed="false">
      <c r="A137" s="21" t="s">
        <v>22</v>
      </c>
      <c r="B137" s="21" t="s">
        <v>263</v>
      </c>
      <c r="C137" s="21" t="s">
        <v>90</v>
      </c>
      <c r="D137" s="21" t="s">
        <v>97</v>
      </c>
      <c r="E137" s="21" t="s">
        <v>85</v>
      </c>
      <c r="F137" s="21" t="s">
        <v>264</v>
      </c>
      <c r="G137" s="22" t="n">
        <v>5.6</v>
      </c>
      <c r="H137" s="6" t="n">
        <v>2026</v>
      </c>
      <c r="I137" s="23" t="n">
        <f aca="false">INDEX(Hypothèses!$C$6:$C$16,MATCH(H137,Hypothèses!$A$6:$A$16,1))</f>
        <v>5.5</v>
      </c>
      <c r="J137" s="24" t="n">
        <f aca="false">H137/3600/I137</f>
        <v>0.102323232323232</v>
      </c>
      <c r="K137" s="21" t="n">
        <f aca="false">IF(H137&lt;=2000,Hypothèses!$B$23,IF(H137&lt;=4000,Hypothèses!$B$24,Hypothèses!$B$25))</f>
        <v>300</v>
      </c>
      <c r="L137" s="21" t="n">
        <f aca="false">MAX(Hypothèses!$B$26,CEILING(J137/(K137/1000)*1000,Hypothèses!$B$27))</f>
        <v>350</v>
      </c>
      <c r="M137" s="24" t="n">
        <f aca="false">L137*K137/1000000</f>
        <v>0.105</v>
      </c>
      <c r="N137" s="25" t="n">
        <f aca="false">H137/3600/M137</f>
        <v>5.35978835978836</v>
      </c>
      <c r="O137" s="21" t="str">
        <f aca="false">IF(N137&lt;=I137,"oui","NON")</f>
        <v>oui</v>
      </c>
      <c r="P137" s="24" t="n">
        <f aca="false">1.3*((L137/1000)*(K137/1000))^0.625/((L137/1000)+(K137/1000))^0.25</f>
        <v>0.353963373098496</v>
      </c>
      <c r="Q137" s="26" t="n">
        <f aca="false">N137*P137/Hypothèses!$B$20</f>
        <v>126477.917794983</v>
      </c>
      <c r="R137" s="27" t="n">
        <f aca="false">0.25/(LOG10(Hypothèses!$B$21/(3.7*P137)+5.74/Q137^0.9))^2</f>
        <v>0.0194779971666278</v>
      </c>
      <c r="S137" s="25" t="n">
        <f aca="false">R137/P137*Hypothèses!$B$19*N137^2/2</f>
        <v>0.948489453056902</v>
      </c>
      <c r="T137" s="23" t="n">
        <f aca="false">S137*G137*(1+Hypothèses!$B$22)</f>
        <v>7.96731140567797</v>
      </c>
      <c r="U137" s="5" t="s">
        <v>87</v>
      </c>
      <c r="V137" s="21" t="str">
        <f aca="false">IF(K137&lt;=Hypothèses!$B$28-100,"oui","NON")</f>
        <v>oui</v>
      </c>
    </row>
    <row r="138" customFormat="false" ht="15" hidden="false" customHeight="false" outlineLevel="0" collapsed="false">
      <c r="A138" s="21" t="s">
        <v>22</v>
      </c>
      <c r="B138" s="21" t="s">
        <v>265</v>
      </c>
      <c r="C138" s="21" t="s">
        <v>90</v>
      </c>
      <c r="D138" s="21" t="s">
        <v>97</v>
      </c>
      <c r="E138" s="21" t="s">
        <v>85</v>
      </c>
      <c r="F138" s="21"/>
      <c r="G138" s="22" t="n">
        <v>3.34</v>
      </c>
      <c r="H138" s="6" t="n">
        <v>1300</v>
      </c>
      <c r="I138" s="23" t="n">
        <f aca="false">INDEX(Hypothèses!$C$6:$C$16,MATCH(H138,Hypothèses!$A$6:$A$16,1))</f>
        <v>4.5</v>
      </c>
      <c r="J138" s="24" t="n">
        <f aca="false">H138/3600/I138</f>
        <v>0.0802469135802469</v>
      </c>
      <c r="K138" s="21" t="n">
        <f aca="false">IF(H138&lt;=2000,Hypothèses!$B$23,IF(H138&lt;=4000,Hypothèses!$B$24,Hypothèses!$B$25))</f>
        <v>250</v>
      </c>
      <c r="L138" s="21" t="n">
        <f aca="false">MAX(Hypothèses!$B$26,CEILING(J138/(K138/1000)*1000,Hypothèses!$B$27))</f>
        <v>350</v>
      </c>
      <c r="M138" s="24" t="n">
        <f aca="false">L138*K138/1000000</f>
        <v>0.0875</v>
      </c>
      <c r="N138" s="25" t="n">
        <f aca="false">H138/3600/M138</f>
        <v>4.12698412698413</v>
      </c>
      <c r="O138" s="21" t="str">
        <f aca="false">IF(N138&lt;=I138,"oui","NON")</f>
        <v>oui</v>
      </c>
      <c r="P138" s="24" t="n">
        <f aca="false">1.3*((L138/1000)*(K138/1000))^0.625/((L138/1000)+(K138/1000))^0.25</f>
        <v>0.322225994577571</v>
      </c>
      <c r="Q138" s="26" t="n">
        <f aca="false">N138*P138/Hypothèses!$B$20</f>
        <v>88654.7709948874</v>
      </c>
      <c r="R138" s="27" t="n">
        <f aca="false">0.25/(LOG10(Hypothèses!$B$21/(3.7*P138)+5.74/Q138^0.9))^2</f>
        <v>0.0205962163779253</v>
      </c>
      <c r="S138" s="25" t="n">
        <f aca="false">R138/P138*Hypothèses!$B$19*N138^2/2</f>
        <v>0.653196306451697</v>
      </c>
      <c r="T138" s="23" t="n">
        <f aca="false">S138*G138*(1+Hypothèses!$B$22)</f>
        <v>3.272513495323</v>
      </c>
      <c r="U138" s="5" t="s">
        <v>87</v>
      </c>
      <c r="V138" s="21" t="str">
        <f aca="false">IF(K138&lt;=Hypothèses!$B$28-100,"oui","NON")</f>
        <v>oui</v>
      </c>
    </row>
    <row r="139" customFormat="false" ht="15" hidden="false" customHeight="false" outlineLevel="0" collapsed="false">
      <c r="A139" s="21" t="s">
        <v>22</v>
      </c>
      <c r="B139" s="21" t="s">
        <v>266</v>
      </c>
      <c r="C139" s="21" t="s">
        <v>90</v>
      </c>
      <c r="D139" s="21" t="s">
        <v>97</v>
      </c>
      <c r="E139" s="21" t="s">
        <v>85</v>
      </c>
      <c r="F139" s="21" t="s">
        <v>267</v>
      </c>
      <c r="G139" s="22" t="n">
        <v>1.17</v>
      </c>
      <c r="H139" s="6" t="n">
        <v>1300</v>
      </c>
      <c r="I139" s="23" t="n">
        <f aca="false">INDEX(Hypothèses!$C$6:$C$16,MATCH(H139,Hypothèses!$A$6:$A$16,1))</f>
        <v>4.5</v>
      </c>
      <c r="J139" s="24" t="n">
        <f aca="false">H139/3600/I139</f>
        <v>0.0802469135802469</v>
      </c>
      <c r="K139" s="21" t="n">
        <f aca="false">IF(H139&lt;=2000,Hypothèses!$B$23,IF(H139&lt;=4000,Hypothèses!$B$24,Hypothèses!$B$25))</f>
        <v>250</v>
      </c>
      <c r="L139" s="21" t="n">
        <f aca="false">MAX(Hypothèses!$B$26,CEILING(J139/(K139/1000)*1000,Hypothèses!$B$27))</f>
        <v>350</v>
      </c>
      <c r="M139" s="24" t="n">
        <f aca="false">L139*K139/1000000</f>
        <v>0.0875</v>
      </c>
      <c r="N139" s="25" t="n">
        <f aca="false">H139/3600/M139</f>
        <v>4.12698412698413</v>
      </c>
      <c r="O139" s="21" t="str">
        <f aca="false">IF(N139&lt;=I139,"oui","NON")</f>
        <v>oui</v>
      </c>
      <c r="P139" s="24" t="n">
        <f aca="false">1.3*((L139/1000)*(K139/1000))^0.625/((L139/1000)+(K139/1000))^0.25</f>
        <v>0.322225994577571</v>
      </c>
      <c r="Q139" s="26" t="n">
        <f aca="false">N139*P139/Hypothèses!$B$20</f>
        <v>88654.7709948874</v>
      </c>
      <c r="R139" s="27" t="n">
        <f aca="false">0.25/(LOG10(Hypothèses!$B$21/(3.7*P139)+5.74/Q139^0.9))^2</f>
        <v>0.0205962163779253</v>
      </c>
      <c r="S139" s="25" t="n">
        <f aca="false">R139/P139*Hypothèses!$B$19*N139^2/2</f>
        <v>0.653196306451697</v>
      </c>
      <c r="T139" s="23" t="n">
        <f aca="false">S139*G139*(1+Hypothèses!$B$22)</f>
        <v>1.14635951782273</v>
      </c>
      <c r="U139" s="5" t="s">
        <v>87</v>
      </c>
      <c r="V139" s="21" t="str">
        <f aca="false">IF(K139&lt;=Hypothèses!$B$28-100,"oui","NON")</f>
        <v>oui</v>
      </c>
    </row>
    <row r="140" customFormat="false" ht="15" hidden="false" customHeight="false" outlineLevel="0" collapsed="false">
      <c r="A140" s="21" t="s">
        <v>22</v>
      </c>
      <c r="B140" s="21" t="s">
        <v>268</v>
      </c>
      <c r="C140" s="21" t="s">
        <v>90</v>
      </c>
      <c r="D140" s="21" t="s">
        <v>97</v>
      </c>
      <c r="E140" s="21" t="s">
        <v>85</v>
      </c>
      <c r="F140" s="21" t="s">
        <v>231</v>
      </c>
      <c r="G140" s="22" t="n">
        <v>2.62</v>
      </c>
      <c r="H140" s="6" t="n">
        <v>1275</v>
      </c>
      <c r="I140" s="23" t="n">
        <f aca="false">INDEX(Hypothèses!$C$6:$C$16,MATCH(H140,Hypothèses!$A$6:$A$16,1))</f>
        <v>4.5</v>
      </c>
      <c r="J140" s="24" t="n">
        <f aca="false">H140/3600/I140</f>
        <v>0.0787037037037037</v>
      </c>
      <c r="K140" s="21" t="n">
        <f aca="false">IF(H140&lt;=2000,Hypothèses!$B$23,IF(H140&lt;=4000,Hypothèses!$B$24,Hypothèses!$B$25))</f>
        <v>250</v>
      </c>
      <c r="L140" s="21" t="n">
        <f aca="false">MAX(Hypothèses!$B$26,CEILING(J140/(K140/1000)*1000,Hypothèses!$B$27))</f>
        <v>350</v>
      </c>
      <c r="M140" s="24" t="n">
        <f aca="false">L140*K140/1000000</f>
        <v>0.0875</v>
      </c>
      <c r="N140" s="25" t="n">
        <f aca="false">H140/3600/M140</f>
        <v>4.04761904761905</v>
      </c>
      <c r="O140" s="21" t="str">
        <f aca="false">IF(N140&lt;=I140,"oui","NON")</f>
        <v>oui</v>
      </c>
      <c r="P140" s="24" t="n">
        <f aca="false">1.3*((L140/1000)*(K140/1000))^0.625/((L140/1000)+(K140/1000))^0.25</f>
        <v>0.322225994577571</v>
      </c>
      <c r="Q140" s="26" t="n">
        <f aca="false">N140*P140/Hypothèses!$B$20</f>
        <v>86949.871552678</v>
      </c>
      <c r="R140" s="27" t="n">
        <f aca="false">0.25/(LOG10(Hypothèses!$B$21/(3.7*P140)+5.74/Q140^0.9))^2</f>
        <v>0.0206518412199505</v>
      </c>
      <c r="S140" s="25" t="n">
        <f aca="false">R140/P140*Hypothèses!$B$19*N140^2/2</f>
        <v>0.630011847961212</v>
      </c>
      <c r="T140" s="23" t="n">
        <f aca="false">S140*G140*(1+Hypothèses!$B$22)</f>
        <v>2.47594656248756</v>
      </c>
      <c r="U140" s="5" t="s">
        <v>87</v>
      </c>
      <c r="V140" s="21" t="str">
        <f aca="false">IF(K140&lt;=Hypothèses!$B$28-100,"oui","NON")</f>
        <v>oui</v>
      </c>
    </row>
    <row r="141" customFormat="false" ht="15" hidden="false" customHeight="false" outlineLevel="0" collapsed="false">
      <c r="A141" s="21" t="s">
        <v>22</v>
      </c>
      <c r="B141" s="21" t="s">
        <v>269</v>
      </c>
      <c r="C141" s="21" t="s">
        <v>90</v>
      </c>
      <c r="D141" s="21" t="s">
        <v>97</v>
      </c>
      <c r="E141" s="21" t="s">
        <v>85</v>
      </c>
      <c r="F141" s="21" t="s">
        <v>225</v>
      </c>
      <c r="G141" s="22" t="n">
        <v>2.11</v>
      </c>
      <c r="H141" s="6" t="n">
        <v>1273</v>
      </c>
      <c r="I141" s="23" t="n">
        <f aca="false">INDEX(Hypothèses!$C$6:$C$16,MATCH(H141,Hypothèses!$A$6:$A$16,1))</f>
        <v>4.5</v>
      </c>
      <c r="J141" s="24" t="n">
        <f aca="false">H141/3600/I141</f>
        <v>0.0785802469135803</v>
      </c>
      <c r="K141" s="21" t="n">
        <f aca="false">IF(H141&lt;=2000,Hypothèses!$B$23,IF(H141&lt;=4000,Hypothèses!$B$24,Hypothèses!$B$25))</f>
        <v>250</v>
      </c>
      <c r="L141" s="21" t="n">
        <f aca="false">MAX(Hypothèses!$B$26,CEILING(J141/(K141/1000)*1000,Hypothèses!$B$27))</f>
        <v>350</v>
      </c>
      <c r="M141" s="24" t="n">
        <f aca="false">L141*K141/1000000</f>
        <v>0.0875</v>
      </c>
      <c r="N141" s="25" t="n">
        <f aca="false">H141/3600/M141</f>
        <v>4.04126984126984</v>
      </c>
      <c r="O141" s="21" t="str">
        <f aca="false">IF(N141&lt;=I141,"oui","NON")</f>
        <v>oui</v>
      </c>
      <c r="P141" s="24" t="n">
        <f aca="false">1.3*((L141/1000)*(K141/1000))^0.625/((L141/1000)+(K141/1000))^0.25</f>
        <v>0.322225994577571</v>
      </c>
      <c r="Q141" s="26" t="n">
        <f aca="false">N141*P141/Hypothèses!$B$20</f>
        <v>86813.4795973013</v>
      </c>
      <c r="R141" s="27" t="n">
        <f aca="false">0.25/(LOG10(Hypothèses!$B$21/(3.7*P141)+5.74/Q141^0.9))^2</f>
        <v>0.0206563642872809</v>
      </c>
      <c r="S141" s="25" t="n">
        <f aca="false">R141/P141*Hypothèses!$B$19*N141^2/2</f>
        <v>0.628174440036163</v>
      </c>
      <c r="T141" s="23" t="n">
        <f aca="false">S141*G141*(1+Hypothèses!$B$22)</f>
        <v>1.98817210271445</v>
      </c>
      <c r="U141" s="5" t="s">
        <v>87</v>
      </c>
      <c r="V141" s="21" t="str">
        <f aca="false">IF(K141&lt;=Hypothèses!$B$28-100,"oui","NON")</f>
        <v>oui</v>
      </c>
    </row>
    <row r="142" customFormat="false" ht="15" hidden="false" customHeight="false" outlineLevel="0" collapsed="false">
      <c r="A142" s="21" t="s">
        <v>22</v>
      </c>
      <c r="B142" s="21" t="s">
        <v>270</v>
      </c>
      <c r="C142" s="21" t="s">
        <v>90</v>
      </c>
      <c r="D142" s="21" t="s">
        <v>97</v>
      </c>
      <c r="E142" s="21" t="s">
        <v>85</v>
      </c>
      <c r="F142" s="21" t="s">
        <v>271</v>
      </c>
      <c r="G142" s="22" t="n">
        <v>2.16</v>
      </c>
      <c r="H142" s="6" t="n">
        <v>706</v>
      </c>
      <c r="I142" s="23" t="n">
        <f aca="false">INDEX(Hypothèses!$C$6:$C$16,MATCH(H142,Hypothèses!$A$6:$A$16,1))</f>
        <v>4</v>
      </c>
      <c r="J142" s="24" t="n">
        <f aca="false">H142/3600/I142</f>
        <v>0.0490277777777778</v>
      </c>
      <c r="K142" s="21" t="n">
        <f aca="false">IF(H142&lt;=2000,Hypothèses!$B$23,IF(H142&lt;=4000,Hypothèses!$B$24,Hypothèses!$B$25))</f>
        <v>250</v>
      </c>
      <c r="L142" s="21" t="n">
        <f aca="false">MAX(Hypothèses!$B$26,CEILING(J142/(K142/1000)*1000,Hypothèses!$B$27))</f>
        <v>200</v>
      </c>
      <c r="M142" s="24" t="n">
        <f aca="false">L142*K142/1000000</f>
        <v>0.05</v>
      </c>
      <c r="N142" s="25" t="n">
        <f aca="false">H142/3600/M142</f>
        <v>3.92222222222222</v>
      </c>
      <c r="O142" s="21" t="str">
        <f aca="false">IF(N142&lt;=I142,"oui","NON")</f>
        <v>oui</v>
      </c>
      <c r="P142" s="24" t="n">
        <f aca="false">1.3*((L142/1000)*(K142/1000))^0.625/((L142/1000)+(K142/1000))^0.25</f>
        <v>0.244059926740309</v>
      </c>
      <c r="Q142" s="26" t="n">
        <f aca="false">N142*P142/Hypothèses!$B$20</f>
        <v>63817.1512143179</v>
      </c>
      <c r="R142" s="27" t="n">
        <f aca="false">0.25/(LOG10(Hypothèses!$B$21/(3.7*P142)+5.74/Q142^0.9))^2</f>
        <v>0.0221643183685596</v>
      </c>
      <c r="S142" s="25" t="n">
        <f aca="false">R142/P142*Hypothèses!$B$19*N142^2/2</f>
        <v>0.838249967865203</v>
      </c>
      <c r="T142" s="23" t="n">
        <f aca="false">S142*G142*(1+Hypothèses!$B$22)</f>
        <v>2.71592989588326</v>
      </c>
      <c r="U142" s="5" t="s">
        <v>87</v>
      </c>
      <c r="V142" s="21" t="str">
        <f aca="false">IF(K142&lt;=Hypothèses!$B$28-100,"oui","NON")</f>
        <v>oui</v>
      </c>
    </row>
    <row r="143" customFormat="false" ht="15" hidden="false" customHeight="false" outlineLevel="0" collapsed="false">
      <c r="A143" s="21" t="s">
        <v>22</v>
      </c>
      <c r="B143" s="21" t="s">
        <v>272</v>
      </c>
      <c r="C143" s="21" t="s">
        <v>90</v>
      </c>
      <c r="D143" s="21" t="s">
        <v>97</v>
      </c>
      <c r="E143" s="21" t="s">
        <v>85</v>
      </c>
      <c r="F143" s="21" t="s">
        <v>264</v>
      </c>
      <c r="G143" s="22" t="n">
        <v>1.54</v>
      </c>
      <c r="H143" s="6" t="n">
        <v>704</v>
      </c>
      <c r="I143" s="23" t="n">
        <f aca="false">INDEX(Hypothèses!$C$6:$C$16,MATCH(H143,Hypothèses!$A$6:$A$16,1))</f>
        <v>4</v>
      </c>
      <c r="J143" s="24" t="n">
        <f aca="false">H143/3600/I143</f>
        <v>0.0488888888888889</v>
      </c>
      <c r="K143" s="21" t="n">
        <f aca="false">IF(H143&lt;=2000,Hypothèses!$B$23,IF(H143&lt;=4000,Hypothèses!$B$24,Hypothèses!$B$25))</f>
        <v>250</v>
      </c>
      <c r="L143" s="21" t="n">
        <f aca="false">MAX(Hypothèses!$B$26,CEILING(J143/(K143/1000)*1000,Hypothèses!$B$27))</f>
        <v>200</v>
      </c>
      <c r="M143" s="24" t="n">
        <f aca="false">L143*K143/1000000</f>
        <v>0.05</v>
      </c>
      <c r="N143" s="25" t="n">
        <f aca="false">H143/3600/M143</f>
        <v>3.91111111111111</v>
      </c>
      <c r="O143" s="21" t="str">
        <f aca="false">IF(N143&lt;=I143,"oui","NON")</f>
        <v>oui</v>
      </c>
      <c r="P143" s="24" t="n">
        <f aca="false">1.3*((L143/1000)*(K143/1000))^0.625/((L143/1000)+(K143/1000))^0.25</f>
        <v>0.244059926740309</v>
      </c>
      <c r="Q143" s="26" t="n">
        <f aca="false">N143*P143/Hypothèses!$B$20</f>
        <v>63636.3660833992</v>
      </c>
      <c r="R143" s="27" t="n">
        <f aca="false">0.25/(LOG10(Hypothèses!$B$21/(3.7*P143)+5.74/Q143^0.9))^2</f>
        <v>0.0221734112575526</v>
      </c>
      <c r="S143" s="25" t="n">
        <f aca="false">R143/P143*Hypothèses!$B$19*N143^2/2</f>
        <v>0.833849348866143</v>
      </c>
      <c r="T143" s="23" t="n">
        <f aca="false">S143*G143*(1+Hypothèses!$B$22)</f>
        <v>1.92619199588079</v>
      </c>
      <c r="U143" s="5" t="s">
        <v>87</v>
      </c>
      <c r="V143" s="21" t="str">
        <f aca="false">IF(K143&lt;=Hypothèses!$B$28-100,"oui","NON")</f>
        <v>oui</v>
      </c>
    </row>
    <row r="144" customFormat="false" ht="15" hidden="false" customHeight="false" outlineLevel="0" collapsed="false">
      <c r="A144" s="21" t="s">
        <v>22</v>
      </c>
      <c r="B144" s="21" t="s">
        <v>273</v>
      </c>
      <c r="C144" s="21" t="s">
        <v>90</v>
      </c>
      <c r="D144" s="21" t="s">
        <v>97</v>
      </c>
      <c r="E144" s="21" t="s">
        <v>239</v>
      </c>
      <c r="F144" s="21" t="s">
        <v>262</v>
      </c>
      <c r="G144" s="22" t="n">
        <v>9.12</v>
      </c>
      <c r="H144" s="6" t="n">
        <v>567</v>
      </c>
      <c r="I144" s="23" t="n">
        <f aca="false">INDEX(Hypothèses!$C$6:$C$16,MATCH(H144,Hypothèses!$A$6:$A$16,1))</f>
        <v>4</v>
      </c>
      <c r="J144" s="24" t="n">
        <f aca="false">H144/3600/I144</f>
        <v>0.039375</v>
      </c>
      <c r="K144" s="21" t="n">
        <f aca="false">IF(H144&lt;=2000,Hypothèses!$B$23,IF(H144&lt;=4000,Hypothèses!$B$24,Hypothèses!$B$25))</f>
        <v>250</v>
      </c>
      <c r="L144" s="21" t="n">
        <f aca="false">MAX(Hypothèses!$B$26,CEILING(J144/(K144/1000)*1000,Hypothèses!$B$27))</f>
        <v>200</v>
      </c>
      <c r="M144" s="24" t="n">
        <f aca="false">L144*K144/1000000</f>
        <v>0.05</v>
      </c>
      <c r="N144" s="25" t="n">
        <f aca="false">H144/3600/M144</f>
        <v>3.15</v>
      </c>
      <c r="O144" s="21" t="str">
        <f aca="false">IF(N144&lt;=I144,"oui","NON")</f>
        <v>oui</v>
      </c>
      <c r="P144" s="24" t="n">
        <f aca="false">1.3*((L144/1000)*(K144/1000))^0.625/((L144/1000)+(K144/1000))^0.25</f>
        <v>0.244059926740309</v>
      </c>
      <c r="Q144" s="26" t="n">
        <f aca="false">N144*P144/Hypothèses!$B$20</f>
        <v>51252.5846154649</v>
      </c>
      <c r="R144" s="27" t="n">
        <f aca="false">0.25/(LOG10(Hypothèses!$B$21/(3.7*P144)+5.74/Q144^0.9))^2</f>
        <v>0.0229106884632463</v>
      </c>
      <c r="S144" s="25" t="n">
        <f aca="false">R144/P144*Hypothèses!$B$19*N144^2/2</f>
        <v>0.558874148606424</v>
      </c>
      <c r="T144" s="23" t="n">
        <f aca="false">S144*G144*(1+Hypothèses!$B$22)</f>
        <v>7.64539835293588</v>
      </c>
      <c r="U144" s="5"/>
      <c r="V144" s="21" t="str">
        <f aca="false">IF(K144&lt;=Hypothèses!$B$28-100,"oui","NON")</f>
        <v>oui</v>
      </c>
    </row>
    <row r="145" customFormat="false" ht="15" hidden="false" customHeight="false" outlineLevel="0" collapsed="false">
      <c r="A145" s="21" t="s">
        <v>22</v>
      </c>
      <c r="B145" s="21" t="s">
        <v>274</v>
      </c>
      <c r="C145" s="21" t="s">
        <v>90</v>
      </c>
      <c r="D145" s="21" t="s">
        <v>97</v>
      </c>
      <c r="E145" s="21" t="s">
        <v>239</v>
      </c>
      <c r="F145" s="21"/>
      <c r="G145" s="22" t="n">
        <v>0.73</v>
      </c>
      <c r="H145" s="6" t="n">
        <v>561</v>
      </c>
      <c r="I145" s="23" t="n">
        <f aca="false">INDEX(Hypothèses!$C$6:$C$16,MATCH(H145,Hypothèses!$A$6:$A$16,1))</f>
        <v>4</v>
      </c>
      <c r="J145" s="24" t="n">
        <f aca="false">H145/3600/I145</f>
        <v>0.0389583333333333</v>
      </c>
      <c r="K145" s="21" t="n">
        <f aca="false">IF(H145&lt;=2000,Hypothèses!$B$23,IF(H145&lt;=4000,Hypothèses!$B$24,Hypothèses!$B$25))</f>
        <v>250</v>
      </c>
      <c r="L145" s="21" t="n">
        <f aca="false">MAX(Hypothèses!$B$26,CEILING(J145/(K145/1000)*1000,Hypothèses!$B$27))</f>
        <v>200</v>
      </c>
      <c r="M145" s="24" t="n">
        <f aca="false">L145*K145/1000000</f>
        <v>0.05</v>
      </c>
      <c r="N145" s="25" t="n">
        <f aca="false">H145/3600/M145</f>
        <v>3.11666666666667</v>
      </c>
      <c r="O145" s="21" t="str">
        <f aca="false">IF(N145&lt;=I145,"oui","NON")</f>
        <v>oui</v>
      </c>
      <c r="P145" s="24" t="n">
        <f aca="false">1.3*((L145/1000)*(K145/1000))^0.625/((L145/1000)+(K145/1000))^0.25</f>
        <v>0.244059926740309</v>
      </c>
      <c r="Q145" s="26" t="n">
        <f aca="false">N145*P145/Hypothèses!$B$20</f>
        <v>50710.2292227087</v>
      </c>
      <c r="R145" s="27" t="n">
        <f aca="false">0.25/(LOG10(Hypothèses!$B$21/(3.7*P145)+5.74/Q145^0.9))^2</f>
        <v>0.0229492141618083</v>
      </c>
      <c r="S145" s="25" t="n">
        <f aca="false">R145/P145*Hypothèses!$B$19*N145^2/2</f>
        <v>0.548028702583214</v>
      </c>
      <c r="T145" s="23" t="n">
        <f aca="false">S145*G145*(1+Hypothèses!$B$22)</f>
        <v>0.600091429328619</v>
      </c>
      <c r="U145" s="5"/>
      <c r="V145" s="21" t="str">
        <f aca="false">IF(K145&lt;=Hypothèses!$B$28-100,"oui","NON")</f>
        <v>oui</v>
      </c>
    </row>
    <row r="146" customFormat="false" ht="15" hidden="false" customHeight="false" outlineLevel="0" collapsed="false">
      <c r="A146" s="21" t="s">
        <v>22</v>
      </c>
      <c r="B146" s="21" t="s">
        <v>275</v>
      </c>
      <c r="C146" s="21" t="s">
        <v>90</v>
      </c>
      <c r="D146" s="21" t="s">
        <v>97</v>
      </c>
      <c r="E146" s="21" t="s">
        <v>239</v>
      </c>
      <c r="F146" s="21" t="s">
        <v>276</v>
      </c>
      <c r="G146" s="22" t="n">
        <v>12.98</v>
      </c>
      <c r="H146" s="6" t="n">
        <v>561</v>
      </c>
      <c r="I146" s="23" t="n">
        <f aca="false">INDEX(Hypothèses!$C$6:$C$16,MATCH(H146,Hypothèses!$A$6:$A$16,1))</f>
        <v>4</v>
      </c>
      <c r="J146" s="24" t="n">
        <f aca="false">H146/3600/I146</f>
        <v>0.0389583333333333</v>
      </c>
      <c r="K146" s="21" t="n">
        <f aca="false">IF(H146&lt;=2000,Hypothèses!$B$23,IF(H146&lt;=4000,Hypothèses!$B$24,Hypothèses!$B$25))</f>
        <v>250</v>
      </c>
      <c r="L146" s="21" t="n">
        <f aca="false">MAX(Hypothèses!$B$26,CEILING(J146/(K146/1000)*1000,Hypothèses!$B$27))</f>
        <v>200</v>
      </c>
      <c r="M146" s="24" t="n">
        <f aca="false">L146*K146/1000000</f>
        <v>0.05</v>
      </c>
      <c r="N146" s="25" t="n">
        <f aca="false">H146/3600/M146</f>
        <v>3.11666666666667</v>
      </c>
      <c r="O146" s="21" t="str">
        <f aca="false">IF(N146&lt;=I146,"oui","NON")</f>
        <v>oui</v>
      </c>
      <c r="P146" s="24" t="n">
        <f aca="false">1.3*((L146/1000)*(K146/1000))^0.625/((L146/1000)+(K146/1000))^0.25</f>
        <v>0.244059926740309</v>
      </c>
      <c r="Q146" s="26" t="n">
        <f aca="false">N146*P146/Hypothèses!$B$20</f>
        <v>50710.2292227087</v>
      </c>
      <c r="R146" s="27" t="n">
        <f aca="false">0.25/(LOG10(Hypothèses!$B$21/(3.7*P146)+5.74/Q146^0.9))^2</f>
        <v>0.0229492141618083</v>
      </c>
      <c r="S146" s="25" t="n">
        <f aca="false">R146/P146*Hypothèses!$B$19*N146^2/2</f>
        <v>0.548028702583214</v>
      </c>
      <c r="T146" s="23" t="n">
        <f aca="false">S146*G146*(1+Hypothèses!$B$22)</f>
        <v>10.6701188392952</v>
      </c>
      <c r="U146" s="5"/>
      <c r="V146" s="21" t="str">
        <f aca="false">IF(K146&lt;=Hypothèses!$B$28-100,"oui","NON")</f>
        <v>oui</v>
      </c>
    </row>
    <row r="147" customFormat="false" ht="15" hidden="false" customHeight="false" outlineLevel="0" collapsed="false">
      <c r="A147" s="21" t="s">
        <v>22</v>
      </c>
      <c r="B147" s="21" t="s">
        <v>277</v>
      </c>
      <c r="C147" s="21" t="s">
        <v>90</v>
      </c>
      <c r="D147" s="21" t="s">
        <v>97</v>
      </c>
      <c r="E147" s="21" t="s">
        <v>239</v>
      </c>
      <c r="F147" s="21" t="s">
        <v>278</v>
      </c>
      <c r="G147" s="22" t="n">
        <v>0.03</v>
      </c>
      <c r="H147" s="6" t="n">
        <v>121</v>
      </c>
      <c r="I147" s="23" t="n">
        <f aca="false">INDEX(Hypothèses!$C$6:$C$16,MATCH(H147,Hypothèses!$A$6:$A$16,1))</f>
        <v>3</v>
      </c>
      <c r="J147" s="24" t="n">
        <f aca="false">H147/3600/I147</f>
        <v>0.0112037037037037</v>
      </c>
      <c r="K147" s="21" t="n">
        <f aca="false">IF(H147&lt;=2000,Hypothèses!$B$23,IF(H147&lt;=4000,Hypothèses!$B$24,Hypothèses!$B$25))</f>
        <v>250</v>
      </c>
      <c r="L147" s="21" t="n">
        <f aca="false">MAX(Hypothèses!$B$26,CEILING(J147/(K147/1000)*1000,Hypothèses!$B$27))</f>
        <v>200</v>
      </c>
      <c r="M147" s="24" t="n">
        <f aca="false">L147*K147/1000000</f>
        <v>0.05</v>
      </c>
      <c r="N147" s="25" t="n">
        <f aca="false">H147/3600/M147</f>
        <v>0.672222222222222</v>
      </c>
      <c r="O147" s="21" t="str">
        <f aca="false">IF(N147&lt;=I147,"oui","NON")</f>
        <v>oui</v>
      </c>
      <c r="P147" s="24" t="n">
        <f aca="false">1.3*((L147/1000)*(K147/1000))^0.625/((L147/1000)+(K147/1000))^0.25</f>
        <v>0.244059926740309</v>
      </c>
      <c r="Q147" s="26" t="n">
        <f aca="false">N147*P147/Hypothèses!$B$20</f>
        <v>10937.5004205842</v>
      </c>
      <c r="R147" s="27" t="n">
        <f aca="false">0.25/(LOG10(Hypothèses!$B$21/(3.7*P147)+5.74/Q147^0.9))^2</f>
        <v>0.0313257215959952</v>
      </c>
      <c r="S147" s="25" t="n">
        <f aca="false">R147/P147*Hypothèses!$B$19*N147^2/2</f>
        <v>0.0348001878376386</v>
      </c>
      <c r="T147" s="23" t="n">
        <f aca="false">S147*G147*(1+Hypothèses!$B$22)</f>
        <v>0.00156600845269374</v>
      </c>
      <c r="U147" s="5"/>
      <c r="V147" s="21" t="str">
        <f aca="false">IF(K147&lt;=Hypothèses!$B$28-100,"oui","NON")</f>
        <v>oui</v>
      </c>
    </row>
  </sheetData>
  <autoFilter ref="A4:V14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2026-10-17T20:24:15Z</dcterms:created>
  <dc:creator>openpyxl</dc:creator>
  <dc:description/>
  <dc:language>en-US</dc:language>
  <cp:lastModifiedBy/>
  <dcterms:modified xsi:type="dcterms:W3CDTF">2026-10-17T20:24:15Z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