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ynthèse" sheetId="1" state="visible" r:id="rId1"/>
    <sheet xmlns:r="http://schemas.openxmlformats.org/officeDocument/2006/relationships" name="Hypothèses" sheetId="2" state="visible" r:id="rId2"/>
    <sheet xmlns:r="http://schemas.openxmlformats.org/officeDocument/2006/relationships" name="Tronçons" sheetId="3" state="visible" r:id="rId3"/>
    <sheet xmlns:r="http://schemas.openxmlformats.org/officeDocument/2006/relationships" name="Réseaux VMC" sheetId="4" state="visible" r:id="rId4"/>
    <sheet xmlns:r="http://schemas.openxmlformats.org/officeDocument/2006/relationships" name="Branches 27-10" sheetId="5" state="visible" r:id="rId5"/>
  </sheets>
  <definedNames>
    <definedName name="_xlnm._FilterDatabase" localSheetId="2" hidden="1">'Tronçons'!$A$4:$V$279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6">
    <numFmt numFmtId="164" formatCode="\+0%;\-0%;0%"/>
    <numFmt numFmtId="165" formatCode="0.0E+00"/>
    <numFmt numFmtId="166" formatCode="0.00000"/>
    <numFmt numFmtId="167" formatCode="0.0"/>
    <numFmt numFmtId="168" formatCode="0.000"/>
    <numFmt numFmtId="169" formatCode="0.0000"/>
  </numFmts>
  <fonts count="1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4E79"/>
      <sz val="14"/>
    </font>
    <font>
      <name val="Arial"/>
      <charset val="1"/>
      <family val="0"/>
      <i val="1"/>
      <color rgb="FF595959"/>
      <sz val="10"/>
    </font>
    <font>
      <name val="Arial"/>
      <charset val="1"/>
      <family val="0"/>
      <b val="1"/>
      <sz val="10"/>
    </font>
    <font>
      <name val="Arial"/>
      <charset val="1"/>
      <family val="0"/>
      <color rgb="FF0000FF"/>
      <sz val="10"/>
    </font>
    <font>
      <name val="Arial"/>
      <charset val="1"/>
      <family val="0"/>
      <sz val="10"/>
    </font>
    <font>
      <name val="Arial"/>
      <family val="2"/>
      <sz val="10"/>
    </font>
    <font>
      <name val="Arial"/>
      <charset val="1"/>
      <family val="0"/>
      <b val="1"/>
      <sz val="13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sz val="12"/>
    </font>
    <font>
      <b val="1"/>
      <sz val="13"/>
    </font>
    <font>
      <b val="1"/>
    </font>
    <font>
      <b val="1"/>
      <color rgb="00C00000"/>
    </font>
    <font>
      <b val="1"/>
      <color rgb="00C55A11"/>
    </font>
  </fonts>
  <fills count="7">
    <fill>
      <patternFill/>
    </fill>
    <fill>
      <patternFill patternType="gray125"/>
    </fill>
    <fill>
      <patternFill patternType="solid">
        <fgColor rgb="FFDCE6F1"/>
        <bgColor rgb="FFCCFFFF"/>
      </patternFill>
    </fill>
    <fill>
      <patternFill patternType="solid">
        <fgColor rgb="FFFFF2CC"/>
        <bgColor rgb="FFFFFFFF"/>
      </patternFill>
    </fill>
    <fill>
      <patternFill patternType="solid">
        <fgColor rgb="FF1F4E78"/>
        <bgColor rgb="FF1F4E79"/>
      </patternFill>
    </fill>
    <fill>
      <patternFill patternType="solid">
        <fgColor rgb="00DDEBF7"/>
      </patternFill>
    </fill>
    <fill>
      <patternFill patternType="solid">
        <fgColor rgb="00DDEE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6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center" wrapText="1"/>
    </xf>
    <xf numFmtId="0" fontId="6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3" fontId="7" fillId="0" borderId="1" applyAlignment="1" pivotButton="0" quotePrefix="0" xfId="0">
      <alignment horizontal="general" vertical="bottom"/>
    </xf>
    <xf numFmtId="3" fontId="0" fillId="0" borderId="1" applyAlignment="1" pivotButton="0" quotePrefix="0" xfId="0">
      <alignment horizontal="general" vertical="bottom"/>
    </xf>
    <xf numFmtId="164" fontId="0" fillId="0" borderId="1" applyAlignment="1" pivotButton="0" quotePrefix="0" xfId="0">
      <alignment horizontal="general" vertical="bottom"/>
    </xf>
    <xf numFmtId="2" fontId="0" fillId="0" borderId="1" applyAlignment="1" pivotButton="0" quotePrefix="0" xfId="0">
      <alignment horizontal="general" vertical="bottom"/>
    </xf>
    <xf numFmtId="1" fontId="0" fillId="0" borderId="1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7" fillId="3" borderId="1" applyAlignment="1" pivotButton="0" quotePrefix="0" xfId="0">
      <alignment horizontal="general" vertical="bottom"/>
    </xf>
    <xf numFmtId="165" fontId="7" fillId="3" borderId="1" applyAlignment="1" pivotButton="0" quotePrefix="0" xfId="0">
      <alignment horizontal="general" vertical="bottom"/>
    </xf>
    <xf numFmtId="166" fontId="7" fillId="3" borderId="1" applyAlignment="1" pivotButton="0" quotePrefix="0" xfId="0">
      <alignment horizontal="general" vertical="bottom"/>
    </xf>
    <xf numFmtId="9" fontId="7" fillId="3" borderId="1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general" vertical="bottom"/>
    </xf>
    <xf numFmtId="2" fontId="7" fillId="0" borderId="1" applyAlignment="1" pivotButton="0" quotePrefix="0" xfId="0">
      <alignment horizontal="general" vertical="bottom"/>
    </xf>
    <xf numFmtId="167" fontId="8" fillId="0" borderId="1" applyAlignment="1" pivotButton="0" quotePrefix="0" xfId="0">
      <alignment horizontal="general" vertical="bottom"/>
    </xf>
    <xf numFmtId="168" fontId="8" fillId="0" borderId="1" applyAlignment="1" pivotButton="0" quotePrefix="0" xfId="0">
      <alignment horizontal="general" vertical="bottom"/>
    </xf>
    <xf numFmtId="2" fontId="8" fillId="0" borderId="1" applyAlignment="1" pivotButton="0" quotePrefix="0" xfId="0">
      <alignment horizontal="general" vertical="bottom"/>
    </xf>
    <xf numFmtId="3" fontId="8" fillId="0" borderId="1" applyAlignment="1" pivotButton="0" quotePrefix="0" xfId="0">
      <alignment horizontal="general" vertical="bottom"/>
    </xf>
    <xf numFmtId="169" fontId="8" fillId="0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11" fillId="4" borderId="1" applyAlignment="1" pivotButton="0" quotePrefix="0" xfId="0">
      <alignment horizontal="general" vertical="center" wrapText="1"/>
    </xf>
    <xf numFmtId="0" fontId="8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168" fontId="8" fillId="0" borderId="1" applyAlignment="1" pivotButton="0" quotePrefix="0" xfId="0">
      <alignment horizontal="general" vertical="bottom"/>
    </xf>
    <xf numFmtId="2" fontId="8" fillId="0" borderId="1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1" fillId="4" borderId="1" applyAlignment="1" pivotButton="0" quotePrefix="0" xfId="0">
      <alignment horizontal="general" vertical="bottom" wrapText="1"/>
    </xf>
    <xf numFmtId="0" fontId="8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center" wrapText="1"/>
    </xf>
    <xf numFmtId="0" fontId="6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3" fontId="7" fillId="0" borderId="1" applyAlignment="1" pivotButton="0" quotePrefix="0" xfId="0">
      <alignment horizontal="general" vertical="bottom"/>
    </xf>
    <xf numFmtId="3" fontId="0" fillId="0" borderId="1" applyAlignment="1" pivotButton="0" quotePrefix="0" xfId="0">
      <alignment horizontal="general" vertical="bottom"/>
    </xf>
    <xf numFmtId="164" fontId="0" fillId="0" borderId="1" applyAlignment="1" pivotButton="0" quotePrefix="0" xfId="0">
      <alignment horizontal="general" vertical="bottom"/>
    </xf>
    <xf numFmtId="2" fontId="0" fillId="0" borderId="1" applyAlignment="1" pivotButton="0" quotePrefix="0" xfId="0">
      <alignment horizontal="general" vertical="bottom"/>
    </xf>
    <xf numFmtId="1" fontId="0" fillId="0" borderId="1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7" fillId="3" borderId="1" applyAlignment="1" pivotButton="0" quotePrefix="0" xfId="0">
      <alignment horizontal="general" vertical="bottom"/>
    </xf>
    <xf numFmtId="165" fontId="7" fillId="3" borderId="1" applyAlignment="1" pivotButton="0" quotePrefix="0" xfId="0">
      <alignment horizontal="general" vertical="bottom"/>
    </xf>
    <xf numFmtId="166" fontId="7" fillId="3" borderId="1" applyAlignment="1" pivotButton="0" quotePrefix="0" xfId="0">
      <alignment horizontal="general" vertical="bottom"/>
    </xf>
    <xf numFmtId="9" fontId="7" fillId="3" borderId="1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general" vertical="bottom"/>
    </xf>
    <xf numFmtId="2" fontId="7" fillId="0" borderId="1" applyAlignment="1" pivotButton="0" quotePrefix="0" xfId="0">
      <alignment horizontal="general" vertical="bottom"/>
    </xf>
    <xf numFmtId="167" fontId="8" fillId="0" borderId="1" applyAlignment="1" pivotButton="0" quotePrefix="0" xfId="0">
      <alignment horizontal="general" vertical="bottom"/>
    </xf>
    <xf numFmtId="168" fontId="8" fillId="0" borderId="1" applyAlignment="1" pivotButton="0" quotePrefix="0" xfId="0">
      <alignment horizontal="general" vertical="bottom"/>
    </xf>
    <xf numFmtId="2" fontId="8" fillId="0" borderId="1" applyAlignment="1" pivotButton="0" quotePrefix="0" xfId="0">
      <alignment horizontal="general" vertical="bottom"/>
    </xf>
    <xf numFmtId="3" fontId="8" fillId="0" borderId="1" applyAlignment="1" pivotButton="0" quotePrefix="0" xfId="0">
      <alignment horizontal="general" vertical="bottom"/>
    </xf>
    <xf numFmtId="169" fontId="8" fillId="0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4" borderId="1" applyAlignment="1" pivotButton="0" quotePrefix="0" xfId="0">
      <alignment horizontal="general" vertical="center" wrapText="1"/>
    </xf>
    <xf numFmtId="0" fontId="12" fillId="0" borderId="0" applyAlignment="1" pivotButton="0" quotePrefix="0" xfId="0">
      <alignment horizontal="general" vertical="bottom"/>
    </xf>
    <xf numFmtId="0" fontId="11" fillId="4" borderId="1" applyAlignment="1" pivotButton="0" quotePrefix="0" xfId="0">
      <alignment horizontal="general" vertical="bottom" wrapText="1"/>
    </xf>
    <xf numFmtId="0" fontId="13" fillId="0" borderId="0" pivotButton="0" quotePrefix="0" xfId="0"/>
    <xf numFmtId="0" fontId="14" fillId="5" borderId="0" pivotButton="0" quotePrefix="0" xfId="0"/>
    <xf numFmtId="0" fontId="0" fillId="6" borderId="0" pivotButton="0" quotePrefix="0" xfId="0"/>
    <xf numFmtId="0" fontId="15" fillId="0" borderId="0" pivotButton="0" quotePrefix="0" xfId="0"/>
    <xf numFmtId="0" fontId="16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ill>
        <patternFill patternType="solid">
          <fgColor rgb="FFDCE6F1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4E78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Unknown Author</author>
  </authors>
  <commentList>
    <comment ref="C5" authorId="0" shapeId="0">
      <text>
        <t>CCTP § 4.10.2 : CTA 1 – Aile Nord – zone ouverte</t>
      </text>
    </comment>
    <comment ref="C6" authorId="0" shapeId="0">
      <text>
        <t>CCTP § 4.10.2 : CTA 2 – Aile Sud – zone ouverte</t>
      </text>
    </comment>
    <comment ref="C7" authorId="0" shapeId="0">
      <text>
        <t>CCTP § 4.10.2 : CTA 3 – Aile Nord – zone fermée</t>
      </text>
    </comment>
    <comment ref="C8" authorId="0" shapeId="0">
      <text>
        <t>CCTP § 4.10.2 : CTA 4 – Aile Sud – zone fermée</t>
      </text>
    </comment>
    <comment ref="C9" authorId="0" shapeId="0">
      <text>
        <t>CCTP § 4.11.2 : CTA 5 – Aile Nord – zone commune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M17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8" customWidth="1" style="39" min="1" max="1"/>
    <col width="32" customWidth="1" style="39" min="2" max="2"/>
    <col width="11" customWidth="1" style="39" min="3" max="4"/>
    <col width="8" customWidth="1" style="39" min="5" max="5"/>
    <col width="14" customWidth="1" style="39" min="6" max="6"/>
    <col width="10" customWidth="1" style="39" min="7" max="9"/>
    <col width="13" customWidth="1" style="39" min="10" max="10"/>
    <col width="11" customWidth="1" style="39" min="11" max="11"/>
    <col width="13" customWidth="1" style="39" min="12" max="12"/>
    <col width="44" customWidth="1" style="39" min="13" max="13"/>
  </cols>
  <sheetData>
    <row r="1" ht="17.25" customHeight="1" s="40">
      <c r="A1" s="41" t="inlineStr">
        <is>
          <t>Gaines principales de ventilation – synthèse par CTA</t>
        </is>
      </c>
    </row>
    <row r="2" ht="15" customHeight="1" s="40">
      <c r="A2" s="42" t="inlineStr">
        <is>
          <t>EHPAD La Bassée · lot 12 CVC · méthode du CCTP § 2.2.5 (vitesse maxi selon le débit). Détail dans l'onglet « Tronçons ».</t>
        </is>
      </c>
    </row>
    <row r="4" ht="43.5" customHeight="1" s="40">
      <c r="A4" s="43" t="inlineStr">
        <is>
          <t>CTA</t>
        </is>
      </c>
      <c r="B4" s="43" t="inlineStr">
        <is>
          <t>Réseau</t>
        </is>
      </c>
      <c r="C4" s="43" t="inlineStr">
        <is>
          <t>Débit CCTP (m³/h)</t>
        </is>
      </c>
      <c r="D4" s="43" t="inlineStr">
        <is>
          <t>Débit calculé (m³/h)</t>
        </is>
      </c>
      <c r="E4" s="43" t="inlineStr">
        <is>
          <t>Écart</t>
        </is>
      </c>
      <c r="F4" s="43" t="inlineStr">
        <is>
          <t>Gaine au départ (L × H mm)</t>
        </is>
      </c>
      <c r="G4" s="43" t="inlineStr">
        <is>
          <t>Vitesse au départ (m/s)</t>
        </is>
      </c>
      <c r="H4" s="43" t="inlineStr">
        <is>
          <t>Nombre de tronçons</t>
        </is>
      </c>
      <c r="I4" s="43" t="inlineStr">
        <is>
          <t>Longueur totale (m)</t>
        </is>
      </c>
      <c r="J4" s="43" t="inlineStr">
        <is>
          <t>Pertes circuit défavorisé (Pa)</t>
        </is>
      </c>
      <c r="K4" s="43" t="inlineStr">
        <is>
          <t>Tronçons trop rapides</t>
        </is>
      </c>
      <c r="L4" s="43" t="inlineStr">
        <is>
          <t>Tronçons trop hauts pour le plénum</t>
        </is>
      </c>
      <c r="M4" s="43" t="inlineStr">
        <is>
          <t>Descente / gaine technique</t>
        </is>
      </c>
    </row>
    <row r="5" ht="15" customHeight="1" s="40">
      <c r="A5" s="44" t="inlineStr">
        <is>
          <t>CTA 1</t>
        </is>
      </c>
      <c r="B5" s="45" t="inlineStr">
        <is>
          <t>CTA 1 – zone ouverte aile Nord</t>
        </is>
      </c>
      <c r="C5" s="46" t="n">
        <v>2520</v>
      </c>
      <c r="D5" s="47">
        <f>Tronçons!H5</f>
        <v/>
      </c>
      <c r="E5" s="48">
        <f>IF(C5&gt;0,D5/C5-1,"")</f>
        <v/>
      </c>
      <c r="F5" s="45">
        <f>Tronçons!L5&amp;" × "&amp;Tronçons!K5</f>
        <v/>
      </c>
      <c r="G5" s="49">
        <f>Tronçons!N5</f>
        <v/>
      </c>
      <c r="H5" s="45">
        <f>COUNTIF(Tronçons!$A$5:$A$279,A5)</f>
        <v/>
      </c>
      <c r="I5" s="50">
        <f>SUMIF(Tronçons!$A$5:$A$279,A5,Tronçons!$G$5:$G$279)</f>
        <v/>
      </c>
      <c r="J5" s="50">
        <f>MAX(SUMIFS(Tronçons!$T$5:$T$279,Tronçons!$A$5:$A$279,A5,Tronçons!$U$5:$U$279,"X",Tronçons!$E$5:$E$279,"Soufflage"),SUMIFS(Tronçons!$T$5:$T$279,Tronçons!$A$5:$A$279,A5,Tronçons!$U$5:$U$279,"X",Tronçons!$E$5:$E$279,"Reprise"))</f>
        <v/>
      </c>
      <c r="K5" s="45">
        <f>COUNTIFS(Tronçons!$A$5:$A$279,A5,Tronçons!$O$5:$O$279,"NON")</f>
        <v/>
      </c>
      <c r="L5" s="45">
        <f>COUNTIFS(Tronçons!$A$5:$A$279,A5,Tronçons!$V$5:$V$279,"NON")</f>
        <v/>
      </c>
      <c r="M5" s="45" t="inlineStr">
        <is>
          <t>gaine technique dans le local ménage (RDC + étage)</t>
        </is>
      </c>
    </row>
    <row r="6" ht="15" customHeight="1" s="40">
      <c r="A6" s="44" t="inlineStr">
        <is>
          <t>CTA 2</t>
        </is>
      </c>
      <c r="B6" s="45" t="inlineStr">
        <is>
          <t>CTA 2 – zone ouverte aile Sud</t>
        </is>
      </c>
      <c r="C6" s="46" t="n">
        <v>2330</v>
      </c>
      <c r="D6" s="47">
        <f>Tronçons!H75</f>
        <v/>
      </c>
      <c r="E6" s="48">
        <f>IF(C6&gt;0,D6/C6-1,"")</f>
        <v/>
      </c>
      <c r="F6" s="45">
        <f>Tronçons!L75&amp;" × "&amp;Tronçons!K75</f>
        <v/>
      </c>
      <c r="G6" s="49">
        <f>Tronçons!N75</f>
        <v/>
      </c>
      <c r="H6" s="45">
        <f>COUNTIF(Tronçons!$A$5:$A$279,A6)</f>
        <v/>
      </c>
      <c r="I6" s="50">
        <f>SUMIF(Tronçons!$A$5:$A$279,A6,Tronçons!$G$5:$G$279)</f>
        <v/>
      </c>
      <c r="J6" s="50">
        <f>MAX(SUMIFS(Tronçons!$T$5:$T$279,Tronçons!$A$5:$A$279,A6,Tronçons!$U$5:$U$279,"X",Tronçons!$E$5:$E$279,"Soufflage"),SUMIFS(Tronçons!$T$5:$T$279,Tronçons!$A$5:$A$279,A6,Tronçons!$U$5:$U$279,"X",Tronçons!$E$5:$E$279,"Reprise"))</f>
        <v/>
      </c>
      <c r="K6" s="45">
        <f>COUNTIFS(Tronçons!$A$5:$A$279,A6,Tronçons!$O$5:$O$279,"NON")</f>
        <v/>
      </c>
      <c r="L6" s="45">
        <f>COUNTIFS(Tronçons!$A$5:$A$279,A6,Tronçons!$V$5:$V$279,"NON")</f>
        <v/>
      </c>
      <c r="M6" s="45" t="inlineStr">
        <is>
          <t>gaine technique dans l'office (RDC + étage)</t>
        </is>
      </c>
    </row>
    <row r="7" ht="15" customHeight="1" s="40">
      <c r="A7" s="44" t="inlineStr">
        <is>
          <t>CTA 3</t>
        </is>
      </c>
      <c r="B7" s="45" t="inlineStr">
        <is>
          <t>CTA 3 – zone fermée aile Nord</t>
        </is>
      </c>
      <c r="C7" s="46" t="n">
        <v>1170</v>
      </c>
      <c r="D7" s="47">
        <f>Tronçons!H139</f>
        <v/>
      </c>
      <c r="E7" s="48">
        <f>IF(C7&gt;0,D7/C7-1,"")</f>
        <v/>
      </c>
      <c r="F7" s="45">
        <f>Tronçons!L139&amp;" × "&amp;Tronçons!K139</f>
        <v/>
      </c>
      <c r="G7" s="49">
        <f>Tronçons!N139</f>
        <v/>
      </c>
      <c r="H7" s="45">
        <f>COUNTIF(Tronçons!$A$5:$A$279,A7)</f>
        <v/>
      </c>
      <c r="I7" s="50">
        <f>SUMIF(Tronçons!$A$5:$A$279,A7,Tronçons!$G$5:$G$279)</f>
        <v/>
      </c>
      <c r="J7" s="50">
        <f>MAX(SUMIFS(Tronçons!$T$5:$T$279,Tronçons!$A$5:$A$279,A7,Tronçons!$U$5:$U$279,"X",Tronçons!$E$5:$E$279,"Soufflage"),SUMIFS(Tronçons!$T$5:$T$279,Tronçons!$A$5:$A$279,A7,Tronçons!$U$5:$U$279,"X",Tronçons!$E$5:$E$279,"Reprise"))</f>
        <v/>
      </c>
      <c r="K7" s="45">
        <f>COUNTIFS(Tronçons!$A$5:$A$279,A7,Tronçons!$O$5:$O$279,"NON")</f>
        <v/>
      </c>
      <c r="L7" s="45">
        <f>COUNTIFS(Tronçons!$A$5:$A$279,A7,Tronçons!$V$5:$V$279,"NON")</f>
        <v/>
      </c>
      <c r="M7" s="45" t="inlineStr">
        <is>
          <t>descente directe par la toiture dans le couloir, au centre (étage seul) : la toiture de l'aile est prise par les tuiles et les PV</t>
        </is>
      </c>
    </row>
    <row r="8" ht="15" customHeight="1" s="40">
      <c r="A8" s="44" t="inlineStr">
        <is>
          <t>CTA 4</t>
        </is>
      </c>
      <c r="B8" s="45" t="inlineStr">
        <is>
          <t>CTA 4 – zone fermée aile Sud</t>
        </is>
      </c>
      <c r="C8" s="46" t="n">
        <v>1170</v>
      </c>
      <c r="D8" s="47">
        <f>Tronçons!H169</f>
        <v/>
      </c>
      <c r="E8" s="48">
        <f>IF(C8&gt;0,D8/C8-1,"")</f>
        <v/>
      </c>
      <c r="F8" s="45">
        <f>Tronçons!L169&amp;" × "&amp;Tronçons!K169</f>
        <v/>
      </c>
      <c r="G8" s="49">
        <f>Tronçons!N169</f>
        <v/>
      </c>
      <c r="H8" s="45">
        <f>COUNTIF(Tronçons!$A$5:$A$279,A8)</f>
        <v/>
      </c>
      <c r="I8" s="50">
        <f>SUMIF(Tronçons!$A$5:$A$279,A8,Tronçons!$G$5:$G$279)</f>
        <v/>
      </c>
      <c r="J8" s="50">
        <f>MAX(SUMIFS(Tronçons!$T$5:$T$279,Tronçons!$A$5:$A$279,A8,Tronçons!$U$5:$U$279,"X",Tronçons!$E$5:$E$279,"Soufflage"),SUMIFS(Tronçons!$T$5:$T$279,Tronçons!$A$5:$A$279,A8,Tronçons!$U$5:$U$279,"X",Tronçons!$E$5:$E$279,"Reprise"))</f>
        <v/>
      </c>
      <c r="K8" s="45">
        <f>COUNTIFS(Tronçons!$A$5:$A$279,A8,Tronçons!$O$5:$O$279,"NON")</f>
        <v/>
      </c>
      <c r="L8" s="45">
        <f>COUNTIFS(Tronçons!$A$5:$A$279,A8,Tronçons!$V$5:$V$279,"NON")</f>
        <v/>
      </c>
      <c r="M8" s="45" t="inlineStr">
        <is>
          <t>descente directe par la toiture dans le couloir (étage seul)</t>
        </is>
      </c>
    </row>
    <row r="9" ht="15" customHeight="1" s="40">
      <c r="A9" s="44" t="inlineStr">
        <is>
          <t>CTA 5</t>
        </is>
      </c>
      <c r="B9" s="45" t="inlineStr">
        <is>
          <t>CTA 5 – locaux communs</t>
        </is>
      </c>
      <c r="C9" s="46" t="n">
        <v>8800</v>
      </c>
      <c r="D9" s="47">
        <f>Tronçons!H199</f>
        <v/>
      </c>
      <c r="E9" s="48">
        <f>IF(C9&gt;0,D9/C9-1,"")</f>
        <v/>
      </c>
      <c r="F9" s="45">
        <f>Tronçons!L199&amp;" × "&amp;Tronçons!K199</f>
        <v/>
      </c>
      <c r="G9" s="49">
        <f>Tronçons!N199</f>
        <v/>
      </c>
      <c r="H9" s="45">
        <f>COUNTIF(Tronçons!$A$5:$A$279,A9)</f>
        <v/>
      </c>
      <c r="I9" s="50">
        <f>SUMIF(Tronçons!$A$5:$A$279,A9,Tronçons!$G$5:$G$279)</f>
        <v/>
      </c>
      <c r="J9" s="50">
        <f>MAX(SUMIFS(Tronçons!$T$5:$T$279,Tronçons!$A$5:$A$279,A9,Tronçons!$U$5:$U$279,"X",Tronçons!$E$5:$E$279,"Soufflage"),SUMIFS(Tronçons!$T$5:$T$279,Tronçons!$A$5:$A$279,A9,Tronçons!$U$5:$U$279,"X",Tronçons!$E$5:$E$279,"Reprise"))</f>
        <v/>
      </c>
      <c r="K9" s="45">
        <f>COUNTIFS(Tronçons!$A$5:$A$279,A9,Tronçons!$O$5:$O$279,"NON")</f>
        <v/>
      </c>
      <c r="L9" s="45">
        <f>COUNTIFS(Tronçons!$A$5:$A$279,A9,Tronçons!$V$5:$V$279,"NON")</f>
        <v/>
      </c>
      <c r="M9" s="45" t="inlineStr">
        <is>
          <t>CTA sur la terrasse libre à l'ouest, gaines en toiture à 90° jusqu'à la gaine technique du local ménage (RDC) ; étage alimenté depuis le RDC par le local linge S</t>
        </is>
      </c>
    </row>
    <row r="11" ht="15" customHeight="1" s="40">
      <c r="A11" s="51" t="inlineStr">
        <is>
          <t>À retenir</t>
        </is>
      </c>
    </row>
    <row r="12" ht="15" customHeight="1" s="40">
      <c r="A12" s="52" t="inlineStr">
        <is>
          <t>• CTA 1, 3 et 4 : notre débit (90 m³/h × chambres) tombe exactement sur celui du CCTP. CTA 2 : une chambre de plus (+4 %).</t>
        </is>
      </c>
    </row>
    <row r="13" ht="15" customHeight="1" s="40">
      <c r="A13" s="52" t="inlineStr">
        <is>
          <t>• CTA 5 : nos minimums réglementaires donnent moins que les 8 800 m³/h du CCTP ; le réseau est dimensionné sur nos débits, à reprendre si on garde 8 800 m³/h (sections × 1,4 environ).</t>
        </is>
      </c>
    </row>
    <row r="14" ht="15" customHeight="1" s="40">
      <c r="A14" s="52" t="inlineStr">
        <is>
          <t>• Toutes les gaines respectent la vitesse maxi du CCTP et passent sous les poutres 20x40 (hauteur 300 mm maxi ; 350 mm pour le tronc RDC de la CTA 5, posé plus haut). Dessous des gaines au-dessus du faux plafond partout.</t>
        </is>
      </c>
    </row>
    <row r="15" ht="15" customHeight="1" s="40">
      <c r="A15" s="52" t="inlineStr">
        <is>
          <t>• Pertes du circuit défavorisé = réseau seul (sans filtres, batterie, bouches), à ajouter pour choisir la pression des ventilateurs des CTA.</t>
        </is>
      </c>
    </row>
    <row r="16" ht="15" customHeight="1" s="40">
      <c r="A16" s="52" t="inlineStr">
        <is>
          <t>• Tracé v2 (17/10) : CTA déplacées au-dessus de leur descente, plus de gaine sur les panneaux PV ni hors du bâtiment, angles à 90°. Gaines techniques à valider avec l'architecte.</t>
        </is>
      </c>
    </row>
    <row r="17" ht="15" customHeight="1" s="40">
      <c r="A17" s="52" t="inlineStr">
        <is>
          <t>• Dans Revit, la section est gardée à travers les coudes et les tés (réduction après le raccord) : quelques morceaux sont un peu plus grands que le calcul.</t>
        </is>
      </c>
    </row>
  </sheetData>
  <mergeCells count="6">
    <mergeCell ref="A13:M13"/>
    <mergeCell ref="A14:M14"/>
    <mergeCell ref="A17:M17"/>
    <mergeCell ref="A12:M12"/>
    <mergeCell ref="A15:M15"/>
    <mergeCell ref="A16:M1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3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6" customWidth="1" style="39" min="1" max="1"/>
    <col width="16" customWidth="1" style="39" min="2" max="2"/>
    <col width="60" customWidth="1" style="39" min="3" max="3"/>
  </cols>
  <sheetData>
    <row r="1" ht="17.25" customHeight="1" s="40">
      <c r="A1" s="41" t="inlineStr">
        <is>
          <t>Hypothèses de dimensionnement des gaines</t>
        </is>
      </c>
    </row>
    <row r="2" ht="15" customHeight="1" s="40">
      <c r="A2" s="42" t="inlineStr">
        <is>
          <t>Les cellules en bleu sont des données : on peut les modifier, tout le classeur se recalcule.</t>
        </is>
      </c>
    </row>
    <row r="4" ht="15" customHeight="1" s="40">
      <c r="A4" s="51" t="inlineStr">
        <is>
          <t>Vitesse maximale selon le débit (CCTP lot 12 § 2.2.5)</t>
        </is>
      </c>
    </row>
    <row r="5" ht="15" customHeight="1" s="40">
      <c r="A5" s="53" t="inlineStr">
        <is>
          <t>Débit à partir de (m³/h)</t>
        </is>
      </c>
      <c r="B5" s="53" t="inlineStr">
        <is>
          <t>Débit jusqu'à (m³/h)</t>
        </is>
      </c>
      <c r="C5" s="53" t="inlineStr">
        <is>
          <t>Vitesse maxi (m/s)</t>
        </is>
      </c>
    </row>
    <row r="6" ht="15" customHeight="1" s="40">
      <c r="A6" s="46" t="n">
        <v>0</v>
      </c>
      <c r="B6" s="46" t="n">
        <v>300</v>
      </c>
      <c r="C6" s="54" t="n">
        <v>3</v>
      </c>
    </row>
    <row r="7" ht="15" customHeight="1" s="40">
      <c r="A7" s="46" t="n">
        <v>300.001</v>
      </c>
      <c r="B7" s="46" t="n">
        <v>550</v>
      </c>
      <c r="C7" s="54" t="n">
        <v>3.5</v>
      </c>
    </row>
    <row r="8" ht="15" customHeight="1" s="40">
      <c r="A8" s="46" t="n">
        <v>550.001</v>
      </c>
      <c r="B8" s="46" t="n">
        <v>800</v>
      </c>
      <c r="C8" s="54" t="n">
        <v>4</v>
      </c>
    </row>
    <row r="9" ht="15" customHeight="1" s="40">
      <c r="A9" s="46" t="n">
        <v>800.001</v>
      </c>
      <c r="B9" s="46" t="n">
        <v>1500</v>
      </c>
      <c r="C9" s="54" t="n">
        <v>4.5</v>
      </c>
    </row>
    <row r="10" ht="15" customHeight="1" s="40">
      <c r="A10" s="46" t="n">
        <v>1500.001</v>
      </c>
      <c r="B10" s="46" t="n">
        <v>2000</v>
      </c>
      <c r="C10" s="54" t="n">
        <v>5</v>
      </c>
    </row>
    <row r="11" ht="15" customHeight="1" s="40">
      <c r="A11" s="46" t="n">
        <v>2000.001</v>
      </c>
      <c r="B11" s="46" t="n">
        <v>4000</v>
      </c>
      <c r="C11" s="54" t="n">
        <v>5.5</v>
      </c>
    </row>
    <row r="12" ht="15" customHeight="1" s="40">
      <c r="A12" s="46" t="n">
        <v>4000.001</v>
      </c>
      <c r="B12" s="46" t="n">
        <v>6000</v>
      </c>
      <c r="C12" s="54" t="n">
        <v>6</v>
      </c>
    </row>
    <row r="13" ht="15" customHeight="1" s="40">
      <c r="A13" s="46" t="n">
        <v>6000.001</v>
      </c>
      <c r="B13" s="46" t="n">
        <v>12000</v>
      </c>
      <c r="C13" s="54" t="n">
        <v>6.5</v>
      </c>
    </row>
    <row r="14" ht="15" customHeight="1" s="40">
      <c r="A14" s="46" t="n">
        <v>12000.001</v>
      </c>
      <c r="B14" s="46" t="n">
        <v>18500</v>
      </c>
      <c r="C14" s="54" t="n">
        <v>7</v>
      </c>
    </row>
    <row r="15" ht="15" customHeight="1" s="40">
      <c r="A15" s="46" t="n">
        <v>18500.001</v>
      </c>
      <c r="B15" s="46" t="n">
        <v>25000</v>
      </c>
      <c r="C15" s="54" t="n">
        <v>7.5</v>
      </c>
    </row>
    <row r="16" ht="15" customHeight="1" s="40">
      <c r="A16" s="46" t="n">
        <v>25000.001</v>
      </c>
      <c r="B16" s="46" t="n">
        <v>999999</v>
      </c>
      <c r="C16" s="54" t="n">
        <v>10</v>
      </c>
    </row>
    <row r="17" ht="15" customHeight="1" s="40">
      <c r="A17" s="42" t="inlineStr">
        <is>
          <t>Source : CCTP lot 12 § 2.2.5 « Calcul des conduits aérauliques » ; § 4.10.4 : « vitesse d'air basse […] ne devront pas provoquer de bruit d'écoulement ».</t>
        </is>
      </c>
    </row>
    <row r="19" ht="15" customHeight="1" s="40">
      <c r="A19" s="52" t="inlineStr">
        <is>
          <t>Masse volumique de l'air ρ (kg/m³)</t>
        </is>
      </c>
      <c r="B19" s="55" t="n">
        <v>1.2</v>
      </c>
      <c r="C19" s="42" t="inlineStr">
        <is>
          <t>Air à 20 °C</t>
        </is>
      </c>
    </row>
    <row r="20" ht="15" customHeight="1" s="40">
      <c r="A20" s="52" t="inlineStr">
        <is>
          <t>Viscosité cinématique ν (m²/s)</t>
        </is>
      </c>
      <c r="B20" s="56" t="n">
        <v>1.5e-05</v>
      </c>
      <c r="C20" s="42" t="inlineStr">
        <is>
          <t>Air à 20 °C</t>
        </is>
      </c>
    </row>
    <row r="21" ht="15" customHeight="1" s="40">
      <c r="A21" s="52" t="inlineStr">
        <is>
          <t>Rugosité de la tôle galvanisée ε (m)</t>
        </is>
      </c>
      <c r="B21" s="57" t="n">
        <v>0.00015</v>
      </c>
      <c r="C21" s="42" t="inlineStr">
        <is>
          <t>Valeur courante pour l'acier galvanisé</t>
        </is>
      </c>
    </row>
    <row r="22" ht="15" customHeight="1" s="40">
      <c r="A22" s="52" t="inlineStr">
        <is>
          <t>Majoration pour pertes singulières (%)</t>
        </is>
      </c>
      <c r="B22" s="58" t="n">
        <v>0.5</v>
      </c>
      <c r="C22" s="42" t="inlineStr">
        <is>
          <t>Hypothèse équipe : coudes, tés et réductions = 50 % des pertes linéaires</t>
        </is>
      </c>
    </row>
    <row r="23" ht="15" customHeight="1" s="40">
      <c r="A23" s="52" t="inlineStr">
        <is>
          <t>Hauteur de gaine jusqu'à 2 000 m³/h (mm)</t>
        </is>
      </c>
      <c r="B23" s="55" t="n">
        <v>250</v>
      </c>
      <c r="C23" s="42" t="inlineStr">
        <is>
          <t>Hypothèse équipe : gaines rectangulaires plates dans le plénum</t>
        </is>
      </c>
    </row>
    <row r="24" ht="15" customHeight="1" s="40">
      <c r="A24" s="52" t="inlineStr">
        <is>
          <t>Hauteur de gaine au-delà de 2 000 m³/h (mm)</t>
        </is>
      </c>
      <c r="B24" s="55" t="n">
        <v>300</v>
      </c>
      <c r="C24" s="42" t="inlineStr">
        <is>
          <t>Hypothèse équipe : 300 mm maxi pour passer sous les poutres 20x40 (dessus de gaine à 2,93 / 6,29 m)</t>
        </is>
      </c>
    </row>
    <row r="25" ht="15" customHeight="1" s="40">
      <c r="A25" s="52" t="inlineStr">
        <is>
          <t>Hauteur des gaines de la CTA 4 (mm)</t>
        </is>
      </c>
      <c r="B25" s="55" t="n">
        <v>300</v>
      </c>
      <c r="C25" s="42" t="inlineStr">
        <is>
          <t>Hypothèse équipe : gaines plus étroites pour tenir à deux dans le couloir de l'unité fermée Sud</t>
        </is>
      </c>
    </row>
    <row r="26" ht="15" customHeight="1" s="40">
      <c r="A26" s="52" t="inlineStr">
        <is>
          <t>Largeur minimale (mm)</t>
        </is>
      </c>
      <c r="B26" s="55" t="n">
        <v>200</v>
      </c>
      <c r="C26" s="42" t="inlineStr">
        <is>
          <t>Hypothèse équipe</t>
        </is>
      </c>
    </row>
    <row r="27" ht="15" customHeight="1" s="40">
      <c r="A27" s="52" t="inlineStr">
        <is>
          <t>Pas des largeurs (mm)</t>
        </is>
      </c>
      <c r="B27" s="55" t="n">
        <v>50</v>
      </c>
      <c r="C27" s="42" t="inlineStr">
        <is>
          <t>Dimensions commerciales par pas de 50 mm</t>
        </is>
      </c>
    </row>
    <row r="28" ht="15" customHeight="1" s="40">
      <c r="A28" s="52" t="inlineStr">
        <is>
          <t>Hauteur libre du plénum des couloirs (mm)</t>
        </is>
      </c>
      <c r="B28" s="55" t="n">
        <v>600</v>
      </c>
      <c r="C28" s="42" t="inlineStr">
        <is>
          <t>Maquette : faux plafond 2,50 / 5,86 m, sous-face de dalle 3,16 / 6,52 m</t>
        </is>
      </c>
    </row>
    <row r="29" ht="15" customHeight="1" s="40">
      <c r="A29" s="52" t="inlineStr">
        <is>
          <t>Hauteur des gaines CTA 5 au-delà de 4 000 m³/h (mm)</t>
        </is>
      </c>
      <c r="B29" s="55" t="n">
        <v>350</v>
      </c>
      <c r="C29" s="42" t="inlineStr">
        <is>
          <t>Hypothèse équipe : tronc RDC de la CTA 5 (2 gaines côte à côte dans un couloir de 1,90 m), axe à 2,765 m : dessous à 2,59 m (faux plafond 2,57 m), dessus à 2,94 m (poutres 20x40 à 2,96 m)</t>
        </is>
      </c>
    </row>
    <row r="30" ht="15" customHeight="1" s="40">
      <c r="A30" s="52" t="inlineStr">
        <is>
          <t>Vitesse maxi des gaines CTA 5 (m/s)</t>
        </is>
      </c>
      <c r="B30" s="55" t="n">
        <v>6</v>
      </c>
      <c r="C30" s="42" t="inlineStr">
        <is>
          <t>Hypothèse équipe : au-delà de 6 000 m³/h on garde 6 m/s, sinon la gaine serait plus étroite en amont qu'en aval</t>
        </is>
      </c>
    </row>
    <row r="32" ht="30" customHeight="1" s="40">
      <c r="A32" s="59" t="inlineStr">
        <is>
          <t>• Tracé v2 : chaque CTA est posée juste au-dessus de sa descente. CTA 1, 2 et 5 : gaine technique créée dans un local annexe (ménage, office) car le DCE n'a que des gaines de désenfumage. CTA 3 et 4 (étage seul) : descente directe par la toiture dans le couloir.</t>
        </is>
      </c>
    </row>
    <row r="33" ht="30" customHeight="1" s="40">
      <c r="A33" s="59" t="inlineStr">
        <is>
          <t>• Gaines horizontales uniquement dans les couloirs (et le hall / la salle à manger pour la CTA 5), parallèles aux murs, changements de direction à 90°. Axe des gaines à 2,78 m (RDC) et 6,14 m (étage) ; CTA 5 : 2,765 m (RDC) et 6,09 m (étage). CTA 3 et 4 : soufflage et reprise écartés de 1,0 m et 0,7 m pour laisser passer les antennes des bouches. CTA 5 RDC : la reprise passe au-dessus du faux plafond des bureaux côté sud (y = 34,4 m), le couloir garde seulement le soufflage.</t>
        </is>
      </c>
    </row>
    <row r="34" ht="30" customHeight="1" s="40">
      <c r="A34" s="59" t="inlineStr">
        <is>
          <t>• Débits : 90 m³/h soufflés par chambre et 90 m³/h repris par salle de bains (CCTP § 2.2 et § 4.10) ; locaux communs : onglet « Débits par local » du fichier des débits.</t>
        </is>
      </c>
    </row>
    <row r="35" ht="30" customHeight="1" s="40">
      <c r="A35" s="59" t="inlineStr">
        <is>
          <t>• La reprise suit le soufflage à côté, avec les mêmes débits. Les branches (CTA 5 vers le hall et la salle à manger de l'étage) sont en soufflage seul : la reprise de ces locaux se fait par transfert vers la circulation (hypothèse équipe).</t>
        </is>
      </c>
    </row>
    <row r="36" ht="30" customHeight="1" s="40">
      <c r="A36" s="59" t="inlineStr">
        <is>
          <t>• Chaque tronçon va d'un piquage au suivant : son débit = somme des locaux desservis en aval.</t>
        </is>
      </c>
    </row>
    <row r="37" ht="30" customHeight="1" s="40">
      <c r="A37" s="59" t="inlineStr">
        <is>
          <t>• Pertes de charge linéaires : formule de Darcy, coefficient λ de Swamee-Jain, diamètre équivalent des gaines rectangulaires De = 1,3·(a·b)^0,625 / (a+b)^0,25.</t>
        </is>
      </c>
    </row>
  </sheetData>
  <mergeCells count="6">
    <mergeCell ref="A33:F33"/>
    <mergeCell ref="A36:F36"/>
    <mergeCell ref="A37:F37"/>
    <mergeCell ref="A32:F32"/>
    <mergeCell ref="A34:F34"/>
    <mergeCell ref="A35:F3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V27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8" customWidth="1" style="39" min="1" max="1"/>
    <col width="10" customWidth="1" style="39" min="2" max="2"/>
    <col width="8" customWidth="1" style="39" min="3" max="3"/>
    <col width="22" customWidth="1" style="39" min="4" max="4"/>
    <col width="10" customWidth="1" style="39" min="5" max="5"/>
    <col width="46" customWidth="1" style="39" min="6" max="6"/>
    <col width="9" customWidth="1" style="39" min="7" max="10"/>
    <col width="8" customWidth="1" style="39" min="11" max="12"/>
    <col width="9" customWidth="1" style="39" min="13" max="14"/>
    <col width="8" customWidth="1" style="39" min="15" max="15"/>
    <col width="10" customWidth="1" style="39" min="16" max="17"/>
    <col width="8" customWidth="1" style="39" min="18" max="18"/>
    <col width="9" customWidth="1" style="39" min="19" max="22"/>
  </cols>
  <sheetData>
    <row r="1" ht="17.25" customHeight="1" s="40">
      <c r="A1" s="41" t="inlineStr">
        <is>
          <t>Dimensionnement des gaines principales v2, tronçon par tronçon (soufflage et reprise)</t>
        </is>
      </c>
    </row>
    <row r="2" ht="15" customHeight="1" s="40">
      <c r="A2" s="42" t="inlineStr">
        <is>
          <t>Débit en bleu = donnée (somme des locaux en aval). Le reste est calculé. X = tronçon du circuit le plus défavorisé.</t>
        </is>
      </c>
    </row>
    <row r="4" ht="42" customHeight="1" s="40">
      <c r="A4" s="43" t="inlineStr">
        <is>
          <t>Réseau</t>
        </is>
      </c>
      <c r="B4" s="43" t="inlineStr">
        <is>
          <t>Repère</t>
        </is>
      </c>
      <c r="C4" s="43" t="inlineStr">
        <is>
          <t>Niveau</t>
        </is>
      </c>
      <c r="D4" s="43" t="inlineStr">
        <is>
          <t>Type</t>
        </is>
      </c>
      <c r="E4" s="43" t="inlineStr">
        <is>
          <t>Système</t>
        </is>
      </c>
      <c r="F4" s="43" t="inlineStr">
        <is>
          <t>Ce que dessert le tronçon (fin de tronçon)</t>
        </is>
      </c>
      <c r="G4" s="43" t="inlineStr">
        <is>
          <t>Longueur (m)</t>
        </is>
      </c>
      <c r="H4" s="43" t="inlineStr">
        <is>
          <t>Débit (m³/h)</t>
        </is>
      </c>
      <c r="I4" s="43" t="inlineStr">
        <is>
          <t>Vitesse maxi CCTP (m/s)</t>
        </is>
      </c>
      <c r="J4" s="43" t="inlineStr">
        <is>
          <t>Section mini (m²)</t>
        </is>
      </c>
      <c r="K4" s="43" t="inlineStr">
        <is>
          <t>Hauteur H (mm)</t>
        </is>
      </c>
      <c r="L4" s="43" t="inlineStr">
        <is>
          <t>Largeur L (mm)</t>
        </is>
      </c>
      <c r="M4" s="43" t="inlineStr">
        <is>
          <t>Section réelle (m²)</t>
        </is>
      </c>
      <c r="N4" s="43" t="inlineStr">
        <is>
          <t>Vitesse réelle (m/s)</t>
        </is>
      </c>
      <c r="O4" s="43" t="inlineStr">
        <is>
          <t>Vitesse OK ?</t>
        </is>
      </c>
      <c r="P4" s="43" t="inlineStr">
        <is>
          <t>Diamètre équivalent (m)</t>
        </is>
      </c>
      <c r="Q4" s="43" t="inlineStr">
        <is>
          <t>Reynolds</t>
        </is>
      </c>
      <c r="R4" s="43" t="inlineStr">
        <is>
          <t>λ</t>
        </is>
      </c>
      <c r="S4" s="43" t="inlineStr">
        <is>
          <t>Perte linéaire (Pa/m)</t>
        </is>
      </c>
      <c r="T4" s="43" t="inlineStr">
        <is>
          <t>Pertes du tronçon (Pa)</t>
        </is>
      </c>
      <c r="U4" s="43" t="inlineStr">
        <is>
          <t>Circuit défavorisé</t>
        </is>
      </c>
      <c r="V4" s="43" t="inlineStr">
        <is>
          <t>Passe dans le plénum ?</t>
        </is>
      </c>
    </row>
    <row r="5" ht="15" customHeight="1" s="40">
      <c r="A5" s="60" t="inlineStr">
        <is>
          <t>CTA 1</t>
        </is>
      </c>
      <c r="B5" s="60" t="inlineStr">
        <is>
          <t>CTA1-S01</t>
        </is>
      </c>
      <c r="C5" s="60" t="inlineStr">
        <is>
          <t>Toiture</t>
        </is>
      </c>
      <c r="D5" s="60" t="inlineStr">
        <is>
          <t>Toiture (CTA → descente)</t>
        </is>
      </c>
      <c r="E5" s="60" t="inlineStr">
        <is>
          <t>Soufflage</t>
        </is>
      </c>
      <c r="F5" s="60" t="inlineStr">
        <is>
          <t>Sortie CTA → descente (trémie en toiture)</t>
        </is>
      </c>
      <c r="G5" s="61" t="n">
        <v>2.2</v>
      </c>
      <c r="H5" s="46" t="n">
        <v>2520</v>
      </c>
      <c r="I5" s="62">
        <f>IF(A5="CTA 5",MIN(INDEX(Hypothèses!$C$6:$C$16,MATCH(H5,Hypothèses!$A$6:$A$16,1)),Hypothèses!$B$30),INDEX(Hypothèses!$C$6:$C$16,MATCH(H5,Hypothèses!$A$6:$A$16,1)))</f>
        <v/>
      </c>
      <c r="J5" s="63">
        <f>H5/3600/I5</f>
        <v/>
      </c>
      <c r="K5" s="60">
        <f>IF(A5="CTA 4",Hypothèses!$B$25,IF(AND(A5="CTA 5",H5&gt;4000),Hypothèses!$B$29,IF(H5&lt;=2000,Hypothèses!$B$23,Hypothèses!$B$24)))</f>
        <v/>
      </c>
      <c r="L5" s="60">
        <f>MAX(Hypothèses!$B$26,CEILING(J5/(K5/1000)*1000,Hypothèses!$B$27))</f>
        <v/>
      </c>
      <c r="M5" s="63">
        <f>L5*K5/1000000</f>
        <v/>
      </c>
      <c r="N5" s="64">
        <f>H5/3600/M5</f>
        <v/>
      </c>
      <c r="O5" s="60">
        <f>IF(N5&lt;=I5,"oui","NON")</f>
        <v/>
      </c>
      <c r="P5" s="63">
        <f>1.3*((L5/1000)*(K5/1000))^0.625/((L5/1000)+(K5/1000))^0.25</f>
        <v/>
      </c>
      <c r="Q5" s="65">
        <f>N5*P5/Hypothèses!$B$20</f>
        <v/>
      </c>
      <c r="R5" s="66">
        <f>0.25/(LOG10(Hypothèses!$B$21/(3.7*P5)+5.74/Q5^0.9))^2</f>
        <v/>
      </c>
      <c r="S5" s="64">
        <f>R5/P5*Hypothèses!$B$19*N5^2/2</f>
        <v/>
      </c>
      <c r="T5" s="62">
        <f>S5*G5*(1+Hypothèses!$B$22)</f>
        <v/>
      </c>
      <c r="U5" s="45" t="inlineStr">
        <is>
          <t>X</t>
        </is>
      </c>
      <c r="V5" s="60" t="inlineStr">
        <is>
          <t>–</t>
        </is>
      </c>
    </row>
    <row r="6" ht="15" customHeight="1" s="40">
      <c r="A6" s="60" t="inlineStr">
        <is>
          <t>CTA 1</t>
        </is>
      </c>
      <c r="B6" s="60" t="inlineStr">
        <is>
          <t>CTA1-S02</t>
        </is>
      </c>
      <c r="C6" s="60" t="inlineStr">
        <is>
          <t>N01</t>
        </is>
      </c>
      <c r="D6" s="60" t="inlineStr">
        <is>
          <t>Descente verticale</t>
        </is>
      </c>
      <c r="E6" s="60" t="inlineStr">
        <is>
          <t>Soufflage</t>
        </is>
      </c>
      <c r="F6" s="60" t="inlineStr">
        <is>
          <t>Gaine verticale : toiture → plénum étage</t>
        </is>
      </c>
      <c r="G6" s="61" t="n">
        <v>1.53</v>
      </c>
      <c r="H6" s="46" t="n">
        <v>2520</v>
      </c>
      <c r="I6" s="62">
        <f>IF(A6="CTA 5",MIN(INDEX(Hypothèses!$C$6:$C$16,MATCH(H6,Hypothèses!$A$6:$A$16,1)),Hypothèses!$B$30),INDEX(Hypothèses!$C$6:$C$16,MATCH(H6,Hypothèses!$A$6:$A$16,1)))</f>
        <v/>
      </c>
      <c r="J6" s="63">
        <f>H6/3600/I6</f>
        <v/>
      </c>
      <c r="K6" s="60">
        <f>IF(A6="CTA 4",Hypothèses!$B$25,IF(AND(A6="CTA 5",H6&gt;4000),Hypothèses!$B$29,IF(H6&lt;=2000,Hypothèses!$B$23,Hypothèses!$B$24)))</f>
        <v/>
      </c>
      <c r="L6" s="60">
        <f>MAX(Hypothèses!$B$26,CEILING(J6/(K6/1000)*1000,Hypothèses!$B$27))</f>
        <v/>
      </c>
      <c r="M6" s="63">
        <f>L6*K6/1000000</f>
        <v/>
      </c>
      <c r="N6" s="64">
        <f>H6/3600/M6</f>
        <v/>
      </c>
      <c r="O6" s="60">
        <f>IF(N6&lt;=I6,"oui","NON")</f>
        <v/>
      </c>
      <c r="P6" s="63">
        <f>1.3*((L6/1000)*(K6/1000))^0.625/((L6/1000)+(K6/1000))^0.25</f>
        <v/>
      </c>
      <c r="Q6" s="65">
        <f>N6*P6/Hypothèses!$B$20</f>
        <v/>
      </c>
      <c r="R6" s="66">
        <f>0.25/(LOG10(Hypothèses!$B$21/(3.7*P6)+5.74/Q6^0.9))^2</f>
        <v/>
      </c>
      <c r="S6" s="64">
        <f>R6/P6*Hypothèses!$B$19*N6^2/2</f>
        <v/>
      </c>
      <c r="T6" s="62">
        <f>S6*G6*(1+Hypothèses!$B$22)</f>
        <v/>
      </c>
      <c r="U6" s="45" t="inlineStr">
        <is>
          <t>X</t>
        </is>
      </c>
      <c r="V6" s="60" t="inlineStr">
        <is>
          <t>–</t>
        </is>
      </c>
    </row>
    <row r="7" ht="15" customHeight="1" s="40">
      <c r="A7" s="60" t="inlineStr">
        <is>
          <t>CTA 1</t>
        </is>
      </c>
      <c r="B7" s="60" t="inlineStr">
        <is>
          <t>CTA1-S03</t>
        </is>
      </c>
      <c r="C7" s="60" t="inlineStr">
        <is>
          <t>N00</t>
        </is>
      </c>
      <c r="D7" s="60" t="inlineStr">
        <is>
          <t>Descente verticale</t>
        </is>
      </c>
      <c r="E7" s="60" t="inlineStr">
        <is>
          <t>Soufflage</t>
        </is>
      </c>
      <c r="F7" s="60" t="inlineStr">
        <is>
          <t>Gaine verticale : étage → plénum RDC</t>
        </is>
      </c>
      <c r="G7" s="61" t="n">
        <v>3.36</v>
      </c>
      <c r="H7" s="46" t="n">
        <v>1260</v>
      </c>
      <c r="I7" s="62">
        <f>IF(A7="CTA 5",MIN(INDEX(Hypothèses!$C$6:$C$16,MATCH(H7,Hypothèses!$A$6:$A$16,1)),Hypothèses!$B$30),INDEX(Hypothèses!$C$6:$C$16,MATCH(H7,Hypothèses!$A$6:$A$16,1)))</f>
        <v/>
      </c>
      <c r="J7" s="63">
        <f>H7/3600/I7</f>
        <v/>
      </c>
      <c r="K7" s="60">
        <f>IF(A7="CTA 4",Hypothèses!$B$25,IF(AND(A7="CTA 5",H7&gt;4000),Hypothèses!$B$29,IF(H7&lt;=2000,Hypothèses!$B$23,Hypothèses!$B$24)))</f>
        <v/>
      </c>
      <c r="L7" s="60">
        <f>MAX(Hypothèses!$B$26,CEILING(J7/(K7/1000)*1000,Hypothèses!$B$27))</f>
        <v/>
      </c>
      <c r="M7" s="63">
        <f>L7*K7/1000000</f>
        <v/>
      </c>
      <c r="N7" s="64">
        <f>H7/3600/M7</f>
        <v/>
      </c>
      <c r="O7" s="60">
        <f>IF(N7&lt;=I7,"oui","NON")</f>
        <v/>
      </c>
      <c r="P7" s="63">
        <f>1.3*((L7/1000)*(K7/1000))^0.625/((L7/1000)+(K7/1000))^0.25</f>
        <v/>
      </c>
      <c r="Q7" s="65">
        <f>N7*P7/Hypothèses!$B$20</f>
        <v/>
      </c>
      <c r="R7" s="66">
        <f>0.25/(LOG10(Hypothèses!$B$21/(3.7*P7)+5.74/Q7^0.9))^2</f>
        <v/>
      </c>
      <c r="S7" s="64">
        <f>R7/P7*Hypothèses!$B$19*N7^2/2</f>
        <v/>
      </c>
      <c r="T7" s="62">
        <f>S7*G7*(1+Hypothèses!$B$22)</f>
        <v/>
      </c>
      <c r="U7" s="45" t="inlineStr">
        <is>
          <t>X</t>
        </is>
      </c>
      <c r="V7" s="60" t="inlineStr">
        <is>
          <t>–</t>
        </is>
      </c>
    </row>
    <row r="8" ht="15" customHeight="1" s="40">
      <c r="A8" s="60" t="inlineStr">
        <is>
          <t>CTA 1</t>
        </is>
      </c>
      <c r="B8" s="60" t="inlineStr">
        <is>
          <t>CTA1-S04</t>
        </is>
      </c>
      <c r="C8" s="60" t="inlineStr">
        <is>
          <t>N01</t>
        </is>
      </c>
      <c r="D8" s="60" t="inlineStr">
        <is>
          <t>Faux plafond couloir</t>
        </is>
      </c>
      <c r="E8" s="60" t="inlineStr">
        <is>
          <t>Soufflage</t>
        </is>
      </c>
      <c r="F8" s="60" t="n"/>
      <c r="G8" s="61" t="n">
        <v>2.45</v>
      </c>
      <c r="H8" s="46" t="n">
        <v>1260</v>
      </c>
      <c r="I8" s="62">
        <f>IF(A8="CTA 5",MIN(INDEX(Hypothèses!$C$6:$C$16,MATCH(H8,Hypothèses!$A$6:$A$16,1)),Hypothèses!$B$30),INDEX(Hypothèses!$C$6:$C$16,MATCH(H8,Hypothèses!$A$6:$A$16,1)))</f>
        <v/>
      </c>
      <c r="J8" s="63">
        <f>H8/3600/I8</f>
        <v/>
      </c>
      <c r="K8" s="60">
        <f>IF(A8="CTA 4",Hypothèses!$B$25,IF(AND(A8="CTA 5",H8&gt;4000),Hypothèses!$B$29,IF(H8&lt;=2000,Hypothèses!$B$23,Hypothèses!$B$24)))</f>
        <v/>
      </c>
      <c r="L8" s="60">
        <f>MAX(Hypothèses!$B$26,CEILING(J8/(K8/1000)*1000,Hypothèses!$B$27))</f>
        <v/>
      </c>
      <c r="M8" s="63">
        <f>L8*K8/1000000</f>
        <v/>
      </c>
      <c r="N8" s="64">
        <f>H8/3600/M8</f>
        <v/>
      </c>
      <c r="O8" s="60">
        <f>IF(N8&lt;=I8,"oui","NON")</f>
        <v/>
      </c>
      <c r="P8" s="63">
        <f>1.3*((L8/1000)*(K8/1000))^0.625/((L8/1000)+(K8/1000))^0.25</f>
        <v/>
      </c>
      <c r="Q8" s="65">
        <f>N8*P8/Hypothèses!$B$20</f>
        <v/>
      </c>
      <c r="R8" s="66">
        <f>0.25/(LOG10(Hypothèses!$B$21/(3.7*P8)+5.74/Q8^0.9))^2</f>
        <v/>
      </c>
      <c r="S8" s="64">
        <f>R8/P8*Hypothèses!$B$19*N8^2/2</f>
        <v/>
      </c>
      <c r="T8" s="62">
        <f>S8*G8*(1+Hypothèses!$B$22)</f>
        <v/>
      </c>
      <c r="U8" s="45" t="n"/>
      <c r="V8" s="60">
        <f>IF(K8&lt;=Hypothèses!$B$28-100,"oui","NON")</f>
        <v/>
      </c>
    </row>
    <row r="9" ht="15" customHeight="1" s="40">
      <c r="A9" s="60" t="inlineStr">
        <is>
          <t>CTA 1</t>
        </is>
      </c>
      <c r="B9" s="60" t="inlineStr">
        <is>
          <t>CTA1-S05</t>
        </is>
      </c>
      <c r="C9" s="60" t="inlineStr">
        <is>
          <t>N01</t>
        </is>
      </c>
      <c r="D9" s="60" t="inlineStr">
        <is>
          <t>Faux plafond couloir</t>
        </is>
      </c>
      <c r="E9" s="60" t="inlineStr">
        <is>
          <t>Soufflage</t>
        </is>
      </c>
      <c r="F9" s="60" t="inlineStr">
        <is>
          <t>HEB01 chambre</t>
        </is>
      </c>
      <c r="G9" s="61" t="n">
        <v>1.3</v>
      </c>
      <c r="H9" s="46" t="n">
        <v>1260</v>
      </c>
      <c r="I9" s="62">
        <f>IF(A9="CTA 5",MIN(INDEX(Hypothèses!$C$6:$C$16,MATCH(H9,Hypothèses!$A$6:$A$16,1)),Hypothèses!$B$30),INDEX(Hypothèses!$C$6:$C$16,MATCH(H9,Hypothèses!$A$6:$A$16,1)))</f>
        <v/>
      </c>
      <c r="J9" s="63">
        <f>H9/3600/I9</f>
        <v/>
      </c>
      <c r="K9" s="60">
        <f>IF(A9="CTA 4",Hypothèses!$B$25,IF(AND(A9="CTA 5",H9&gt;4000),Hypothèses!$B$29,IF(H9&lt;=2000,Hypothèses!$B$23,Hypothèses!$B$24)))</f>
        <v/>
      </c>
      <c r="L9" s="60">
        <f>MAX(Hypothèses!$B$26,CEILING(J9/(K9/1000)*1000,Hypothèses!$B$27))</f>
        <v/>
      </c>
      <c r="M9" s="63">
        <f>L9*K9/1000000</f>
        <v/>
      </c>
      <c r="N9" s="64">
        <f>H9/3600/M9</f>
        <v/>
      </c>
      <c r="O9" s="60">
        <f>IF(N9&lt;=I9,"oui","NON")</f>
        <v/>
      </c>
      <c r="P9" s="63">
        <f>1.3*((L9/1000)*(K9/1000))^0.625/((L9/1000)+(K9/1000))^0.25</f>
        <v/>
      </c>
      <c r="Q9" s="65">
        <f>N9*P9/Hypothèses!$B$20</f>
        <v/>
      </c>
      <c r="R9" s="66">
        <f>0.25/(LOG10(Hypothèses!$B$21/(3.7*P9)+5.74/Q9^0.9))^2</f>
        <v/>
      </c>
      <c r="S9" s="64">
        <f>R9/P9*Hypothèses!$B$19*N9^2/2</f>
        <v/>
      </c>
      <c r="T9" s="62">
        <f>S9*G9*(1+Hypothèses!$B$22)</f>
        <v/>
      </c>
      <c r="U9" s="45" t="n"/>
      <c r="V9" s="60">
        <f>IF(K9&lt;=Hypothèses!$B$28-100,"oui","NON")</f>
        <v/>
      </c>
    </row>
    <row r="10" ht="15" customHeight="1" s="40">
      <c r="A10" s="60" t="inlineStr">
        <is>
          <t>CTA 1</t>
        </is>
      </c>
      <c r="B10" s="60" t="inlineStr">
        <is>
          <t>CTA1-S06</t>
        </is>
      </c>
      <c r="C10" s="60" t="inlineStr">
        <is>
          <t>N01</t>
        </is>
      </c>
      <c r="D10" s="60" t="inlineStr">
        <is>
          <t>Faux plafond couloir</t>
        </is>
      </c>
      <c r="E10" s="60" t="inlineStr">
        <is>
          <t>Soufflage</t>
        </is>
      </c>
      <c r="F10" s="60" t="inlineStr">
        <is>
          <t>HEB01 chambre</t>
        </is>
      </c>
      <c r="G10" s="61" t="n">
        <v>2.25</v>
      </c>
      <c r="H10" s="46" t="n">
        <v>1170</v>
      </c>
      <c r="I10" s="62">
        <f>IF(A10="CTA 5",MIN(INDEX(Hypothèses!$C$6:$C$16,MATCH(H10,Hypothèses!$A$6:$A$16,1)),Hypothèses!$B$30),INDEX(Hypothèses!$C$6:$C$16,MATCH(H10,Hypothèses!$A$6:$A$16,1)))</f>
        <v/>
      </c>
      <c r="J10" s="63">
        <f>H10/3600/I10</f>
        <v/>
      </c>
      <c r="K10" s="60">
        <f>IF(A10="CTA 4",Hypothèses!$B$25,IF(AND(A10="CTA 5",H10&gt;4000),Hypothèses!$B$29,IF(H10&lt;=2000,Hypothèses!$B$23,Hypothèses!$B$24)))</f>
        <v/>
      </c>
      <c r="L10" s="60">
        <f>MAX(Hypothèses!$B$26,CEILING(J10/(K10/1000)*1000,Hypothèses!$B$27))</f>
        <v/>
      </c>
      <c r="M10" s="63">
        <f>L10*K10/1000000</f>
        <v/>
      </c>
      <c r="N10" s="64">
        <f>H10/3600/M10</f>
        <v/>
      </c>
      <c r="O10" s="60">
        <f>IF(N10&lt;=I10,"oui","NON")</f>
        <v/>
      </c>
      <c r="P10" s="63">
        <f>1.3*((L10/1000)*(K10/1000))^0.625/((L10/1000)+(K10/1000))^0.25</f>
        <v/>
      </c>
      <c r="Q10" s="65">
        <f>N10*P10/Hypothèses!$B$20</f>
        <v/>
      </c>
      <c r="R10" s="66">
        <f>0.25/(LOG10(Hypothèses!$B$21/(3.7*P10)+5.74/Q10^0.9))^2</f>
        <v/>
      </c>
      <c r="S10" s="64">
        <f>R10/P10*Hypothèses!$B$19*N10^2/2</f>
        <v/>
      </c>
      <c r="T10" s="62">
        <f>S10*G10*(1+Hypothèses!$B$22)</f>
        <v/>
      </c>
      <c r="U10" s="45" t="n"/>
      <c r="V10" s="60">
        <f>IF(K10&lt;=Hypothèses!$B$28-100,"oui","NON")</f>
        <v/>
      </c>
    </row>
    <row r="11" ht="15" customHeight="1" s="40">
      <c r="A11" s="60" t="inlineStr">
        <is>
          <t>CTA 1</t>
        </is>
      </c>
      <c r="B11" s="60" t="inlineStr">
        <is>
          <t>CTA1-S07</t>
        </is>
      </c>
      <c r="C11" s="60" t="inlineStr">
        <is>
          <t>N01</t>
        </is>
      </c>
      <c r="D11" s="60" t="inlineStr">
        <is>
          <t>Faux plafond couloir</t>
        </is>
      </c>
      <c r="E11" s="60" t="inlineStr">
        <is>
          <t>Soufflage</t>
        </is>
      </c>
      <c r="F11" s="60" t="inlineStr">
        <is>
          <t>HEB01 chambre</t>
        </is>
      </c>
      <c r="G11" s="61" t="n">
        <v>3.551</v>
      </c>
      <c r="H11" s="46" t="n">
        <v>1170</v>
      </c>
      <c r="I11" s="62">
        <f>IF(A11="CTA 5",MIN(INDEX(Hypothèses!$C$6:$C$16,MATCH(H11,Hypothèses!$A$6:$A$16,1)),Hypothèses!$B$30),INDEX(Hypothèses!$C$6:$C$16,MATCH(H11,Hypothèses!$A$6:$A$16,1)))</f>
        <v/>
      </c>
      <c r="J11" s="63">
        <f>H11/3600/I11</f>
        <v/>
      </c>
      <c r="K11" s="60">
        <f>IF(A11="CTA 4",Hypothèses!$B$25,IF(AND(A11="CTA 5",H11&gt;4000),Hypothèses!$B$29,IF(H11&lt;=2000,Hypothèses!$B$23,Hypothèses!$B$24)))</f>
        <v/>
      </c>
      <c r="L11" s="60">
        <f>MAX(Hypothèses!$B$26,CEILING(J11/(K11/1000)*1000,Hypothèses!$B$27))</f>
        <v/>
      </c>
      <c r="M11" s="63">
        <f>L11*K11/1000000</f>
        <v/>
      </c>
      <c r="N11" s="64">
        <f>H11/3600/M11</f>
        <v/>
      </c>
      <c r="O11" s="60">
        <f>IF(N11&lt;=I11,"oui","NON")</f>
        <v/>
      </c>
      <c r="P11" s="63">
        <f>1.3*((L11/1000)*(K11/1000))^0.625/((L11/1000)+(K11/1000))^0.25</f>
        <v/>
      </c>
      <c r="Q11" s="65">
        <f>N11*P11/Hypothèses!$B$20</f>
        <v/>
      </c>
      <c r="R11" s="66">
        <f>0.25/(LOG10(Hypothèses!$B$21/(3.7*P11)+5.74/Q11^0.9))^2</f>
        <v/>
      </c>
      <c r="S11" s="64">
        <f>R11/P11*Hypothèses!$B$19*N11^2/2</f>
        <v/>
      </c>
      <c r="T11" s="62">
        <f>S11*G11*(1+Hypothèses!$B$22)</f>
        <v/>
      </c>
      <c r="U11" s="45" t="n"/>
      <c r="V11" s="60">
        <f>IF(K11&lt;=Hypothèses!$B$28-100,"oui","NON")</f>
        <v/>
      </c>
    </row>
    <row r="12" ht="15" customHeight="1" s="40">
      <c r="A12" s="60" t="inlineStr">
        <is>
          <t>CTA 1</t>
        </is>
      </c>
      <c r="B12" s="60" t="inlineStr">
        <is>
          <t>CTA1-S08</t>
        </is>
      </c>
      <c r="C12" s="60" t="inlineStr">
        <is>
          <t>N01</t>
        </is>
      </c>
      <c r="D12" s="60" t="inlineStr">
        <is>
          <t>Faux plafond couloir</t>
        </is>
      </c>
      <c r="E12" s="60" t="inlineStr">
        <is>
          <t>Soufflage</t>
        </is>
      </c>
      <c r="F12" s="60" t="inlineStr">
        <is>
          <t>HEB01 chambre</t>
        </is>
      </c>
      <c r="G12" s="61" t="n">
        <v>0.842</v>
      </c>
      <c r="H12" s="46" t="n">
        <v>990</v>
      </c>
      <c r="I12" s="62">
        <f>IF(A12="CTA 5",MIN(INDEX(Hypothèses!$C$6:$C$16,MATCH(H12,Hypothèses!$A$6:$A$16,1)),Hypothèses!$B$30),INDEX(Hypothèses!$C$6:$C$16,MATCH(H12,Hypothèses!$A$6:$A$16,1)))</f>
        <v/>
      </c>
      <c r="J12" s="63">
        <f>H12/3600/I12</f>
        <v/>
      </c>
      <c r="K12" s="60">
        <f>IF(A12="CTA 4",Hypothèses!$B$25,IF(AND(A12="CTA 5",H12&gt;4000),Hypothèses!$B$29,IF(H12&lt;=2000,Hypothèses!$B$23,Hypothèses!$B$24)))</f>
        <v/>
      </c>
      <c r="L12" s="60">
        <f>MAX(Hypothèses!$B$26,CEILING(J12/(K12/1000)*1000,Hypothèses!$B$27))</f>
        <v/>
      </c>
      <c r="M12" s="63">
        <f>L12*K12/1000000</f>
        <v/>
      </c>
      <c r="N12" s="64">
        <f>H12/3600/M12</f>
        <v/>
      </c>
      <c r="O12" s="60">
        <f>IF(N12&lt;=I12,"oui","NON")</f>
        <v/>
      </c>
      <c r="P12" s="63">
        <f>1.3*((L12/1000)*(K12/1000))^0.625/((L12/1000)+(K12/1000))^0.25</f>
        <v/>
      </c>
      <c r="Q12" s="65">
        <f>N12*P12/Hypothèses!$B$20</f>
        <v/>
      </c>
      <c r="R12" s="66">
        <f>0.25/(LOG10(Hypothèses!$B$21/(3.7*P12)+5.74/Q12^0.9))^2</f>
        <v/>
      </c>
      <c r="S12" s="64">
        <f>R12/P12*Hypothèses!$B$19*N12^2/2</f>
        <v/>
      </c>
      <c r="T12" s="62">
        <f>S12*G12*(1+Hypothèses!$B$22)</f>
        <v/>
      </c>
      <c r="U12" s="45" t="n"/>
      <c r="V12" s="60">
        <f>IF(K12&lt;=Hypothèses!$B$28-100,"oui","NON")</f>
        <v/>
      </c>
    </row>
    <row r="13" ht="15" customHeight="1" s="40">
      <c r="A13" s="60" t="inlineStr">
        <is>
          <t>CTA 1</t>
        </is>
      </c>
      <c r="B13" s="60" t="inlineStr">
        <is>
          <t>CTA1-S09</t>
        </is>
      </c>
      <c r="C13" s="60" t="inlineStr">
        <is>
          <t>N01</t>
        </is>
      </c>
      <c r="D13" s="60" t="inlineStr">
        <is>
          <t>Faux plafond couloir</t>
        </is>
      </c>
      <c r="E13" s="60" t="inlineStr">
        <is>
          <t>Soufflage</t>
        </is>
      </c>
      <c r="F13" s="60" t="inlineStr">
        <is>
          <t>HEB01 chambre</t>
        </is>
      </c>
      <c r="G13" s="61" t="n">
        <v>3.633</v>
      </c>
      <c r="H13" s="46" t="n">
        <v>900</v>
      </c>
      <c r="I13" s="62">
        <f>IF(A13="CTA 5",MIN(INDEX(Hypothèses!$C$6:$C$16,MATCH(H13,Hypothèses!$A$6:$A$16,1)),Hypothèses!$B$30),INDEX(Hypothèses!$C$6:$C$16,MATCH(H13,Hypothèses!$A$6:$A$16,1)))</f>
        <v/>
      </c>
      <c r="J13" s="63">
        <f>H13/3600/I13</f>
        <v/>
      </c>
      <c r="K13" s="60">
        <f>IF(A13="CTA 4",Hypothèses!$B$25,IF(AND(A13="CTA 5",H13&gt;4000),Hypothèses!$B$29,IF(H13&lt;=2000,Hypothèses!$B$23,Hypothèses!$B$24)))</f>
        <v/>
      </c>
      <c r="L13" s="60">
        <f>MAX(Hypothèses!$B$26,CEILING(J13/(K13/1000)*1000,Hypothèses!$B$27))</f>
        <v/>
      </c>
      <c r="M13" s="63">
        <f>L13*K13/1000000</f>
        <v/>
      </c>
      <c r="N13" s="64">
        <f>H13/3600/M13</f>
        <v/>
      </c>
      <c r="O13" s="60">
        <f>IF(N13&lt;=I13,"oui","NON")</f>
        <v/>
      </c>
      <c r="P13" s="63">
        <f>1.3*((L13/1000)*(K13/1000))^0.625/((L13/1000)+(K13/1000))^0.25</f>
        <v/>
      </c>
      <c r="Q13" s="65">
        <f>N13*P13/Hypothèses!$B$20</f>
        <v/>
      </c>
      <c r="R13" s="66">
        <f>0.25/(LOG10(Hypothèses!$B$21/(3.7*P13)+5.74/Q13^0.9))^2</f>
        <v/>
      </c>
      <c r="S13" s="64">
        <f>R13/P13*Hypothèses!$B$19*N13^2/2</f>
        <v/>
      </c>
      <c r="T13" s="62">
        <f>S13*G13*(1+Hypothèses!$B$22)</f>
        <v/>
      </c>
      <c r="U13" s="45" t="n"/>
      <c r="V13" s="60">
        <f>IF(K13&lt;=Hypothèses!$B$28-100,"oui","NON")</f>
        <v/>
      </c>
    </row>
    <row r="14" ht="15" customHeight="1" s="40">
      <c r="A14" s="60" t="inlineStr">
        <is>
          <t>CTA 1</t>
        </is>
      </c>
      <c r="B14" s="60" t="inlineStr">
        <is>
          <t>CTA1-S10</t>
        </is>
      </c>
      <c r="C14" s="60" t="inlineStr">
        <is>
          <t>N01</t>
        </is>
      </c>
      <c r="D14" s="60" t="inlineStr">
        <is>
          <t>Faux plafond couloir</t>
        </is>
      </c>
      <c r="E14" s="60" t="inlineStr">
        <is>
          <t>Soufflage</t>
        </is>
      </c>
      <c r="F14" s="60" t="inlineStr">
        <is>
          <t>HEB01 ch. couple</t>
        </is>
      </c>
      <c r="G14" s="61" t="n">
        <v>0.411</v>
      </c>
      <c r="H14" s="46" t="n">
        <v>810</v>
      </c>
      <c r="I14" s="62">
        <f>IF(A14="CTA 5",MIN(INDEX(Hypothèses!$C$6:$C$16,MATCH(H14,Hypothèses!$A$6:$A$16,1)),Hypothèses!$B$30),INDEX(Hypothèses!$C$6:$C$16,MATCH(H14,Hypothèses!$A$6:$A$16,1)))</f>
        <v/>
      </c>
      <c r="J14" s="63">
        <f>H14/3600/I14</f>
        <v/>
      </c>
      <c r="K14" s="60">
        <f>IF(A14="CTA 4",Hypothèses!$B$25,IF(AND(A14="CTA 5",H14&gt;4000),Hypothèses!$B$29,IF(H14&lt;=2000,Hypothèses!$B$23,Hypothèses!$B$24)))</f>
        <v/>
      </c>
      <c r="L14" s="60">
        <f>MAX(Hypothèses!$B$26,CEILING(J14/(K14/1000)*1000,Hypothèses!$B$27))</f>
        <v/>
      </c>
      <c r="M14" s="63">
        <f>L14*K14/1000000</f>
        <v/>
      </c>
      <c r="N14" s="64">
        <f>H14/3600/M14</f>
        <v/>
      </c>
      <c r="O14" s="60">
        <f>IF(N14&lt;=I14,"oui","NON")</f>
        <v/>
      </c>
      <c r="P14" s="63">
        <f>1.3*((L14/1000)*(K14/1000))^0.625/((L14/1000)+(K14/1000))^0.25</f>
        <v/>
      </c>
      <c r="Q14" s="65">
        <f>N14*P14/Hypothèses!$B$20</f>
        <v/>
      </c>
      <c r="R14" s="66">
        <f>0.25/(LOG10(Hypothèses!$B$21/(3.7*P14)+5.74/Q14^0.9))^2</f>
        <v/>
      </c>
      <c r="S14" s="64">
        <f>R14/P14*Hypothèses!$B$19*N14^2/2</f>
        <v/>
      </c>
      <c r="T14" s="62">
        <f>S14*G14*(1+Hypothèses!$B$22)</f>
        <v/>
      </c>
      <c r="U14" s="45" t="n"/>
      <c r="V14" s="60">
        <f>IF(K14&lt;=Hypothèses!$B$28-100,"oui","NON")</f>
        <v/>
      </c>
    </row>
    <row r="15" ht="15" customHeight="1" s="40">
      <c r="A15" s="60" t="inlineStr">
        <is>
          <t>CTA 1</t>
        </is>
      </c>
      <c r="B15" s="60" t="inlineStr">
        <is>
          <t>CTA1-S11</t>
        </is>
      </c>
      <c r="C15" s="60" t="inlineStr">
        <is>
          <t>N01</t>
        </is>
      </c>
      <c r="D15" s="60" t="inlineStr">
        <is>
          <t>Faux plafond couloir</t>
        </is>
      </c>
      <c r="E15" s="60" t="inlineStr">
        <is>
          <t>Soufflage</t>
        </is>
      </c>
      <c r="F15" s="60" t="inlineStr">
        <is>
          <t>HEB01 ch. couple</t>
        </is>
      </c>
      <c r="G15" s="61" t="n">
        <v>4.19</v>
      </c>
      <c r="H15" s="46" t="n">
        <v>810</v>
      </c>
      <c r="I15" s="62">
        <f>IF(A15="CTA 5",MIN(INDEX(Hypothèses!$C$6:$C$16,MATCH(H15,Hypothèses!$A$6:$A$16,1)),Hypothèses!$B$30),INDEX(Hypothèses!$C$6:$C$16,MATCH(H15,Hypothèses!$A$6:$A$16,1)))</f>
        <v/>
      </c>
      <c r="J15" s="63">
        <f>H15/3600/I15</f>
        <v/>
      </c>
      <c r="K15" s="60">
        <f>IF(A15="CTA 4",Hypothèses!$B$25,IF(AND(A15="CTA 5",H15&gt;4000),Hypothèses!$B$29,IF(H15&lt;=2000,Hypothèses!$B$23,Hypothèses!$B$24)))</f>
        <v/>
      </c>
      <c r="L15" s="60">
        <f>MAX(Hypothèses!$B$26,CEILING(J15/(K15/1000)*1000,Hypothèses!$B$27))</f>
        <v/>
      </c>
      <c r="M15" s="63">
        <f>L15*K15/1000000</f>
        <v/>
      </c>
      <c r="N15" s="64">
        <f>H15/3600/M15</f>
        <v/>
      </c>
      <c r="O15" s="60">
        <f>IF(N15&lt;=I15,"oui","NON")</f>
        <v/>
      </c>
      <c r="P15" s="63">
        <f>1.3*((L15/1000)*(K15/1000))^0.625/((L15/1000)+(K15/1000))^0.25</f>
        <v/>
      </c>
      <c r="Q15" s="65">
        <f>N15*P15/Hypothèses!$B$20</f>
        <v/>
      </c>
      <c r="R15" s="66">
        <f>0.25/(LOG10(Hypothèses!$B$21/(3.7*P15)+5.74/Q15^0.9))^2</f>
        <v/>
      </c>
      <c r="S15" s="64">
        <f>R15/P15*Hypothèses!$B$19*N15^2/2</f>
        <v/>
      </c>
      <c r="T15" s="62">
        <f>S15*G15*(1+Hypothèses!$B$22)</f>
        <v/>
      </c>
      <c r="U15" s="45" t="n"/>
      <c r="V15" s="60">
        <f>IF(K15&lt;=Hypothèses!$B$28-100,"oui","NON")</f>
        <v/>
      </c>
    </row>
    <row r="16" ht="15" customHeight="1" s="40">
      <c r="A16" s="60" t="inlineStr">
        <is>
          <t>CTA 1</t>
        </is>
      </c>
      <c r="B16" s="60" t="inlineStr">
        <is>
          <t>CTA1-S12</t>
        </is>
      </c>
      <c r="C16" s="60" t="inlineStr">
        <is>
          <t>N01</t>
        </is>
      </c>
      <c r="D16" s="60" t="inlineStr">
        <is>
          <t>Faux plafond couloir</t>
        </is>
      </c>
      <c r="E16" s="60" t="inlineStr">
        <is>
          <t>Soufflage</t>
        </is>
      </c>
      <c r="F16" s="60" t="inlineStr">
        <is>
          <t>HEB01 chambre</t>
        </is>
      </c>
      <c r="G16" s="61" t="n">
        <v>1.792</v>
      </c>
      <c r="H16" s="46" t="n">
        <v>630</v>
      </c>
      <c r="I16" s="62">
        <f>IF(A16="CTA 5",MIN(INDEX(Hypothèses!$C$6:$C$16,MATCH(H16,Hypothèses!$A$6:$A$16,1)),Hypothèses!$B$30),INDEX(Hypothèses!$C$6:$C$16,MATCH(H16,Hypothèses!$A$6:$A$16,1)))</f>
        <v/>
      </c>
      <c r="J16" s="63">
        <f>H16/3600/I16</f>
        <v/>
      </c>
      <c r="K16" s="60">
        <f>IF(A16="CTA 4",Hypothèses!$B$25,IF(AND(A16="CTA 5",H16&gt;4000),Hypothèses!$B$29,IF(H16&lt;=2000,Hypothèses!$B$23,Hypothèses!$B$24)))</f>
        <v/>
      </c>
      <c r="L16" s="60">
        <f>MAX(Hypothèses!$B$26,CEILING(J16/(K16/1000)*1000,Hypothèses!$B$27))</f>
        <v/>
      </c>
      <c r="M16" s="63">
        <f>L16*K16/1000000</f>
        <v/>
      </c>
      <c r="N16" s="64">
        <f>H16/3600/M16</f>
        <v/>
      </c>
      <c r="O16" s="60">
        <f>IF(N16&lt;=I16,"oui","NON")</f>
        <v/>
      </c>
      <c r="P16" s="63">
        <f>1.3*((L16/1000)*(K16/1000))^0.625/((L16/1000)+(K16/1000))^0.25</f>
        <v/>
      </c>
      <c r="Q16" s="65">
        <f>N16*P16/Hypothèses!$B$20</f>
        <v/>
      </c>
      <c r="R16" s="66">
        <f>0.25/(LOG10(Hypothèses!$B$21/(3.7*P16)+5.74/Q16^0.9))^2</f>
        <v/>
      </c>
      <c r="S16" s="64">
        <f>R16/P16*Hypothèses!$B$19*N16^2/2</f>
        <v/>
      </c>
      <c r="T16" s="62">
        <f>S16*G16*(1+Hypothèses!$B$22)</f>
        <v/>
      </c>
      <c r="U16" s="45" t="n"/>
      <c r="V16" s="60">
        <f>IF(K16&lt;=Hypothèses!$B$28-100,"oui","NON")</f>
        <v/>
      </c>
    </row>
    <row r="17" ht="15" customHeight="1" s="40">
      <c r="A17" s="60" t="inlineStr">
        <is>
          <t>CTA 1</t>
        </is>
      </c>
      <c r="B17" s="60" t="inlineStr">
        <is>
          <t>CTA1-S13</t>
        </is>
      </c>
      <c r="C17" s="60" t="inlineStr">
        <is>
          <t>N01</t>
        </is>
      </c>
      <c r="D17" s="60" t="inlineStr">
        <is>
          <t>Faux plafond couloir</t>
        </is>
      </c>
      <c r="E17" s="60" t="inlineStr">
        <is>
          <t>Soufflage</t>
        </is>
      </c>
      <c r="F17" s="60" t="inlineStr">
        <is>
          <t>HEB01 chambre</t>
        </is>
      </c>
      <c r="G17" s="61" t="n">
        <v>2.925</v>
      </c>
      <c r="H17" s="46" t="n">
        <v>540</v>
      </c>
      <c r="I17" s="62">
        <f>IF(A17="CTA 5",MIN(INDEX(Hypothèses!$C$6:$C$16,MATCH(H17,Hypothèses!$A$6:$A$16,1)),Hypothèses!$B$30),INDEX(Hypothèses!$C$6:$C$16,MATCH(H17,Hypothèses!$A$6:$A$16,1)))</f>
        <v/>
      </c>
      <c r="J17" s="63">
        <f>H17/3600/I17</f>
        <v/>
      </c>
      <c r="K17" s="60">
        <f>IF(A17="CTA 4",Hypothèses!$B$25,IF(AND(A17="CTA 5",H17&gt;4000),Hypothèses!$B$29,IF(H17&lt;=2000,Hypothèses!$B$23,Hypothèses!$B$24)))</f>
        <v/>
      </c>
      <c r="L17" s="60">
        <f>MAX(Hypothèses!$B$26,CEILING(J17/(K17/1000)*1000,Hypothèses!$B$27))</f>
        <v/>
      </c>
      <c r="M17" s="63">
        <f>L17*K17/1000000</f>
        <v/>
      </c>
      <c r="N17" s="64">
        <f>H17/3600/M17</f>
        <v/>
      </c>
      <c r="O17" s="60">
        <f>IF(N17&lt;=I17,"oui","NON")</f>
        <v/>
      </c>
      <c r="P17" s="63">
        <f>1.3*((L17/1000)*(K17/1000))^0.625/((L17/1000)+(K17/1000))^0.25</f>
        <v/>
      </c>
      <c r="Q17" s="65">
        <f>N17*P17/Hypothèses!$B$20</f>
        <v/>
      </c>
      <c r="R17" s="66">
        <f>0.25/(LOG10(Hypothèses!$B$21/(3.7*P17)+5.74/Q17^0.9))^2</f>
        <v/>
      </c>
      <c r="S17" s="64">
        <f>R17/P17*Hypothèses!$B$19*N17^2/2</f>
        <v/>
      </c>
      <c r="T17" s="62">
        <f>S17*G17*(1+Hypothèses!$B$22)</f>
        <v/>
      </c>
      <c r="U17" s="45" t="n"/>
      <c r="V17" s="60">
        <f>IF(K17&lt;=Hypothèses!$B$28-100,"oui","NON")</f>
        <v/>
      </c>
    </row>
    <row r="18" ht="15" customHeight="1" s="40">
      <c r="A18" s="60" t="inlineStr">
        <is>
          <t>CTA 1</t>
        </is>
      </c>
      <c r="B18" s="60" t="inlineStr">
        <is>
          <t>CTA1-S14</t>
        </is>
      </c>
      <c r="C18" s="60" t="inlineStr">
        <is>
          <t>N01</t>
        </is>
      </c>
      <c r="D18" s="60" t="inlineStr">
        <is>
          <t>Faux plafond couloir</t>
        </is>
      </c>
      <c r="E18" s="60" t="inlineStr">
        <is>
          <t>Soufflage</t>
        </is>
      </c>
      <c r="F18" s="60" t="inlineStr">
        <is>
          <t>HEB01 chambre</t>
        </is>
      </c>
      <c r="G18" s="61" t="n">
        <v>1.545</v>
      </c>
      <c r="H18" s="46" t="n">
        <v>540</v>
      </c>
      <c r="I18" s="62">
        <f>IF(A18="CTA 5",MIN(INDEX(Hypothèses!$C$6:$C$16,MATCH(H18,Hypothèses!$A$6:$A$16,1)),Hypothèses!$B$30),INDEX(Hypothèses!$C$6:$C$16,MATCH(H18,Hypothèses!$A$6:$A$16,1)))</f>
        <v/>
      </c>
      <c r="J18" s="63">
        <f>H18/3600/I18</f>
        <v/>
      </c>
      <c r="K18" s="60">
        <f>IF(A18="CTA 4",Hypothèses!$B$25,IF(AND(A18="CTA 5",H18&gt;4000),Hypothèses!$B$29,IF(H18&lt;=2000,Hypothèses!$B$23,Hypothèses!$B$24)))</f>
        <v/>
      </c>
      <c r="L18" s="60">
        <f>MAX(Hypothèses!$B$26,CEILING(J18/(K18/1000)*1000,Hypothèses!$B$27))</f>
        <v/>
      </c>
      <c r="M18" s="63">
        <f>L18*K18/1000000</f>
        <v/>
      </c>
      <c r="N18" s="64">
        <f>H18/3600/M18</f>
        <v/>
      </c>
      <c r="O18" s="60">
        <f>IF(N18&lt;=I18,"oui","NON")</f>
        <v/>
      </c>
      <c r="P18" s="63">
        <f>1.3*((L18/1000)*(K18/1000))^0.625/((L18/1000)+(K18/1000))^0.25</f>
        <v/>
      </c>
      <c r="Q18" s="65">
        <f>N18*P18/Hypothèses!$B$20</f>
        <v/>
      </c>
      <c r="R18" s="66">
        <f>0.25/(LOG10(Hypothèses!$B$21/(3.7*P18)+5.74/Q18^0.9))^2</f>
        <v/>
      </c>
      <c r="S18" s="64">
        <f>R18/P18*Hypothèses!$B$19*N18^2/2</f>
        <v/>
      </c>
      <c r="T18" s="62">
        <f>S18*G18*(1+Hypothèses!$B$22)</f>
        <v/>
      </c>
      <c r="U18" s="45" t="n"/>
      <c r="V18" s="60">
        <f>IF(K18&lt;=Hypothèses!$B$28-100,"oui","NON")</f>
        <v/>
      </c>
    </row>
    <row r="19" ht="15" customHeight="1" s="40">
      <c r="A19" s="60" t="inlineStr">
        <is>
          <t>CTA 1</t>
        </is>
      </c>
      <c r="B19" s="60" t="inlineStr">
        <is>
          <t>CTA1-S15</t>
        </is>
      </c>
      <c r="C19" s="60" t="inlineStr">
        <is>
          <t>N01</t>
        </is>
      </c>
      <c r="D19" s="60" t="inlineStr">
        <is>
          <t>Faux plafond couloir</t>
        </is>
      </c>
      <c r="E19" s="60" t="inlineStr">
        <is>
          <t>Soufflage</t>
        </is>
      </c>
      <c r="F19" s="60" t="inlineStr">
        <is>
          <t>HEB01 chambre</t>
        </is>
      </c>
      <c r="G19" s="61" t="n">
        <v>2.193</v>
      </c>
      <c r="H19" s="46" t="n">
        <v>450</v>
      </c>
      <c r="I19" s="62">
        <f>IF(A19="CTA 5",MIN(INDEX(Hypothèses!$C$6:$C$16,MATCH(H19,Hypothèses!$A$6:$A$16,1)),Hypothèses!$B$30),INDEX(Hypothèses!$C$6:$C$16,MATCH(H19,Hypothèses!$A$6:$A$16,1)))</f>
        <v/>
      </c>
      <c r="J19" s="63">
        <f>H19/3600/I19</f>
        <v/>
      </c>
      <c r="K19" s="60">
        <f>IF(A19="CTA 4",Hypothèses!$B$25,IF(AND(A19="CTA 5",H19&gt;4000),Hypothèses!$B$29,IF(H19&lt;=2000,Hypothèses!$B$23,Hypothèses!$B$24)))</f>
        <v/>
      </c>
      <c r="L19" s="60">
        <f>MAX(Hypothèses!$B$26,CEILING(J19/(K19/1000)*1000,Hypothèses!$B$27))</f>
        <v/>
      </c>
      <c r="M19" s="63">
        <f>L19*K19/1000000</f>
        <v/>
      </c>
      <c r="N19" s="64">
        <f>H19/3600/M19</f>
        <v/>
      </c>
      <c r="O19" s="60">
        <f>IF(N19&lt;=I19,"oui","NON")</f>
        <v/>
      </c>
      <c r="P19" s="63">
        <f>1.3*((L19/1000)*(K19/1000))^0.625/((L19/1000)+(K19/1000))^0.25</f>
        <v/>
      </c>
      <c r="Q19" s="65">
        <f>N19*P19/Hypothèses!$B$20</f>
        <v/>
      </c>
      <c r="R19" s="66">
        <f>0.25/(LOG10(Hypothèses!$B$21/(3.7*P19)+5.74/Q19^0.9))^2</f>
        <v/>
      </c>
      <c r="S19" s="64">
        <f>R19/P19*Hypothèses!$B$19*N19^2/2</f>
        <v/>
      </c>
      <c r="T19" s="62">
        <f>S19*G19*(1+Hypothèses!$B$22)</f>
        <v/>
      </c>
      <c r="U19" s="45" t="n"/>
      <c r="V19" s="60">
        <f>IF(K19&lt;=Hypothèses!$B$28-100,"oui","NON")</f>
        <v/>
      </c>
    </row>
    <row r="20" ht="15" customHeight="1" s="40">
      <c r="A20" s="60" t="inlineStr">
        <is>
          <t>CTA 1</t>
        </is>
      </c>
      <c r="B20" s="60" t="inlineStr">
        <is>
          <t>CTA1-S16</t>
        </is>
      </c>
      <c r="C20" s="60" t="inlineStr">
        <is>
          <t>N01</t>
        </is>
      </c>
      <c r="D20" s="60" t="inlineStr">
        <is>
          <t>Faux plafond couloir</t>
        </is>
      </c>
      <c r="E20" s="60" t="inlineStr">
        <is>
          <t>Soufflage</t>
        </is>
      </c>
      <c r="F20" s="60" t="inlineStr">
        <is>
          <t>HEB01 chambre</t>
        </is>
      </c>
      <c r="G20" s="61" t="n">
        <v>1.567</v>
      </c>
      <c r="H20" s="46" t="n">
        <v>270</v>
      </c>
      <c r="I20" s="62">
        <f>IF(A20="CTA 5",MIN(INDEX(Hypothèses!$C$6:$C$16,MATCH(H20,Hypothèses!$A$6:$A$16,1)),Hypothèses!$B$30),INDEX(Hypothèses!$C$6:$C$16,MATCH(H20,Hypothèses!$A$6:$A$16,1)))</f>
        <v/>
      </c>
      <c r="J20" s="63">
        <f>H20/3600/I20</f>
        <v/>
      </c>
      <c r="K20" s="60">
        <f>IF(A20="CTA 4",Hypothèses!$B$25,IF(AND(A20="CTA 5",H20&gt;4000),Hypothèses!$B$29,IF(H20&lt;=2000,Hypothèses!$B$23,Hypothèses!$B$24)))</f>
        <v/>
      </c>
      <c r="L20" s="60">
        <f>MAX(Hypothèses!$B$26,CEILING(J20/(K20/1000)*1000,Hypothèses!$B$27))</f>
        <v/>
      </c>
      <c r="M20" s="63">
        <f>L20*K20/1000000</f>
        <v/>
      </c>
      <c r="N20" s="64">
        <f>H20/3600/M20</f>
        <v/>
      </c>
      <c r="O20" s="60">
        <f>IF(N20&lt;=I20,"oui","NON")</f>
        <v/>
      </c>
      <c r="P20" s="63">
        <f>1.3*((L20/1000)*(K20/1000))^0.625/((L20/1000)+(K20/1000))^0.25</f>
        <v/>
      </c>
      <c r="Q20" s="65">
        <f>N20*P20/Hypothèses!$B$20</f>
        <v/>
      </c>
      <c r="R20" s="66">
        <f>0.25/(LOG10(Hypothèses!$B$21/(3.7*P20)+5.74/Q20^0.9))^2</f>
        <v/>
      </c>
      <c r="S20" s="64">
        <f>R20/P20*Hypothèses!$B$19*N20^2/2</f>
        <v/>
      </c>
      <c r="T20" s="62">
        <f>S20*G20*(1+Hypothèses!$B$22)</f>
        <v/>
      </c>
      <c r="U20" s="45" t="n"/>
      <c r="V20" s="60">
        <f>IF(K20&lt;=Hypothèses!$B$28-100,"oui","NON")</f>
        <v/>
      </c>
    </row>
    <row r="21" ht="15" customHeight="1" s="40">
      <c r="A21" s="60" t="inlineStr">
        <is>
          <t>CTA 1</t>
        </is>
      </c>
      <c r="B21" s="60" t="inlineStr">
        <is>
          <t>CTA1-S17</t>
        </is>
      </c>
      <c r="C21" s="60" t="inlineStr">
        <is>
          <t>N01</t>
        </is>
      </c>
      <c r="D21" s="60" t="inlineStr">
        <is>
          <t>Faux plafond couloir</t>
        </is>
      </c>
      <c r="E21" s="60" t="inlineStr">
        <is>
          <t>Soufflage</t>
        </is>
      </c>
      <c r="F21" s="60" t="inlineStr">
        <is>
          <t>HEB01 chambre</t>
        </is>
      </c>
      <c r="G21" s="61" t="n">
        <v>2.841</v>
      </c>
      <c r="H21" s="46" t="n">
        <v>270</v>
      </c>
      <c r="I21" s="62">
        <f>IF(A21="CTA 5",MIN(INDEX(Hypothèses!$C$6:$C$16,MATCH(H21,Hypothèses!$A$6:$A$16,1)),Hypothèses!$B$30),INDEX(Hypothèses!$C$6:$C$16,MATCH(H21,Hypothèses!$A$6:$A$16,1)))</f>
        <v/>
      </c>
      <c r="J21" s="63">
        <f>H21/3600/I21</f>
        <v/>
      </c>
      <c r="K21" s="60">
        <f>IF(A21="CTA 4",Hypothèses!$B$25,IF(AND(A21="CTA 5",H21&gt;4000),Hypothèses!$B$29,IF(H21&lt;=2000,Hypothèses!$B$23,Hypothèses!$B$24)))</f>
        <v/>
      </c>
      <c r="L21" s="60">
        <f>MAX(Hypothèses!$B$26,CEILING(J21/(K21/1000)*1000,Hypothèses!$B$27))</f>
        <v/>
      </c>
      <c r="M21" s="63">
        <f>L21*K21/1000000</f>
        <v/>
      </c>
      <c r="N21" s="64">
        <f>H21/3600/M21</f>
        <v/>
      </c>
      <c r="O21" s="60">
        <f>IF(N21&lt;=I21,"oui","NON")</f>
        <v/>
      </c>
      <c r="P21" s="63">
        <f>1.3*((L21/1000)*(K21/1000))^0.625/((L21/1000)+(K21/1000))^0.25</f>
        <v/>
      </c>
      <c r="Q21" s="65">
        <f>N21*P21/Hypothèses!$B$20</f>
        <v/>
      </c>
      <c r="R21" s="66">
        <f>0.25/(LOG10(Hypothèses!$B$21/(3.7*P21)+5.74/Q21^0.9))^2</f>
        <v/>
      </c>
      <c r="S21" s="64">
        <f>R21/P21*Hypothèses!$B$19*N21^2/2</f>
        <v/>
      </c>
      <c r="T21" s="62">
        <f>S21*G21*(1+Hypothèses!$B$22)</f>
        <v/>
      </c>
      <c r="U21" s="45" t="n"/>
      <c r="V21" s="60">
        <f>IF(K21&lt;=Hypothèses!$B$28-100,"oui","NON")</f>
        <v/>
      </c>
    </row>
    <row r="22" ht="15" customHeight="1" s="40">
      <c r="A22" s="60" t="inlineStr">
        <is>
          <t>CTA 1</t>
        </is>
      </c>
      <c r="B22" s="60" t="inlineStr">
        <is>
          <t>CTA1-S18</t>
        </is>
      </c>
      <c r="C22" s="60" t="inlineStr">
        <is>
          <t>N01</t>
        </is>
      </c>
      <c r="D22" s="60" t="inlineStr">
        <is>
          <t>Faux plafond couloir</t>
        </is>
      </c>
      <c r="E22" s="60" t="inlineStr">
        <is>
          <t>Soufflage</t>
        </is>
      </c>
      <c r="F22" s="60" t="inlineStr">
        <is>
          <t>HEB01 chambre</t>
        </is>
      </c>
      <c r="G22" s="61" t="n">
        <v>1.633</v>
      </c>
      <c r="H22" s="46" t="n">
        <v>180</v>
      </c>
      <c r="I22" s="62">
        <f>IF(A22="CTA 5",MIN(INDEX(Hypothèses!$C$6:$C$16,MATCH(H22,Hypothèses!$A$6:$A$16,1)),Hypothèses!$B$30),INDEX(Hypothèses!$C$6:$C$16,MATCH(H22,Hypothèses!$A$6:$A$16,1)))</f>
        <v/>
      </c>
      <c r="J22" s="63">
        <f>H22/3600/I22</f>
        <v/>
      </c>
      <c r="K22" s="60">
        <f>IF(A22="CTA 4",Hypothèses!$B$25,IF(AND(A22="CTA 5",H22&gt;4000),Hypothèses!$B$29,IF(H22&lt;=2000,Hypothèses!$B$23,Hypothèses!$B$24)))</f>
        <v/>
      </c>
      <c r="L22" s="60">
        <f>MAX(Hypothèses!$B$26,CEILING(J22/(K22/1000)*1000,Hypothèses!$B$27))</f>
        <v/>
      </c>
      <c r="M22" s="63">
        <f>L22*K22/1000000</f>
        <v/>
      </c>
      <c r="N22" s="64">
        <f>H22/3600/M22</f>
        <v/>
      </c>
      <c r="O22" s="60">
        <f>IF(N22&lt;=I22,"oui","NON")</f>
        <v/>
      </c>
      <c r="P22" s="63">
        <f>1.3*((L22/1000)*(K22/1000))^0.625/((L22/1000)+(K22/1000))^0.25</f>
        <v/>
      </c>
      <c r="Q22" s="65">
        <f>N22*P22/Hypothèses!$B$20</f>
        <v/>
      </c>
      <c r="R22" s="66">
        <f>0.25/(LOG10(Hypothèses!$B$21/(3.7*P22)+5.74/Q22^0.9))^2</f>
        <v/>
      </c>
      <c r="S22" s="64">
        <f>R22/P22*Hypothèses!$B$19*N22^2/2</f>
        <v/>
      </c>
      <c r="T22" s="62">
        <f>S22*G22*(1+Hypothèses!$B$22)</f>
        <v/>
      </c>
      <c r="U22" s="45" t="n"/>
      <c r="V22" s="60">
        <f>IF(K22&lt;=Hypothèses!$B$28-100,"oui","NON")</f>
        <v/>
      </c>
    </row>
    <row r="23" ht="15" customHeight="1" s="40">
      <c r="A23" s="60" t="inlineStr">
        <is>
          <t>CTA 1</t>
        </is>
      </c>
      <c r="B23" s="60" t="inlineStr">
        <is>
          <t>CTA1-S19</t>
        </is>
      </c>
      <c r="C23" s="60" t="inlineStr">
        <is>
          <t>N01</t>
        </is>
      </c>
      <c r="D23" s="60" t="inlineStr">
        <is>
          <t>Faux plafond couloir</t>
        </is>
      </c>
      <c r="E23" s="60" t="inlineStr">
        <is>
          <t>Soufflage</t>
        </is>
      </c>
      <c r="F23" s="60" t="n"/>
      <c r="G23" s="61" t="n">
        <v>1.427</v>
      </c>
      <c r="H23" s="46" t="n">
        <v>90</v>
      </c>
      <c r="I23" s="62">
        <f>IF(A23="CTA 5",MIN(INDEX(Hypothèses!$C$6:$C$16,MATCH(H23,Hypothèses!$A$6:$A$16,1)),Hypothèses!$B$30),INDEX(Hypothèses!$C$6:$C$16,MATCH(H23,Hypothèses!$A$6:$A$16,1)))</f>
        <v/>
      </c>
      <c r="J23" s="63">
        <f>H23/3600/I23</f>
        <v/>
      </c>
      <c r="K23" s="60">
        <f>IF(A23="CTA 4",Hypothèses!$B$25,IF(AND(A23="CTA 5",H23&gt;4000),Hypothèses!$B$29,IF(H23&lt;=2000,Hypothèses!$B$23,Hypothèses!$B$24)))</f>
        <v/>
      </c>
      <c r="L23" s="60">
        <f>MAX(Hypothèses!$B$26,CEILING(J23/(K23/1000)*1000,Hypothèses!$B$27))</f>
        <v/>
      </c>
      <c r="M23" s="63">
        <f>L23*K23/1000000</f>
        <v/>
      </c>
      <c r="N23" s="64">
        <f>H23/3600/M23</f>
        <v/>
      </c>
      <c r="O23" s="60">
        <f>IF(N23&lt;=I23,"oui","NON")</f>
        <v/>
      </c>
      <c r="P23" s="63">
        <f>1.3*((L23/1000)*(K23/1000))^0.625/((L23/1000)+(K23/1000))^0.25</f>
        <v/>
      </c>
      <c r="Q23" s="65">
        <f>N23*P23/Hypothèses!$B$20</f>
        <v/>
      </c>
      <c r="R23" s="66">
        <f>0.25/(LOG10(Hypothèses!$B$21/(3.7*P23)+5.74/Q23^0.9))^2</f>
        <v/>
      </c>
      <c r="S23" s="64">
        <f>R23/P23*Hypothèses!$B$19*N23^2/2</f>
        <v/>
      </c>
      <c r="T23" s="62">
        <f>S23*G23*(1+Hypothèses!$B$22)</f>
        <v/>
      </c>
      <c r="U23" s="45" t="n"/>
      <c r="V23" s="60">
        <f>IF(K23&lt;=Hypothèses!$B$28-100,"oui","NON")</f>
        <v/>
      </c>
    </row>
    <row r="24" ht="15" customHeight="1" s="40">
      <c r="A24" s="60" t="inlineStr">
        <is>
          <t>CTA 1</t>
        </is>
      </c>
      <c r="B24" s="60" t="inlineStr">
        <is>
          <t>CTA1-S20</t>
        </is>
      </c>
      <c r="C24" s="60" t="inlineStr">
        <is>
          <t>N00</t>
        </is>
      </c>
      <c r="D24" s="60" t="inlineStr">
        <is>
          <t>Faux plafond couloir</t>
        </is>
      </c>
      <c r="E24" s="60" t="inlineStr">
        <is>
          <t>Soufflage</t>
        </is>
      </c>
      <c r="F24" s="60" t="n"/>
      <c r="G24" s="61" t="n">
        <v>2.45</v>
      </c>
      <c r="H24" s="46" t="n">
        <v>1260</v>
      </c>
      <c r="I24" s="62">
        <f>IF(A24="CTA 5",MIN(INDEX(Hypothèses!$C$6:$C$16,MATCH(H24,Hypothèses!$A$6:$A$16,1)),Hypothèses!$B$30),INDEX(Hypothèses!$C$6:$C$16,MATCH(H24,Hypothèses!$A$6:$A$16,1)))</f>
        <v/>
      </c>
      <c r="J24" s="63">
        <f>H24/3600/I24</f>
        <v/>
      </c>
      <c r="K24" s="60">
        <f>IF(A24="CTA 4",Hypothèses!$B$25,IF(AND(A24="CTA 5",H24&gt;4000),Hypothèses!$B$29,IF(H24&lt;=2000,Hypothèses!$B$23,Hypothèses!$B$24)))</f>
        <v/>
      </c>
      <c r="L24" s="60">
        <f>MAX(Hypothèses!$B$26,CEILING(J24/(K24/1000)*1000,Hypothèses!$B$27))</f>
        <v/>
      </c>
      <c r="M24" s="63">
        <f>L24*K24/1000000</f>
        <v/>
      </c>
      <c r="N24" s="64">
        <f>H24/3600/M24</f>
        <v/>
      </c>
      <c r="O24" s="60">
        <f>IF(N24&lt;=I24,"oui","NON")</f>
        <v/>
      </c>
      <c r="P24" s="63">
        <f>1.3*((L24/1000)*(K24/1000))^0.625/((L24/1000)+(K24/1000))^0.25</f>
        <v/>
      </c>
      <c r="Q24" s="65">
        <f>N24*P24/Hypothèses!$B$20</f>
        <v/>
      </c>
      <c r="R24" s="66">
        <f>0.25/(LOG10(Hypothèses!$B$21/(3.7*P24)+5.74/Q24^0.9))^2</f>
        <v/>
      </c>
      <c r="S24" s="64">
        <f>R24/P24*Hypothèses!$B$19*N24^2/2</f>
        <v/>
      </c>
      <c r="T24" s="62">
        <f>S24*G24*(1+Hypothèses!$B$22)</f>
        <v/>
      </c>
      <c r="U24" s="45" t="inlineStr">
        <is>
          <t>X</t>
        </is>
      </c>
      <c r="V24" s="60">
        <f>IF(K24&lt;=Hypothèses!$B$28-100,"oui","NON")</f>
        <v/>
      </c>
    </row>
    <row r="25" ht="15" customHeight="1" s="40">
      <c r="A25" s="60" t="inlineStr">
        <is>
          <t>CTA 1</t>
        </is>
      </c>
      <c r="B25" s="60" t="inlineStr">
        <is>
          <t>CTA1-S21</t>
        </is>
      </c>
      <c r="C25" s="60" t="inlineStr">
        <is>
          <t>N00</t>
        </is>
      </c>
      <c r="D25" s="60" t="inlineStr">
        <is>
          <t>Faux plafond couloir</t>
        </is>
      </c>
      <c r="E25" s="60" t="inlineStr">
        <is>
          <t>Soufflage</t>
        </is>
      </c>
      <c r="F25" s="60" t="inlineStr">
        <is>
          <t>HEB01 chambre</t>
        </is>
      </c>
      <c r="G25" s="61" t="n">
        <v>1.3</v>
      </c>
      <c r="H25" s="46" t="n">
        <v>1260</v>
      </c>
      <c r="I25" s="62">
        <f>IF(A25="CTA 5",MIN(INDEX(Hypothèses!$C$6:$C$16,MATCH(H25,Hypothèses!$A$6:$A$16,1)),Hypothèses!$B$30),INDEX(Hypothèses!$C$6:$C$16,MATCH(H25,Hypothèses!$A$6:$A$16,1)))</f>
        <v/>
      </c>
      <c r="J25" s="63">
        <f>H25/3600/I25</f>
        <v/>
      </c>
      <c r="K25" s="60">
        <f>IF(A25="CTA 4",Hypothèses!$B$25,IF(AND(A25="CTA 5",H25&gt;4000),Hypothèses!$B$29,IF(H25&lt;=2000,Hypothèses!$B$23,Hypothèses!$B$24)))</f>
        <v/>
      </c>
      <c r="L25" s="60">
        <f>MAX(Hypothèses!$B$26,CEILING(J25/(K25/1000)*1000,Hypothèses!$B$27))</f>
        <v/>
      </c>
      <c r="M25" s="63">
        <f>L25*K25/1000000</f>
        <v/>
      </c>
      <c r="N25" s="64">
        <f>H25/3600/M25</f>
        <v/>
      </c>
      <c r="O25" s="60">
        <f>IF(N25&lt;=I25,"oui","NON")</f>
        <v/>
      </c>
      <c r="P25" s="63">
        <f>1.3*((L25/1000)*(K25/1000))^0.625/((L25/1000)+(K25/1000))^0.25</f>
        <v/>
      </c>
      <c r="Q25" s="65">
        <f>N25*P25/Hypothèses!$B$20</f>
        <v/>
      </c>
      <c r="R25" s="66">
        <f>0.25/(LOG10(Hypothèses!$B$21/(3.7*P25)+5.74/Q25^0.9))^2</f>
        <v/>
      </c>
      <c r="S25" s="64">
        <f>R25/P25*Hypothèses!$B$19*N25^2/2</f>
        <v/>
      </c>
      <c r="T25" s="62">
        <f>S25*G25*(1+Hypothèses!$B$22)</f>
        <v/>
      </c>
      <c r="U25" s="45" t="inlineStr">
        <is>
          <t>X</t>
        </is>
      </c>
      <c r="V25" s="60">
        <f>IF(K25&lt;=Hypothèses!$B$28-100,"oui","NON")</f>
        <v/>
      </c>
    </row>
    <row r="26" ht="15" customHeight="1" s="40">
      <c r="A26" s="60" t="inlineStr">
        <is>
          <t>CTA 1</t>
        </is>
      </c>
      <c r="B26" s="60" t="inlineStr">
        <is>
          <t>CTA1-S22</t>
        </is>
      </c>
      <c r="C26" s="60" t="inlineStr">
        <is>
          <t>N00</t>
        </is>
      </c>
      <c r="D26" s="60" t="inlineStr">
        <is>
          <t>Faux plafond couloir</t>
        </is>
      </c>
      <c r="E26" s="60" t="inlineStr">
        <is>
          <t>Soufflage</t>
        </is>
      </c>
      <c r="F26" s="60" t="inlineStr">
        <is>
          <t>HEB01 chambre</t>
        </is>
      </c>
      <c r="G26" s="61" t="n">
        <v>2.25</v>
      </c>
      <c r="H26" s="46" t="n">
        <v>1170</v>
      </c>
      <c r="I26" s="62">
        <f>IF(A26="CTA 5",MIN(INDEX(Hypothèses!$C$6:$C$16,MATCH(H26,Hypothèses!$A$6:$A$16,1)),Hypothèses!$B$30),INDEX(Hypothèses!$C$6:$C$16,MATCH(H26,Hypothèses!$A$6:$A$16,1)))</f>
        <v/>
      </c>
      <c r="J26" s="63">
        <f>H26/3600/I26</f>
        <v/>
      </c>
      <c r="K26" s="60">
        <f>IF(A26="CTA 4",Hypothèses!$B$25,IF(AND(A26="CTA 5",H26&gt;4000),Hypothèses!$B$29,IF(H26&lt;=2000,Hypothèses!$B$23,Hypothèses!$B$24)))</f>
        <v/>
      </c>
      <c r="L26" s="60">
        <f>MAX(Hypothèses!$B$26,CEILING(J26/(K26/1000)*1000,Hypothèses!$B$27))</f>
        <v/>
      </c>
      <c r="M26" s="63">
        <f>L26*K26/1000000</f>
        <v/>
      </c>
      <c r="N26" s="64">
        <f>H26/3600/M26</f>
        <v/>
      </c>
      <c r="O26" s="60">
        <f>IF(N26&lt;=I26,"oui","NON")</f>
        <v/>
      </c>
      <c r="P26" s="63">
        <f>1.3*((L26/1000)*(K26/1000))^0.625/((L26/1000)+(K26/1000))^0.25</f>
        <v/>
      </c>
      <c r="Q26" s="65">
        <f>N26*P26/Hypothèses!$B$20</f>
        <v/>
      </c>
      <c r="R26" s="66">
        <f>0.25/(LOG10(Hypothèses!$B$21/(3.7*P26)+5.74/Q26^0.9))^2</f>
        <v/>
      </c>
      <c r="S26" s="64">
        <f>R26/P26*Hypothèses!$B$19*N26^2/2</f>
        <v/>
      </c>
      <c r="T26" s="62">
        <f>S26*G26*(1+Hypothèses!$B$22)</f>
        <v/>
      </c>
      <c r="U26" s="45" t="inlineStr">
        <is>
          <t>X</t>
        </is>
      </c>
      <c r="V26" s="60">
        <f>IF(K26&lt;=Hypothèses!$B$28-100,"oui","NON")</f>
        <v/>
      </c>
    </row>
    <row r="27" ht="15" customHeight="1" s="40">
      <c r="A27" s="60" t="inlineStr">
        <is>
          <t>CTA 1</t>
        </is>
      </c>
      <c r="B27" s="60" t="inlineStr">
        <is>
          <t>CTA1-S23</t>
        </is>
      </c>
      <c r="C27" s="60" t="inlineStr">
        <is>
          <t>N00</t>
        </is>
      </c>
      <c r="D27" s="60" t="inlineStr">
        <is>
          <t>Faux plafond couloir</t>
        </is>
      </c>
      <c r="E27" s="60" t="inlineStr">
        <is>
          <t>Soufflage</t>
        </is>
      </c>
      <c r="F27" s="60" t="inlineStr">
        <is>
          <t>HEB01 chambre</t>
        </is>
      </c>
      <c r="G27" s="61" t="n">
        <v>3.551</v>
      </c>
      <c r="H27" s="46" t="n">
        <v>1080</v>
      </c>
      <c r="I27" s="62">
        <f>IF(A27="CTA 5",MIN(INDEX(Hypothèses!$C$6:$C$16,MATCH(H27,Hypothèses!$A$6:$A$16,1)),Hypothèses!$B$30),INDEX(Hypothèses!$C$6:$C$16,MATCH(H27,Hypothèses!$A$6:$A$16,1)))</f>
        <v/>
      </c>
      <c r="J27" s="63">
        <f>H27/3600/I27</f>
        <v/>
      </c>
      <c r="K27" s="60">
        <f>IF(A27="CTA 4",Hypothèses!$B$25,IF(AND(A27="CTA 5",H27&gt;4000),Hypothèses!$B$29,IF(H27&lt;=2000,Hypothèses!$B$23,Hypothèses!$B$24)))</f>
        <v/>
      </c>
      <c r="L27" s="60">
        <f>MAX(Hypothèses!$B$26,CEILING(J27/(K27/1000)*1000,Hypothèses!$B$27))</f>
        <v/>
      </c>
      <c r="M27" s="63">
        <f>L27*K27/1000000</f>
        <v/>
      </c>
      <c r="N27" s="64">
        <f>H27/3600/M27</f>
        <v/>
      </c>
      <c r="O27" s="60">
        <f>IF(N27&lt;=I27,"oui","NON")</f>
        <v/>
      </c>
      <c r="P27" s="63">
        <f>1.3*((L27/1000)*(K27/1000))^0.625/((L27/1000)+(K27/1000))^0.25</f>
        <v/>
      </c>
      <c r="Q27" s="65">
        <f>N27*P27/Hypothèses!$B$20</f>
        <v/>
      </c>
      <c r="R27" s="66">
        <f>0.25/(LOG10(Hypothèses!$B$21/(3.7*P27)+5.74/Q27^0.9))^2</f>
        <v/>
      </c>
      <c r="S27" s="64">
        <f>R27/P27*Hypothèses!$B$19*N27^2/2</f>
        <v/>
      </c>
      <c r="T27" s="62">
        <f>S27*G27*(1+Hypothèses!$B$22)</f>
        <v/>
      </c>
      <c r="U27" s="45" t="inlineStr">
        <is>
          <t>X</t>
        </is>
      </c>
      <c r="V27" s="60">
        <f>IF(K27&lt;=Hypothèses!$B$28-100,"oui","NON")</f>
        <v/>
      </c>
    </row>
    <row r="28" ht="15" customHeight="1" s="40">
      <c r="A28" s="60" t="inlineStr">
        <is>
          <t>CTA 1</t>
        </is>
      </c>
      <c r="B28" s="60" t="inlineStr">
        <is>
          <t>CTA1-S24</t>
        </is>
      </c>
      <c r="C28" s="60" t="inlineStr">
        <is>
          <t>N00</t>
        </is>
      </c>
      <c r="D28" s="60" t="inlineStr">
        <is>
          <t>Faux plafond couloir</t>
        </is>
      </c>
      <c r="E28" s="60" t="inlineStr">
        <is>
          <t>Soufflage</t>
        </is>
      </c>
      <c r="F28" s="60" t="inlineStr">
        <is>
          <t>HEB01 chambre</t>
        </is>
      </c>
      <c r="G28" s="61" t="n">
        <v>0.842</v>
      </c>
      <c r="H28" s="46" t="n">
        <v>990</v>
      </c>
      <c r="I28" s="62">
        <f>IF(A28="CTA 5",MIN(INDEX(Hypothèses!$C$6:$C$16,MATCH(H28,Hypothèses!$A$6:$A$16,1)),Hypothèses!$B$30),INDEX(Hypothèses!$C$6:$C$16,MATCH(H28,Hypothèses!$A$6:$A$16,1)))</f>
        <v/>
      </c>
      <c r="J28" s="63">
        <f>H28/3600/I28</f>
        <v/>
      </c>
      <c r="K28" s="60">
        <f>IF(A28="CTA 4",Hypothèses!$B$25,IF(AND(A28="CTA 5",H28&gt;4000),Hypothèses!$B$29,IF(H28&lt;=2000,Hypothèses!$B$23,Hypothèses!$B$24)))</f>
        <v/>
      </c>
      <c r="L28" s="60">
        <f>MAX(Hypothèses!$B$26,CEILING(J28/(K28/1000)*1000,Hypothèses!$B$27))</f>
        <v/>
      </c>
      <c r="M28" s="63">
        <f>L28*K28/1000000</f>
        <v/>
      </c>
      <c r="N28" s="64">
        <f>H28/3600/M28</f>
        <v/>
      </c>
      <c r="O28" s="60">
        <f>IF(N28&lt;=I28,"oui","NON")</f>
        <v/>
      </c>
      <c r="P28" s="63">
        <f>1.3*((L28/1000)*(K28/1000))^0.625/((L28/1000)+(K28/1000))^0.25</f>
        <v/>
      </c>
      <c r="Q28" s="65">
        <f>N28*P28/Hypothèses!$B$20</f>
        <v/>
      </c>
      <c r="R28" s="66">
        <f>0.25/(LOG10(Hypothèses!$B$21/(3.7*P28)+5.74/Q28^0.9))^2</f>
        <v/>
      </c>
      <c r="S28" s="64">
        <f>R28/P28*Hypothèses!$B$19*N28^2/2</f>
        <v/>
      </c>
      <c r="T28" s="62">
        <f>S28*G28*(1+Hypothèses!$B$22)</f>
        <v/>
      </c>
      <c r="U28" s="45" t="inlineStr">
        <is>
          <t>X</t>
        </is>
      </c>
      <c r="V28" s="60">
        <f>IF(K28&lt;=Hypothèses!$B$28-100,"oui","NON")</f>
        <v/>
      </c>
    </row>
    <row r="29" ht="15" customHeight="1" s="40">
      <c r="A29" s="60" t="inlineStr">
        <is>
          <t>CTA 1</t>
        </is>
      </c>
      <c r="B29" s="60" t="inlineStr">
        <is>
          <t>CTA1-S25</t>
        </is>
      </c>
      <c r="C29" s="60" t="inlineStr">
        <is>
          <t>N00</t>
        </is>
      </c>
      <c r="D29" s="60" t="inlineStr">
        <is>
          <t>Faux plafond couloir</t>
        </is>
      </c>
      <c r="E29" s="60" t="inlineStr">
        <is>
          <t>Soufflage</t>
        </is>
      </c>
      <c r="F29" s="60" t="inlineStr">
        <is>
          <t>HEB01 chambre</t>
        </is>
      </c>
      <c r="G29" s="61" t="n">
        <v>3.633</v>
      </c>
      <c r="H29" s="46" t="n">
        <v>900</v>
      </c>
      <c r="I29" s="62">
        <f>IF(A29="CTA 5",MIN(INDEX(Hypothèses!$C$6:$C$16,MATCH(H29,Hypothèses!$A$6:$A$16,1)),Hypothèses!$B$30),INDEX(Hypothèses!$C$6:$C$16,MATCH(H29,Hypothèses!$A$6:$A$16,1)))</f>
        <v/>
      </c>
      <c r="J29" s="63">
        <f>H29/3600/I29</f>
        <v/>
      </c>
      <c r="K29" s="60">
        <f>IF(A29="CTA 4",Hypothèses!$B$25,IF(AND(A29="CTA 5",H29&gt;4000),Hypothèses!$B$29,IF(H29&lt;=2000,Hypothèses!$B$23,Hypothèses!$B$24)))</f>
        <v/>
      </c>
      <c r="L29" s="60">
        <f>MAX(Hypothèses!$B$26,CEILING(J29/(K29/1000)*1000,Hypothèses!$B$27))</f>
        <v/>
      </c>
      <c r="M29" s="63">
        <f>L29*K29/1000000</f>
        <v/>
      </c>
      <c r="N29" s="64">
        <f>H29/3600/M29</f>
        <v/>
      </c>
      <c r="O29" s="60">
        <f>IF(N29&lt;=I29,"oui","NON")</f>
        <v/>
      </c>
      <c r="P29" s="63">
        <f>1.3*((L29/1000)*(K29/1000))^0.625/((L29/1000)+(K29/1000))^0.25</f>
        <v/>
      </c>
      <c r="Q29" s="65">
        <f>N29*P29/Hypothèses!$B$20</f>
        <v/>
      </c>
      <c r="R29" s="66">
        <f>0.25/(LOG10(Hypothèses!$B$21/(3.7*P29)+5.74/Q29^0.9))^2</f>
        <v/>
      </c>
      <c r="S29" s="64">
        <f>R29/P29*Hypothèses!$B$19*N29^2/2</f>
        <v/>
      </c>
      <c r="T29" s="62">
        <f>S29*G29*(1+Hypothèses!$B$22)</f>
        <v/>
      </c>
      <c r="U29" s="45" t="inlineStr">
        <is>
          <t>X</t>
        </is>
      </c>
      <c r="V29" s="60">
        <f>IF(K29&lt;=Hypothèses!$B$28-100,"oui","NON")</f>
        <v/>
      </c>
    </row>
    <row r="30" ht="15" customHeight="1" s="40">
      <c r="A30" s="60" t="inlineStr">
        <is>
          <t>CTA 1</t>
        </is>
      </c>
      <c r="B30" s="60" t="inlineStr">
        <is>
          <t>CTA1-S26</t>
        </is>
      </c>
      <c r="C30" s="60" t="inlineStr">
        <is>
          <t>N00</t>
        </is>
      </c>
      <c r="D30" s="60" t="inlineStr">
        <is>
          <t>Faux plafond couloir</t>
        </is>
      </c>
      <c r="E30" s="60" t="inlineStr">
        <is>
          <t>Soufflage</t>
        </is>
      </c>
      <c r="F30" s="60" t="inlineStr">
        <is>
          <t>HEB01 ch. couple</t>
        </is>
      </c>
      <c r="G30" s="61" t="n">
        <v>0.412</v>
      </c>
      <c r="H30" s="46" t="n">
        <v>810</v>
      </c>
      <c r="I30" s="62">
        <f>IF(A30="CTA 5",MIN(INDEX(Hypothèses!$C$6:$C$16,MATCH(H30,Hypothèses!$A$6:$A$16,1)),Hypothèses!$B$30),INDEX(Hypothèses!$C$6:$C$16,MATCH(H30,Hypothèses!$A$6:$A$16,1)))</f>
        <v/>
      </c>
      <c r="J30" s="63">
        <f>H30/3600/I30</f>
        <v/>
      </c>
      <c r="K30" s="60">
        <f>IF(A30="CTA 4",Hypothèses!$B$25,IF(AND(A30="CTA 5",H30&gt;4000),Hypothèses!$B$29,IF(H30&lt;=2000,Hypothèses!$B$23,Hypothèses!$B$24)))</f>
        <v/>
      </c>
      <c r="L30" s="60">
        <f>MAX(Hypothèses!$B$26,CEILING(J30/(K30/1000)*1000,Hypothèses!$B$27))</f>
        <v/>
      </c>
      <c r="M30" s="63">
        <f>L30*K30/1000000</f>
        <v/>
      </c>
      <c r="N30" s="64">
        <f>H30/3600/M30</f>
        <v/>
      </c>
      <c r="O30" s="60">
        <f>IF(N30&lt;=I30,"oui","NON")</f>
        <v/>
      </c>
      <c r="P30" s="63">
        <f>1.3*((L30/1000)*(K30/1000))^0.625/((L30/1000)+(K30/1000))^0.25</f>
        <v/>
      </c>
      <c r="Q30" s="65">
        <f>N30*P30/Hypothèses!$B$20</f>
        <v/>
      </c>
      <c r="R30" s="66">
        <f>0.25/(LOG10(Hypothèses!$B$21/(3.7*P30)+5.74/Q30^0.9))^2</f>
        <v/>
      </c>
      <c r="S30" s="64">
        <f>R30/P30*Hypothèses!$B$19*N30^2/2</f>
        <v/>
      </c>
      <c r="T30" s="62">
        <f>S30*G30*(1+Hypothèses!$B$22)</f>
        <v/>
      </c>
      <c r="U30" s="45" t="inlineStr">
        <is>
          <t>X</t>
        </is>
      </c>
      <c r="V30" s="60">
        <f>IF(K30&lt;=Hypothèses!$B$28-100,"oui","NON")</f>
        <v/>
      </c>
    </row>
    <row r="31" ht="15" customHeight="1" s="40">
      <c r="A31" s="60" t="inlineStr">
        <is>
          <t>CTA 1</t>
        </is>
      </c>
      <c r="B31" s="60" t="inlineStr">
        <is>
          <t>CTA1-S27</t>
        </is>
      </c>
      <c r="C31" s="60" t="inlineStr">
        <is>
          <t>N00</t>
        </is>
      </c>
      <c r="D31" s="60" t="inlineStr">
        <is>
          <t>Faux plafond couloir</t>
        </is>
      </c>
      <c r="E31" s="60" t="inlineStr">
        <is>
          <t>Soufflage</t>
        </is>
      </c>
      <c r="F31" s="60" t="inlineStr">
        <is>
          <t>HEB01 ch. couple</t>
        </is>
      </c>
      <c r="G31" s="61" t="n">
        <v>4.159</v>
      </c>
      <c r="H31" s="46" t="n">
        <v>720</v>
      </c>
      <c r="I31" s="62">
        <f>IF(A31="CTA 5",MIN(INDEX(Hypothèses!$C$6:$C$16,MATCH(H31,Hypothèses!$A$6:$A$16,1)),Hypothèses!$B$30),INDEX(Hypothèses!$C$6:$C$16,MATCH(H31,Hypothèses!$A$6:$A$16,1)))</f>
        <v/>
      </c>
      <c r="J31" s="63">
        <f>H31/3600/I31</f>
        <v/>
      </c>
      <c r="K31" s="60">
        <f>IF(A31="CTA 4",Hypothèses!$B$25,IF(AND(A31="CTA 5",H31&gt;4000),Hypothèses!$B$29,IF(H31&lt;=2000,Hypothèses!$B$23,Hypothèses!$B$24)))</f>
        <v/>
      </c>
      <c r="L31" s="60">
        <f>MAX(Hypothèses!$B$26,CEILING(J31/(K31/1000)*1000,Hypothèses!$B$27))</f>
        <v/>
      </c>
      <c r="M31" s="63">
        <f>L31*K31/1000000</f>
        <v/>
      </c>
      <c r="N31" s="64">
        <f>H31/3600/M31</f>
        <v/>
      </c>
      <c r="O31" s="60">
        <f>IF(N31&lt;=I31,"oui","NON")</f>
        <v/>
      </c>
      <c r="P31" s="63">
        <f>1.3*((L31/1000)*(K31/1000))^0.625/((L31/1000)+(K31/1000))^0.25</f>
        <v/>
      </c>
      <c r="Q31" s="65">
        <f>N31*P31/Hypothèses!$B$20</f>
        <v/>
      </c>
      <c r="R31" s="66">
        <f>0.25/(LOG10(Hypothèses!$B$21/(3.7*P31)+5.74/Q31^0.9))^2</f>
        <v/>
      </c>
      <c r="S31" s="64">
        <f>R31/P31*Hypothèses!$B$19*N31^2/2</f>
        <v/>
      </c>
      <c r="T31" s="62">
        <f>S31*G31*(1+Hypothèses!$B$22)</f>
        <v/>
      </c>
      <c r="U31" s="45" t="inlineStr">
        <is>
          <t>X</t>
        </is>
      </c>
      <c r="V31" s="60">
        <f>IF(K31&lt;=Hypothèses!$B$28-100,"oui","NON")</f>
        <v/>
      </c>
    </row>
    <row r="32" ht="15" customHeight="1" s="40">
      <c r="A32" s="60" t="inlineStr">
        <is>
          <t>CTA 1</t>
        </is>
      </c>
      <c r="B32" s="60" t="inlineStr">
        <is>
          <t>CTA1-S28</t>
        </is>
      </c>
      <c r="C32" s="60" t="inlineStr">
        <is>
          <t>N00</t>
        </is>
      </c>
      <c r="D32" s="60" t="inlineStr">
        <is>
          <t>Faux plafond couloir</t>
        </is>
      </c>
      <c r="E32" s="60" t="inlineStr">
        <is>
          <t>Soufflage</t>
        </is>
      </c>
      <c r="F32" s="60" t="inlineStr">
        <is>
          <t>HEB01 chambre</t>
        </is>
      </c>
      <c r="G32" s="61" t="n">
        <v>1.823</v>
      </c>
      <c r="H32" s="46" t="n">
        <v>720</v>
      </c>
      <c r="I32" s="62">
        <f>IF(A32="CTA 5",MIN(INDEX(Hypothèses!$C$6:$C$16,MATCH(H32,Hypothèses!$A$6:$A$16,1)),Hypothèses!$B$30),INDEX(Hypothèses!$C$6:$C$16,MATCH(H32,Hypothèses!$A$6:$A$16,1)))</f>
        <v/>
      </c>
      <c r="J32" s="63">
        <f>H32/3600/I32</f>
        <v/>
      </c>
      <c r="K32" s="60">
        <f>IF(A32="CTA 4",Hypothèses!$B$25,IF(AND(A32="CTA 5",H32&gt;4000),Hypothèses!$B$29,IF(H32&lt;=2000,Hypothèses!$B$23,Hypothèses!$B$24)))</f>
        <v/>
      </c>
      <c r="L32" s="60">
        <f>MAX(Hypothèses!$B$26,CEILING(J32/(K32/1000)*1000,Hypothèses!$B$27))</f>
        <v/>
      </c>
      <c r="M32" s="63">
        <f>L32*K32/1000000</f>
        <v/>
      </c>
      <c r="N32" s="64">
        <f>H32/3600/M32</f>
        <v/>
      </c>
      <c r="O32" s="60">
        <f>IF(N32&lt;=I32,"oui","NON")</f>
        <v/>
      </c>
      <c r="P32" s="63">
        <f>1.3*((L32/1000)*(K32/1000))^0.625/((L32/1000)+(K32/1000))^0.25</f>
        <v/>
      </c>
      <c r="Q32" s="65">
        <f>N32*P32/Hypothèses!$B$20</f>
        <v/>
      </c>
      <c r="R32" s="66">
        <f>0.25/(LOG10(Hypothèses!$B$21/(3.7*P32)+5.74/Q32^0.9))^2</f>
        <v/>
      </c>
      <c r="S32" s="64">
        <f>R32/P32*Hypothèses!$B$19*N32^2/2</f>
        <v/>
      </c>
      <c r="T32" s="62">
        <f>S32*G32*(1+Hypothèses!$B$22)</f>
        <v/>
      </c>
      <c r="U32" s="45" t="inlineStr">
        <is>
          <t>X</t>
        </is>
      </c>
      <c r="V32" s="60">
        <f>IF(K32&lt;=Hypothèses!$B$28-100,"oui","NON")</f>
        <v/>
      </c>
    </row>
    <row r="33" ht="15" customHeight="1" s="40">
      <c r="A33" s="60" t="inlineStr">
        <is>
          <t>CTA 1</t>
        </is>
      </c>
      <c r="B33" s="60" t="inlineStr">
        <is>
          <t>CTA1-S29</t>
        </is>
      </c>
      <c r="C33" s="60" t="inlineStr">
        <is>
          <t>N00</t>
        </is>
      </c>
      <c r="D33" s="60" t="inlineStr">
        <is>
          <t>Faux plafond couloir</t>
        </is>
      </c>
      <c r="E33" s="60" t="inlineStr">
        <is>
          <t>Soufflage</t>
        </is>
      </c>
      <c r="F33" s="60" t="inlineStr">
        <is>
          <t>HEB01 chambre</t>
        </is>
      </c>
      <c r="G33" s="61" t="n">
        <v>2.927</v>
      </c>
      <c r="H33" s="46" t="n">
        <v>540</v>
      </c>
      <c r="I33" s="62">
        <f>IF(A33="CTA 5",MIN(INDEX(Hypothèses!$C$6:$C$16,MATCH(H33,Hypothèses!$A$6:$A$16,1)),Hypothèses!$B$30),INDEX(Hypothèses!$C$6:$C$16,MATCH(H33,Hypothèses!$A$6:$A$16,1)))</f>
        <v/>
      </c>
      <c r="J33" s="63">
        <f>H33/3600/I33</f>
        <v/>
      </c>
      <c r="K33" s="60">
        <f>IF(A33="CTA 4",Hypothèses!$B$25,IF(AND(A33="CTA 5",H33&gt;4000),Hypothèses!$B$29,IF(H33&lt;=2000,Hypothèses!$B$23,Hypothèses!$B$24)))</f>
        <v/>
      </c>
      <c r="L33" s="60">
        <f>MAX(Hypothèses!$B$26,CEILING(J33/(K33/1000)*1000,Hypothèses!$B$27))</f>
        <v/>
      </c>
      <c r="M33" s="63">
        <f>L33*K33/1000000</f>
        <v/>
      </c>
      <c r="N33" s="64">
        <f>H33/3600/M33</f>
        <v/>
      </c>
      <c r="O33" s="60">
        <f>IF(N33&lt;=I33,"oui","NON")</f>
        <v/>
      </c>
      <c r="P33" s="63">
        <f>1.3*((L33/1000)*(K33/1000))^0.625/((L33/1000)+(K33/1000))^0.25</f>
        <v/>
      </c>
      <c r="Q33" s="65">
        <f>N33*P33/Hypothèses!$B$20</f>
        <v/>
      </c>
      <c r="R33" s="66">
        <f>0.25/(LOG10(Hypothèses!$B$21/(3.7*P33)+5.74/Q33^0.9))^2</f>
        <v/>
      </c>
      <c r="S33" s="64">
        <f>R33/P33*Hypothèses!$B$19*N33^2/2</f>
        <v/>
      </c>
      <c r="T33" s="62">
        <f>S33*G33*(1+Hypothèses!$B$22)</f>
        <v/>
      </c>
      <c r="U33" s="45" t="inlineStr">
        <is>
          <t>X</t>
        </is>
      </c>
      <c r="V33" s="60">
        <f>IF(K33&lt;=Hypothèses!$B$28-100,"oui","NON")</f>
        <v/>
      </c>
    </row>
    <row r="34" ht="15" customHeight="1" s="40">
      <c r="A34" s="60" t="inlineStr">
        <is>
          <t>CTA 1</t>
        </is>
      </c>
      <c r="B34" s="60" t="inlineStr">
        <is>
          <t>CTA1-S30</t>
        </is>
      </c>
      <c r="C34" s="60" t="inlineStr">
        <is>
          <t>N00</t>
        </is>
      </c>
      <c r="D34" s="60" t="inlineStr">
        <is>
          <t>Faux plafond couloir</t>
        </is>
      </c>
      <c r="E34" s="60" t="inlineStr">
        <is>
          <t>Soufflage</t>
        </is>
      </c>
      <c r="F34" s="60" t="inlineStr">
        <is>
          <t>HEB01 chambre</t>
        </is>
      </c>
      <c r="G34" s="61" t="n">
        <v>1.542</v>
      </c>
      <c r="H34" s="46" t="n">
        <v>540</v>
      </c>
      <c r="I34" s="62">
        <f>IF(A34="CTA 5",MIN(INDEX(Hypothèses!$C$6:$C$16,MATCH(H34,Hypothèses!$A$6:$A$16,1)),Hypothèses!$B$30),INDEX(Hypothèses!$C$6:$C$16,MATCH(H34,Hypothèses!$A$6:$A$16,1)))</f>
        <v/>
      </c>
      <c r="J34" s="63">
        <f>H34/3600/I34</f>
        <v/>
      </c>
      <c r="K34" s="60">
        <f>IF(A34="CTA 4",Hypothèses!$B$25,IF(AND(A34="CTA 5",H34&gt;4000),Hypothèses!$B$29,IF(H34&lt;=2000,Hypothèses!$B$23,Hypothèses!$B$24)))</f>
        <v/>
      </c>
      <c r="L34" s="60">
        <f>MAX(Hypothèses!$B$26,CEILING(J34/(K34/1000)*1000,Hypothèses!$B$27))</f>
        <v/>
      </c>
      <c r="M34" s="63">
        <f>L34*K34/1000000</f>
        <v/>
      </c>
      <c r="N34" s="64">
        <f>H34/3600/M34</f>
        <v/>
      </c>
      <c r="O34" s="60">
        <f>IF(N34&lt;=I34,"oui","NON")</f>
        <v/>
      </c>
      <c r="P34" s="63">
        <f>1.3*((L34/1000)*(K34/1000))^0.625/((L34/1000)+(K34/1000))^0.25</f>
        <v/>
      </c>
      <c r="Q34" s="65">
        <f>N34*P34/Hypothèses!$B$20</f>
        <v/>
      </c>
      <c r="R34" s="66">
        <f>0.25/(LOG10(Hypothèses!$B$21/(3.7*P34)+5.74/Q34^0.9))^2</f>
        <v/>
      </c>
      <c r="S34" s="64">
        <f>R34/P34*Hypothèses!$B$19*N34^2/2</f>
        <v/>
      </c>
      <c r="T34" s="62">
        <f>S34*G34*(1+Hypothèses!$B$22)</f>
        <v/>
      </c>
      <c r="U34" s="45" t="inlineStr">
        <is>
          <t>X</t>
        </is>
      </c>
      <c r="V34" s="60">
        <f>IF(K34&lt;=Hypothèses!$B$28-100,"oui","NON")</f>
        <v/>
      </c>
    </row>
    <row r="35" ht="15" customHeight="1" s="40">
      <c r="A35" s="60" t="inlineStr">
        <is>
          <t>CTA 1</t>
        </is>
      </c>
      <c r="B35" s="60" t="inlineStr">
        <is>
          <t>CTA1-S31</t>
        </is>
      </c>
      <c r="C35" s="60" t="inlineStr">
        <is>
          <t>N00</t>
        </is>
      </c>
      <c r="D35" s="60" t="inlineStr">
        <is>
          <t>Faux plafond couloir</t>
        </is>
      </c>
      <c r="E35" s="60" t="inlineStr">
        <is>
          <t>Soufflage</t>
        </is>
      </c>
      <c r="F35" s="60" t="inlineStr">
        <is>
          <t>HEB01 chambre</t>
        </is>
      </c>
      <c r="G35" s="61" t="n">
        <v>2.192</v>
      </c>
      <c r="H35" s="46" t="n">
        <v>450</v>
      </c>
      <c r="I35" s="62">
        <f>IF(A35="CTA 5",MIN(INDEX(Hypothèses!$C$6:$C$16,MATCH(H35,Hypothèses!$A$6:$A$16,1)),Hypothèses!$B$30),INDEX(Hypothèses!$C$6:$C$16,MATCH(H35,Hypothèses!$A$6:$A$16,1)))</f>
        <v/>
      </c>
      <c r="J35" s="63">
        <f>H35/3600/I35</f>
        <v/>
      </c>
      <c r="K35" s="60">
        <f>IF(A35="CTA 4",Hypothèses!$B$25,IF(AND(A35="CTA 5",H35&gt;4000),Hypothèses!$B$29,IF(H35&lt;=2000,Hypothèses!$B$23,Hypothèses!$B$24)))</f>
        <v/>
      </c>
      <c r="L35" s="60">
        <f>MAX(Hypothèses!$B$26,CEILING(J35/(K35/1000)*1000,Hypothèses!$B$27))</f>
        <v/>
      </c>
      <c r="M35" s="63">
        <f>L35*K35/1000000</f>
        <v/>
      </c>
      <c r="N35" s="64">
        <f>H35/3600/M35</f>
        <v/>
      </c>
      <c r="O35" s="60">
        <f>IF(N35&lt;=I35,"oui","NON")</f>
        <v/>
      </c>
      <c r="P35" s="63">
        <f>1.3*((L35/1000)*(K35/1000))^0.625/((L35/1000)+(K35/1000))^0.25</f>
        <v/>
      </c>
      <c r="Q35" s="65">
        <f>N35*P35/Hypothèses!$B$20</f>
        <v/>
      </c>
      <c r="R35" s="66">
        <f>0.25/(LOG10(Hypothèses!$B$21/(3.7*P35)+5.74/Q35^0.9))^2</f>
        <v/>
      </c>
      <c r="S35" s="64">
        <f>R35/P35*Hypothèses!$B$19*N35^2/2</f>
        <v/>
      </c>
      <c r="T35" s="62">
        <f>S35*G35*(1+Hypothèses!$B$22)</f>
        <v/>
      </c>
      <c r="U35" s="45" t="inlineStr">
        <is>
          <t>X</t>
        </is>
      </c>
      <c r="V35" s="60">
        <f>IF(K35&lt;=Hypothèses!$B$28-100,"oui","NON")</f>
        <v/>
      </c>
    </row>
    <row r="36" ht="15" customHeight="1" s="40">
      <c r="A36" s="60" t="inlineStr">
        <is>
          <t>CTA 1</t>
        </is>
      </c>
      <c r="B36" s="60" t="inlineStr">
        <is>
          <t>CTA1-S32</t>
        </is>
      </c>
      <c r="C36" s="60" t="inlineStr">
        <is>
          <t>N00</t>
        </is>
      </c>
      <c r="D36" s="60" t="inlineStr">
        <is>
          <t>Faux plafond couloir</t>
        </is>
      </c>
      <c r="E36" s="60" t="inlineStr">
        <is>
          <t>Soufflage</t>
        </is>
      </c>
      <c r="F36" s="60" t="inlineStr">
        <is>
          <t>HEB01 chambre</t>
        </is>
      </c>
      <c r="G36" s="61" t="n">
        <v>1.57</v>
      </c>
      <c r="H36" s="46" t="n">
        <v>270</v>
      </c>
      <c r="I36" s="62">
        <f>IF(A36="CTA 5",MIN(INDEX(Hypothèses!$C$6:$C$16,MATCH(H36,Hypothèses!$A$6:$A$16,1)),Hypothèses!$B$30),INDEX(Hypothèses!$C$6:$C$16,MATCH(H36,Hypothèses!$A$6:$A$16,1)))</f>
        <v/>
      </c>
      <c r="J36" s="63">
        <f>H36/3600/I36</f>
        <v/>
      </c>
      <c r="K36" s="60">
        <f>IF(A36="CTA 4",Hypothèses!$B$25,IF(AND(A36="CTA 5",H36&gt;4000),Hypothèses!$B$29,IF(H36&lt;=2000,Hypothèses!$B$23,Hypothèses!$B$24)))</f>
        <v/>
      </c>
      <c r="L36" s="60">
        <f>MAX(Hypothèses!$B$26,CEILING(J36/(K36/1000)*1000,Hypothèses!$B$27))</f>
        <v/>
      </c>
      <c r="M36" s="63">
        <f>L36*K36/1000000</f>
        <v/>
      </c>
      <c r="N36" s="64">
        <f>H36/3600/M36</f>
        <v/>
      </c>
      <c r="O36" s="60">
        <f>IF(N36&lt;=I36,"oui","NON")</f>
        <v/>
      </c>
      <c r="P36" s="63">
        <f>1.3*((L36/1000)*(K36/1000))^0.625/((L36/1000)+(K36/1000))^0.25</f>
        <v/>
      </c>
      <c r="Q36" s="65">
        <f>N36*P36/Hypothèses!$B$20</f>
        <v/>
      </c>
      <c r="R36" s="66">
        <f>0.25/(LOG10(Hypothèses!$B$21/(3.7*P36)+5.74/Q36^0.9))^2</f>
        <v/>
      </c>
      <c r="S36" s="64">
        <f>R36/P36*Hypothèses!$B$19*N36^2/2</f>
        <v/>
      </c>
      <c r="T36" s="62">
        <f>S36*G36*(1+Hypothèses!$B$22)</f>
        <v/>
      </c>
      <c r="U36" s="45" t="inlineStr">
        <is>
          <t>X</t>
        </is>
      </c>
      <c r="V36" s="60">
        <f>IF(K36&lt;=Hypothèses!$B$28-100,"oui","NON")</f>
        <v/>
      </c>
    </row>
    <row r="37" ht="15" customHeight="1" s="40">
      <c r="A37" s="60" t="inlineStr">
        <is>
          <t>CTA 1</t>
        </is>
      </c>
      <c r="B37" s="60" t="inlineStr">
        <is>
          <t>CTA1-S33</t>
        </is>
      </c>
      <c r="C37" s="60" t="inlineStr">
        <is>
          <t>N00</t>
        </is>
      </c>
      <c r="D37" s="60" t="inlineStr">
        <is>
          <t>Faux plafond couloir</t>
        </is>
      </c>
      <c r="E37" s="60" t="inlineStr">
        <is>
          <t>Soufflage</t>
        </is>
      </c>
      <c r="F37" s="60" t="inlineStr">
        <is>
          <t>HEB01 chambre</t>
        </is>
      </c>
      <c r="G37" s="61" t="n">
        <v>2.838</v>
      </c>
      <c r="H37" s="46" t="n">
        <v>180</v>
      </c>
      <c r="I37" s="62">
        <f>IF(A37="CTA 5",MIN(INDEX(Hypothèses!$C$6:$C$16,MATCH(H37,Hypothèses!$A$6:$A$16,1)),Hypothèses!$B$30),INDEX(Hypothèses!$C$6:$C$16,MATCH(H37,Hypothèses!$A$6:$A$16,1)))</f>
        <v/>
      </c>
      <c r="J37" s="63">
        <f>H37/3600/I37</f>
        <v/>
      </c>
      <c r="K37" s="60">
        <f>IF(A37="CTA 4",Hypothèses!$B$25,IF(AND(A37="CTA 5",H37&gt;4000),Hypothèses!$B$29,IF(H37&lt;=2000,Hypothèses!$B$23,Hypothèses!$B$24)))</f>
        <v/>
      </c>
      <c r="L37" s="60">
        <f>MAX(Hypothèses!$B$26,CEILING(J37/(K37/1000)*1000,Hypothèses!$B$27))</f>
        <v/>
      </c>
      <c r="M37" s="63">
        <f>L37*K37/1000000</f>
        <v/>
      </c>
      <c r="N37" s="64">
        <f>H37/3600/M37</f>
        <v/>
      </c>
      <c r="O37" s="60">
        <f>IF(N37&lt;=I37,"oui","NON")</f>
        <v/>
      </c>
      <c r="P37" s="63">
        <f>1.3*((L37/1000)*(K37/1000))^0.625/((L37/1000)+(K37/1000))^0.25</f>
        <v/>
      </c>
      <c r="Q37" s="65">
        <f>N37*P37/Hypothèses!$B$20</f>
        <v/>
      </c>
      <c r="R37" s="66">
        <f>0.25/(LOG10(Hypothèses!$B$21/(3.7*P37)+5.74/Q37^0.9))^2</f>
        <v/>
      </c>
      <c r="S37" s="64">
        <f>R37/P37*Hypothèses!$B$19*N37^2/2</f>
        <v/>
      </c>
      <c r="T37" s="62">
        <f>S37*G37*(1+Hypothèses!$B$22)</f>
        <v/>
      </c>
      <c r="U37" s="45" t="inlineStr">
        <is>
          <t>X</t>
        </is>
      </c>
      <c r="V37" s="60">
        <f>IF(K37&lt;=Hypothèses!$B$28-100,"oui","NON")</f>
        <v/>
      </c>
    </row>
    <row r="38" ht="15" customHeight="1" s="40">
      <c r="A38" s="60" t="inlineStr">
        <is>
          <t>CTA 1</t>
        </is>
      </c>
      <c r="B38" s="60" t="inlineStr">
        <is>
          <t>CTA1-S34</t>
        </is>
      </c>
      <c r="C38" s="60" t="inlineStr">
        <is>
          <t>N00</t>
        </is>
      </c>
      <c r="D38" s="60" t="inlineStr">
        <is>
          <t>Faux plafond couloir</t>
        </is>
      </c>
      <c r="E38" s="60" t="inlineStr">
        <is>
          <t>Soufflage</t>
        </is>
      </c>
      <c r="F38" s="60" t="inlineStr">
        <is>
          <t>HEB01 chambre</t>
        </is>
      </c>
      <c r="G38" s="61" t="n">
        <v>1.634</v>
      </c>
      <c r="H38" s="46" t="n">
        <v>180</v>
      </c>
      <c r="I38" s="62">
        <f>IF(A38="CTA 5",MIN(INDEX(Hypothèses!$C$6:$C$16,MATCH(H38,Hypothèses!$A$6:$A$16,1)),Hypothèses!$B$30),INDEX(Hypothèses!$C$6:$C$16,MATCH(H38,Hypothèses!$A$6:$A$16,1)))</f>
        <v/>
      </c>
      <c r="J38" s="63">
        <f>H38/3600/I38</f>
        <v/>
      </c>
      <c r="K38" s="60">
        <f>IF(A38="CTA 4",Hypothèses!$B$25,IF(AND(A38="CTA 5",H38&gt;4000),Hypothèses!$B$29,IF(H38&lt;=2000,Hypothèses!$B$23,Hypothèses!$B$24)))</f>
        <v/>
      </c>
      <c r="L38" s="60">
        <f>MAX(Hypothèses!$B$26,CEILING(J38/(K38/1000)*1000,Hypothèses!$B$27))</f>
        <v/>
      </c>
      <c r="M38" s="63">
        <f>L38*K38/1000000</f>
        <v/>
      </c>
      <c r="N38" s="64">
        <f>H38/3600/M38</f>
        <v/>
      </c>
      <c r="O38" s="60">
        <f>IF(N38&lt;=I38,"oui","NON")</f>
        <v/>
      </c>
      <c r="P38" s="63">
        <f>1.3*((L38/1000)*(K38/1000))^0.625/((L38/1000)+(K38/1000))^0.25</f>
        <v/>
      </c>
      <c r="Q38" s="65">
        <f>N38*P38/Hypothèses!$B$20</f>
        <v/>
      </c>
      <c r="R38" s="66">
        <f>0.25/(LOG10(Hypothèses!$B$21/(3.7*P38)+5.74/Q38^0.9))^2</f>
        <v/>
      </c>
      <c r="S38" s="64">
        <f>R38/P38*Hypothèses!$B$19*N38^2/2</f>
        <v/>
      </c>
      <c r="T38" s="62">
        <f>S38*G38*(1+Hypothèses!$B$22)</f>
        <v/>
      </c>
      <c r="U38" s="45" t="inlineStr">
        <is>
          <t>X</t>
        </is>
      </c>
      <c r="V38" s="60">
        <f>IF(K38&lt;=Hypothèses!$B$28-100,"oui","NON")</f>
        <v/>
      </c>
    </row>
    <row r="39" ht="15" customHeight="1" s="40">
      <c r="A39" s="60" t="inlineStr">
        <is>
          <t>CTA 1</t>
        </is>
      </c>
      <c r="B39" s="60" t="inlineStr">
        <is>
          <t>CTA1-S35</t>
        </is>
      </c>
      <c r="C39" s="60" t="inlineStr">
        <is>
          <t>N00</t>
        </is>
      </c>
      <c r="D39" s="60" t="inlineStr">
        <is>
          <t>Faux plafond couloir</t>
        </is>
      </c>
      <c r="E39" s="60" t="inlineStr">
        <is>
          <t>Soufflage</t>
        </is>
      </c>
      <c r="F39" s="60" t="n"/>
      <c r="G39" s="61" t="n">
        <v>1.427</v>
      </c>
      <c r="H39" s="46" t="n">
        <v>90</v>
      </c>
      <c r="I39" s="62">
        <f>IF(A39="CTA 5",MIN(INDEX(Hypothèses!$C$6:$C$16,MATCH(H39,Hypothèses!$A$6:$A$16,1)),Hypothèses!$B$30),INDEX(Hypothèses!$C$6:$C$16,MATCH(H39,Hypothèses!$A$6:$A$16,1)))</f>
        <v/>
      </c>
      <c r="J39" s="63">
        <f>H39/3600/I39</f>
        <v/>
      </c>
      <c r="K39" s="60">
        <f>IF(A39="CTA 4",Hypothèses!$B$25,IF(AND(A39="CTA 5",H39&gt;4000),Hypothèses!$B$29,IF(H39&lt;=2000,Hypothèses!$B$23,Hypothèses!$B$24)))</f>
        <v/>
      </c>
      <c r="L39" s="60">
        <f>MAX(Hypothèses!$B$26,CEILING(J39/(K39/1000)*1000,Hypothèses!$B$27))</f>
        <v/>
      </c>
      <c r="M39" s="63">
        <f>L39*K39/1000000</f>
        <v/>
      </c>
      <c r="N39" s="64">
        <f>H39/3600/M39</f>
        <v/>
      </c>
      <c r="O39" s="60">
        <f>IF(N39&lt;=I39,"oui","NON")</f>
        <v/>
      </c>
      <c r="P39" s="63">
        <f>1.3*((L39/1000)*(K39/1000))^0.625/((L39/1000)+(K39/1000))^0.25</f>
        <v/>
      </c>
      <c r="Q39" s="65">
        <f>N39*P39/Hypothèses!$B$20</f>
        <v/>
      </c>
      <c r="R39" s="66">
        <f>0.25/(LOG10(Hypothèses!$B$21/(3.7*P39)+5.74/Q39^0.9))^2</f>
        <v/>
      </c>
      <c r="S39" s="64">
        <f>R39/P39*Hypothèses!$B$19*N39^2/2</f>
        <v/>
      </c>
      <c r="T39" s="62">
        <f>S39*G39*(1+Hypothèses!$B$22)</f>
        <v/>
      </c>
      <c r="U39" s="45" t="inlineStr">
        <is>
          <t>X</t>
        </is>
      </c>
      <c r="V39" s="60">
        <f>IF(K39&lt;=Hypothèses!$B$28-100,"oui","NON")</f>
        <v/>
      </c>
    </row>
    <row r="40" ht="15" customHeight="1" s="40">
      <c r="A40" s="60" t="inlineStr">
        <is>
          <t>CTA 1</t>
        </is>
      </c>
      <c r="B40" s="60" t="inlineStr">
        <is>
          <t>CTA1-R36</t>
        </is>
      </c>
      <c r="C40" s="60" t="inlineStr">
        <is>
          <t>Toiture</t>
        </is>
      </c>
      <c r="D40" s="60" t="inlineStr">
        <is>
          <t>Toiture (CTA → descente)</t>
        </is>
      </c>
      <c r="E40" s="60" t="inlineStr">
        <is>
          <t>Reprise</t>
        </is>
      </c>
      <c r="F40" s="60" t="inlineStr">
        <is>
          <t>Sortie CTA → descente (trémie en toiture)</t>
        </is>
      </c>
      <c r="G40" s="61" t="n">
        <v>3</v>
      </c>
      <c r="H40" s="46" t="n">
        <v>2520</v>
      </c>
      <c r="I40" s="62">
        <f>IF(A40="CTA 5",MIN(INDEX(Hypothèses!$C$6:$C$16,MATCH(H40,Hypothèses!$A$6:$A$16,1)),Hypothèses!$B$30),INDEX(Hypothèses!$C$6:$C$16,MATCH(H40,Hypothèses!$A$6:$A$16,1)))</f>
        <v/>
      </c>
      <c r="J40" s="63">
        <f>H40/3600/I40</f>
        <v/>
      </c>
      <c r="K40" s="60">
        <f>IF(A40="CTA 4",Hypothèses!$B$25,IF(AND(A40="CTA 5",H40&gt;4000),Hypothèses!$B$29,IF(H40&lt;=2000,Hypothèses!$B$23,Hypothèses!$B$24)))</f>
        <v/>
      </c>
      <c r="L40" s="60">
        <f>MAX(Hypothèses!$B$26,CEILING(J40/(K40/1000)*1000,Hypothèses!$B$27))</f>
        <v/>
      </c>
      <c r="M40" s="63">
        <f>L40*K40/1000000</f>
        <v/>
      </c>
      <c r="N40" s="64">
        <f>H40/3600/M40</f>
        <v/>
      </c>
      <c r="O40" s="60">
        <f>IF(N40&lt;=I40,"oui","NON")</f>
        <v/>
      </c>
      <c r="P40" s="63">
        <f>1.3*((L40/1000)*(K40/1000))^0.625/((L40/1000)+(K40/1000))^0.25</f>
        <v/>
      </c>
      <c r="Q40" s="65">
        <f>N40*P40/Hypothèses!$B$20</f>
        <v/>
      </c>
      <c r="R40" s="66">
        <f>0.25/(LOG10(Hypothèses!$B$21/(3.7*P40)+5.74/Q40^0.9))^2</f>
        <v/>
      </c>
      <c r="S40" s="64">
        <f>R40/P40*Hypothèses!$B$19*N40^2/2</f>
        <v/>
      </c>
      <c r="T40" s="62">
        <f>S40*G40*(1+Hypothèses!$B$22)</f>
        <v/>
      </c>
      <c r="U40" s="45" t="inlineStr">
        <is>
          <t>X</t>
        </is>
      </c>
      <c r="V40" s="60" t="inlineStr">
        <is>
          <t>–</t>
        </is>
      </c>
    </row>
    <row r="41" ht="15" customHeight="1" s="40">
      <c r="A41" s="60" t="inlineStr">
        <is>
          <t>CTA 1</t>
        </is>
      </c>
      <c r="B41" s="60" t="inlineStr">
        <is>
          <t>CTA1-R37</t>
        </is>
      </c>
      <c r="C41" s="60" t="inlineStr">
        <is>
          <t>N01</t>
        </is>
      </c>
      <c r="D41" s="60" t="inlineStr">
        <is>
          <t>Descente verticale</t>
        </is>
      </c>
      <c r="E41" s="60" t="inlineStr">
        <is>
          <t>Reprise</t>
        </is>
      </c>
      <c r="F41" s="60" t="inlineStr">
        <is>
          <t>Gaine verticale : toiture → plénum étage</t>
        </is>
      </c>
      <c r="G41" s="61" t="n">
        <v>2.13</v>
      </c>
      <c r="H41" s="46" t="n">
        <v>2520</v>
      </c>
      <c r="I41" s="62">
        <f>IF(A41="CTA 5",MIN(INDEX(Hypothèses!$C$6:$C$16,MATCH(H41,Hypothèses!$A$6:$A$16,1)),Hypothèses!$B$30),INDEX(Hypothèses!$C$6:$C$16,MATCH(H41,Hypothèses!$A$6:$A$16,1)))</f>
        <v/>
      </c>
      <c r="J41" s="63">
        <f>H41/3600/I41</f>
        <v/>
      </c>
      <c r="K41" s="60">
        <f>IF(A41="CTA 4",Hypothèses!$B$25,IF(AND(A41="CTA 5",H41&gt;4000),Hypothèses!$B$29,IF(H41&lt;=2000,Hypothèses!$B$23,Hypothèses!$B$24)))</f>
        <v/>
      </c>
      <c r="L41" s="60">
        <f>MAX(Hypothèses!$B$26,CEILING(J41/(K41/1000)*1000,Hypothèses!$B$27))</f>
        <v/>
      </c>
      <c r="M41" s="63">
        <f>L41*K41/1000000</f>
        <v/>
      </c>
      <c r="N41" s="64">
        <f>H41/3600/M41</f>
        <v/>
      </c>
      <c r="O41" s="60">
        <f>IF(N41&lt;=I41,"oui","NON")</f>
        <v/>
      </c>
      <c r="P41" s="63">
        <f>1.3*((L41/1000)*(K41/1000))^0.625/((L41/1000)+(K41/1000))^0.25</f>
        <v/>
      </c>
      <c r="Q41" s="65">
        <f>N41*P41/Hypothèses!$B$20</f>
        <v/>
      </c>
      <c r="R41" s="66">
        <f>0.25/(LOG10(Hypothèses!$B$21/(3.7*P41)+5.74/Q41^0.9))^2</f>
        <v/>
      </c>
      <c r="S41" s="64">
        <f>R41/P41*Hypothèses!$B$19*N41^2/2</f>
        <v/>
      </c>
      <c r="T41" s="62">
        <f>S41*G41*(1+Hypothèses!$B$22)</f>
        <v/>
      </c>
      <c r="U41" s="45" t="inlineStr">
        <is>
          <t>X</t>
        </is>
      </c>
      <c r="V41" s="60" t="inlineStr">
        <is>
          <t>–</t>
        </is>
      </c>
    </row>
    <row r="42" ht="15" customHeight="1" s="40">
      <c r="A42" s="60" t="inlineStr">
        <is>
          <t>CTA 1</t>
        </is>
      </c>
      <c r="B42" s="60" t="inlineStr">
        <is>
          <t>CTA1-R38</t>
        </is>
      </c>
      <c r="C42" s="60" t="inlineStr">
        <is>
          <t>N00</t>
        </is>
      </c>
      <c r="D42" s="60" t="inlineStr">
        <is>
          <t>Descente verticale</t>
        </is>
      </c>
      <c r="E42" s="60" t="inlineStr">
        <is>
          <t>Reprise</t>
        </is>
      </c>
      <c r="F42" s="60" t="inlineStr">
        <is>
          <t>Gaine verticale : étage → plénum RDC</t>
        </is>
      </c>
      <c r="G42" s="61" t="n">
        <v>3.36</v>
      </c>
      <c r="H42" s="46" t="n">
        <v>1260</v>
      </c>
      <c r="I42" s="62">
        <f>IF(A42="CTA 5",MIN(INDEX(Hypothèses!$C$6:$C$16,MATCH(H42,Hypothèses!$A$6:$A$16,1)),Hypothèses!$B$30),INDEX(Hypothèses!$C$6:$C$16,MATCH(H42,Hypothèses!$A$6:$A$16,1)))</f>
        <v/>
      </c>
      <c r="J42" s="63">
        <f>H42/3600/I42</f>
        <v/>
      </c>
      <c r="K42" s="60">
        <f>IF(A42="CTA 4",Hypothèses!$B$25,IF(AND(A42="CTA 5",H42&gt;4000),Hypothèses!$B$29,IF(H42&lt;=2000,Hypothèses!$B$23,Hypothèses!$B$24)))</f>
        <v/>
      </c>
      <c r="L42" s="60">
        <f>MAX(Hypothèses!$B$26,CEILING(J42/(K42/1000)*1000,Hypothèses!$B$27))</f>
        <v/>
      </c>
      <c r="M42" s="63">
        <f>L42*K42/1000000</f>
        <v/>
      </c>
      <c r="N42" s="64">
        <f>H42/3600/M42</f>
        <v/>
      </c>
      <c r="O42" s="60">
        <f>IF(N42&lt;=I42,"oui","NON")</f>
        <v/>
      </c>
      <c r="P42" s="63">
        <f>1.3*((L42/1000)*(K42/1000))^0.625/((L42/1000)+(K42/1000))^0.25</f>
        <v/>
      </c>
      <c r="Q42" s="65">
        <f>N42*P42/Hypothèses!$B$20</f>
        <v/>
      </c>
      <c r="R42" s="66">
        <f>0.25/(LOG10(Hypothèses!$B$21/(3.7*P42)+5.74/Q42^0.9))^2</f>
        <v/>
      </c>
      <c r="S42" s="64">
        <f>R42/P42*Hypothèses!$B$19*N42^2/2</f>
        <v/>
      </c>
      <c r="T42" s="62">
        <f>S42*G42*(1+Hypothèses!$B$22)</f>
        <v/>
      </c>
      <c r="U42" s="45" t="inlineStr">
        <is>
          <t>X</t>
        </is>
      </c>
      <c r="V42" s="60" t="inlineStr">
        <is>
          <t>–</t>
        </is>
      </c>
    </row>
    <row r="43" ht="15" customHeight="1" s="40">
      <c r="A43" s="60" t="inlineStr">
        <is>
          <t>CTA 1</t>
        </is>
      </c>
      <c r="B43" s="60" t="inlineStr">
        <is>
          <t>CTA1-R39</t>
        </is>
      </c>
      <c r="C43" s="60" t="inlineStr">
        <is>
          <t>N01</t>
        </is>
      </c>
      <c r="D43" s="60" t="inlineStr">
        <is>
          <t>Faux plafond couloir</t>
        </is>
      </c>
      <c r="E43" s="60" t="inlineStr">
        <is>
          <t>Reprise</t>
        </is>
      </c>
      <c r="F43" s="60" t="n"/>
      <c r="G43" s="61" t="n">
        <v>1.6</v>
      </c>
      <c r="H43" s="46" t="n">
        <v>1260</v>
      </c>
      <c r="I43" s="62">
        <f>IF(A43="CTA 5",MIN(INDEX(Hypothèses!$C$6:$C$16,MATCH(H43,Hypothèses!$A$6:$A$16,1)),Hypothèses!$B$30),INDEX(Hypothèses!$C$6:$C$16,MATCH(H43,Hypothèses!$A$6:$A$16,1)))</f>
        <v/>
      </c>
      <c r="J43" s="63">
        <f>H43/3600/I43</f>
        <v/>
      </c>
      <c r="K43" s="60">
        <f>IF(A43="CTA 4",Hypothèses!$B$25,IF(AND(A43="CTA 5",H43&gt;4000),Hypothèses!$B$29,IF(H43&lt;=2000,Hypothèses!$B$23,Hypothèses!$B$24)))</f>
        <v/>
      </c>
      <c r="L43" s="60">
        <f>MAX(Hypothèses!$B$26,CEILING(J43/(K43/1000)*1000,Hypothèses!$B$27))</f>
        <v/>
      </c>
      <c r="M43" s="63">
        <f>L43*K43/1000000</f>
        <v/>
      </c>
      <c r="N43" s="64">
        <f>H43/3600/M43</f>
        <v/>
      </c>
      <c r="O43" s="60">
        <f>IF(N43&lt;=I43,"oui","NON")</f>
        <v/>
      </c>
      <c r="P43" s="63">
        <f>1.3*((L43/1000)*(K43/1000))^0.625/((L43/1000)+(K43/1000))^0.25</f>
        <v/>
      </c>
      <c r="Q43" s="65">
        <f>N43*P43/Hypothèses!$B$20</f>
        <v/>
      </c>
      <c r="R43" s="66">
        <f>0.25/(LOG10(Hypothèses!$B$21/(3.7*P43)+5.74/Q43^0.9))^2</f>
        <v/>
      </c>
      <c r="S43" s="64">
        <f>R43/P43*Hypothèses!$B$19*N43^2/2</f>
        <v/>
      </c>
      <c r="T43" s="62">
        <f>S43*G43*(1+Hypothèses!$B$22)</f>
        <v/>
      </c>
      <c r="U43" s="45" t="n"/>
      <c r="V43" s="60">
        <f>IF(K43&lt;=Hypothèses!$B$28-100,"oui","NON")</f>
        <v/>
      </c>
    </row>
    <row r="44" ht="15" customHeight="1" s="40">
      <c r="A44" s="60" t="inlineStr">
        <is>
          <t>CTA 1</t>
        </is>
      </c>
      <c r="B44" s="60" t="inlineStr">
        <is>
          <t>CTA1-R40</t>
        </is>
      </c>
      <c r="C44" s="60" t="inlineStr">
        <is>
          <t>N01</t>
        </is>
      </c>
      <c r="D44" s="60" t="inlineStr">
        <is>
          <t>Faux plafond couloir</t>
        </is>
      </c>
      <c r="E44" s="60" t="inlineStr">
        <is>
          <t>Reprise</t>
        </is>
      </c>
      <c r="F44" s="60" t="inlineStr">
        <is>
          <t>HEB01 chambre</t>
        </is>
      </c>
      <c r="G44" s="61" t="n">
        <v>1.3</v>
      </c>
      <c r="H44" s="46" t="n">
        <v>1260</v>
      </c>
      <c r="I44" s="62">
        <f>IF(A44="CTA 5",MIN(INDEX(Hypothèses!$C$6:$C$16,MATCH(H44,Hypothèses!$A$6:$A$16,1)),Hypothèses!$B$30),INDEX(Hypothèses!$C$6:$C$16,MATCH(H44,Hypothèses!$A$6:$A$16,1)))</f>
        <v/>
      </c>
      <c r="J44" s="63">
        <f>H44/3600/I44</f>
        <v/>
      </c>
      <c r="K44" s="60">
        <f>IF(A44="CTA 4",Hypothèses!$B$25,IF(AND(A44="CTA 5",H44&gt;4000),Hypothèses!$B$29,IF(H44&lt;=2000,Hypothèses!$B$23,Hypothèses!$B$24)))</f>
        <v/>
      </c>
      <c r="L44" s="60">
        <f>MAX(Hypothèses!$B$26,CEILING(J44/(K44/1000)*1000,Hypothèses!$B$27))</f>
        <v/>
      </c>
      <c r="M44" s="63">
        <f>L44*K44/1000000</f>
        <v/>
      </c>
      <c r="N44" s="64">
        <f>H44/3600/M44</f>
        <v/>
      </c>
      <c r="O44" s="60">
        <f>IF(N44&lt;=I44,"oui","NON")</f>
        <v/>
      </c>
      <c r="P44" s="63">
        <f>1.3*((L44/1000)*(K44/1000))^0.625/((L44/1000)+(K44/1000))^0.25</f>
        <v/>
      </c>
      <c r="Q44" s="65">
        <f>N44*P44/Hypothèses!$B$20</f>
        <v/>
      </c>
      <c r="R44" s="66">
        <f>0.25/(LOG10(Hypothèses!$B$21/(3.7*P44)+5.74/Q44^0.9))^2</f>
        <v/>
      </c>
      <c r="S44" s="64">
        <f>R44/P44*Hypothèses!$B$19*N44^2/2</f>
        <v/>
      </c>
      <c r="T44" s="62">
        <f>S44*G44*(1+Hypothèses!$B$22)</f>
        <v/>
      </c>
      <c r="U44" s="45" t="n"/>
      <c r="V44" s="60">
        <f>IF(K44&lt;=Hypothèses!$B$28-100,"oui","NON")</f>
        <v/>
      </c>
    </row>
    <row r="45" ht="15" customHeight="1" s="40">
      <c r="A45" s="60" t="inlineStr">
        <is>
          <t>CTA 1</t>
        </is>
      </c>
      <c r="B45" s="60" t="inlineStr">
        <is>
          <t>CTA1-R41</t>
        </is>
      </c>
      <c r="C45" s="60" t="inlineStr">
        <is>
          <t>N01</t>
        </is>
      </c>
      <c r="D45" s="60" t="inlineStr">
        <is>
          <t>Faux plafond couloir</t>
        </is>
      </c>
      <c r="E45" s="60" t="inlineStr">
        <is>
          <t>Reprise</t>
        </is>
      </c>
      <c r="F45" s="60" t="inlineStr">
        <is>
          <t>HEB01 chambre</t>
        </is>
      </c>
      <c r="G45" s="61" t="n">
        <v>1.45</v>
      </c>
      <c r="H45" s="46" t="n">
        <v>1170</v>
      </c>
      <c r="I45" s="62">
        <f>IF(A45="CTA 5",MIN(INDEX(Hypothèses!$C$6:$C$16,MATCH(H45,Hypothèses!$A$6:$A$16,1)),Hypothèses!$B$30),INDEX(Hypothèses!$C$6:$C$16,MATCH(H45,Hypothèses!$A$6:$A$16,1)))</f>
        <v/>
      </c>
      <c r="J45" s="63">
        <f>H45/3600/I45</f>
        <v/>
      </c>
      <c r="K45" s="60">
        <f>IF(A45="CTA 4",Hypothèses!$B$25,IF(AND(A45="CTA 5",H45&gt;4000),Hypothèses!$B$29,IF(H45&lt;=2000,Hypothèses!$B$23,Hypothèses!$B$24)))</f>
        <v/>
      </c>
      <c r="L45" s="60">
        <f>MAX(Hypothèses!$B$26,CEILING(J45/(K45/1000)*1000,Hypothèses!$B$27))</f>
        <v/>
      </c>
      <c r="M45" s="63">
        <f>L45*K45/1000000</f>
        <v/>
      </c>
      <c r="N45" s="64">
        <f>H45/3600/M45</f>
        <v/>
      </c>
      <c r="O45" s="60">
        <f>IF(N45&lt;=I45,"oui","NON")</f>
        <v/>
      </c>
      <c r="P45" s="63">
        <f>1.3*((L45/1000)*(K45/1000))^0.625/((L45/1000)+(K45/1000))^0.25</f>
        <v/>
      </c>
      <c r="Q45" s="65">
        <f>N45*P45/Hypothèses!$B$20</f>
        <v/>
      </c>
      <c r="R45" s="66">
        <f>0.25/(LOG10(Hypothèses!$B$21/(3.7*P45)+5.74/Q45^0.9))^2</f>
        <v/>
      </c>
      <c r="S45" s="64">
        <f>R45/P45*Hypothèses!$B$19*N45^2/2</f>
        <v/>
      </c>
      <c r="T45" s="62">
        <f>S45*G45*(1+Hypothèses!$B$22)</f>
        <v/>
      </c>
      <c r="U45" s="45" t="n"/>
      <c r="V45" s="60">
        <f>IF(K45&lt;=Hypothèses!$B$28-100,"oui","NON")</f>
        <v/>
      </c>
    </row>
    <row r="46" ht="15" customHeight="1" s="40">
      <c r="A46" s="60" t="inlineStr">
        <is>
          <t>CTA 1</t>
        </is>
      </c>
      <c r="B46" s="60" t="inlineStr">
        <is>
          <t>CTA1-R42</t>
        </is>
      </c>
      <c r="C46" s="60" t="inlineStr">
        <is>
          <t>N01</t>
        </is>
      </c>
      <c r="D46" s="60" t="inlineStr">
        <is>
          <t>Faux plafond couloir</t>
        </is>
      </c>
      <c r="E46" s="60" t="inlineStr">
        <is>
          <t>Reprise</t>
        </is>
      </c>
      <c r="F46" s="60" t="inlineStr">
        <is>
          <t>HEB01 chambre</t>
        </is>
      </c>
      <c r="G46" s="61" t="n">
        <v>3.551</v>
      </c>
      <c r="H46" s="46" t="n">
        <v>1170</v>
      </c>
      <c r="I46" s="62">
        <f>IF(A46="CTA 5",MIN(INDEX(Hypothèses!$C$6:$C$16,MATCH(H46,Hypothèses!$A$6:$A$16,1)),Hypothèses!$B$30),INDEX(Hypothèses!$C$6:$C$16,MATCH(H46,Hypothèses!$A$6:$A$16,1)))</f>
        <v/>
      </c>
      <c r="J46" s="63">
        <f>H46/3600/I46</f>
        <v/>
      </c>
      <c r="K46" s="60">
        <f>IF(A46="CTA 4",Hypothèses!$B$25,IF(AND(A46="CTA 5",H46&gt;4000),Hypothèses!$B$29,IF(H46&lt;=2000,Hypothèses!$B$23,Hypothèses!$B$24)))</f>
        <v/>
      </c>
      <c r="L46" s="60">
        <f>MAX(Hypothèses!$B$26,CEILING(J46/(K46/1000)*1000,Hypothèses!$B$27))</f>
        <v/>
      </c>
      <c r="M46" s="63">
        <f>L46*K46/1000000</f>
        <v/>
      </c>
      <c r="N46" s="64">
        <f>H46/3600/M46</f>
        <v/>
      </c>
      <c r="O46" s="60">
        <f>IF(N46&lt;=I46,"oui","NON")</f>
        <v/>
      </c>
      <c r="P46" s="63">
        <f>1.3*((L46/1000)*(K46/1000))^0.625/((L46/1000)+(K46/1000))^0.25</f>
        <v/>
      </c>
      <c r="Q46" s="65">
        <f>N46*P46/Hypothèses!$B$20</f>
        <v/>
      </c>
      <c r="R46" s="66">
        <f>0.25/(LOG10(Hypothèses!$B$21/(3.7*P46)+5.74/Q46^0.9))^2</f>
        <v/>
      </c>
      <c r="S46" s="64">
        <f>R46/P46*Hypothèses!$B$19*N46^2/2</f>
        <v/>
      </c>
      <c r="T46" s="62">
        <f>S46*G46*(1+Hypothèses!$B$22)</f>
        <v/>
      </c>
      <c r="U46" s="45" t="n"/>
      <c r="V46" s="60">
        <f>IF(K46&lt;=Hypothèses!$B$28-100,"oui","NON")</f>
        <v/>
      </c>
    </row>
    <row r="47" ht="15" customHeight="1" s="40">
      <c r="A47" s="60" t="inlineStr">
        <is>
          <t>CTA 1</t>
        </is>
      </c>
      <c r="B47" s="60" t="inlineStr">
        <is>
          <t>CTA1-R43</t>
        </is>
      </c>
      <c r="C47" s="60" t="inlineStr">
        <is>
          <t>N01</t>
        </is>
      </c>
      <c r="D47" s="60" t="inlineStr">
        <is>
          <t>Faux plafond couloir</t>
        </is>
      </c>
      <c r="E47" s="60" t="inlineStr">
        <is>
          <t>Reprise</t>
        </is>
      </c>
      <c r="F47" s="60" t="inlineStr">
        <is>
          <t>HEB01 chambre</t>
        </is>
      </c>
      <c r="G47" s="61" t="n">
        <v>0.842</v>
      </c>
      <c r="H47" s="46" t="n">
        <v>990</v>
      </c>
      <c r="I47" s="62">
        <f>IF(A47="CTA 5",MIN(INDEX(Hypothèses!$C$6:$C$16,MATCH(H47,Hypothèses!$A$6:$A$16,1)),Hypothèses!$B$30),INDEX(Hypothèses!$C$6:$C$16,MATCH(H47,Hypothèses!$A$6:$A$16,1)))</f>
        <v/>
      </c>
      <c r="J47" s="63">
        <f>H47/3600/I47</f>
        <v/>
      </c>
      <c r="K47" s="60">
        <f>IF(A47="CTA 4",Hypothèses!$B$25,IF(AND(A47="CTA 5",H47&gt;4000),Hypothèses!$B$29,IF(H47&lt;=2000,Hypothèses!$B$23,Hypothèses!$B$24)))</f>
        <v/>
      </c>
      <c r="L47" s="60">
        <f>MAX(Hypothèses!$B$26,CEILING(J47/(K47/1000)*1000,Hypothèses!$B$27))</f>
        <v/>
      </c>
      <c r="M47" s="63">
        <f>L47*K47/1000000</f>
        <v/>
      </c>
      <c r="N47" s="64">
        <f>H47/3600/M47</f>
        <v/>
      </c>
      <c r="O47" s="60">
        <f>IF(N47&lt;=I47,"oui","NON")</f>
        <v/>
      </c>
      <c r="P47" s="63">
        <f>1.3*((L47/1000)*(K47/1000))^0.625/((L47/1000)+(K47/1000))^0.25</f>
        <v/>
      </c>
      <c r="Q47" s="65">
        <f>N47*P47/Hypothèses!$B$20</f>
        <v/>
      </c>
      <c r="R47" s="66">
        <f>0.25/(LOG10(Hypothèses!$B$21/(3.7*P47)+5.74/Q47^0.9))^2</f>
        <v/>
      </c>
      <c r="S47" s="64">
        <f>R47/P47*Hypothèses!$B$19*N47^2/2</f>
        <v/>
      </c>
      <c r="T47" s="62">
        <f>S47*G47*(1+Hypothèses!$B$22)</f>
        <v/>
      </c>
      <c r="U47" s="45" t="n"/>
      <c r="V47" s="60">
        <f>IF(K47&lt;=Hypothèses!$B$28-100,"oui","NON")</f>
        <v/>
      </c>
    </row>
    <row r="48" ht="15" customHeight="1" s="40">
      <c r="A48" s="60" t="inlineStr">
        <is>
          <t>CTA 1</t>
        </is>
      </c>
      <c r="B48" s="60" t="inlineStr">
        <is>
          <t>CTA1-R44</t>
        </is>
      </c>
      <c r="C48" s="60" t="inlineStr">
        <is>
          <t>N01</t>
        </is>
      </c>
      <c r="D48" s="60" t="inlineStr">
        <is>
          <t>Faux plafond couloir</t>
        </is>
      </c>
      <c r="E48" s="60" t="inlineStr">
        <is>
          <t>Reprise</t>
        </is>
      </c>
      <c r="F48" s="60" t="inlineStr">
        <is>
          <t>HEB01 chambre</t>
        </is>
      </c>
      <c r="G48" s="61" t="n">
        <v>3.633</v>
      </c>
      <c r="H48" s="46" t="n">
        <v>900</v>
      </c>
      <c r="I48" s="62">
        <f>IF(A48="CTA 5",MIN(INDEX(Hypothèses!$C$6:$C$16,MATCH(H48,Hypothèses!$A$6:$A$16,1)),Hypothèses!$B$30),INDEX(Hypothèses!$C$6:$C$16,MATCH(H48,Hypothèses!$A$6:$A$16,1)))</f>
        <v/>
      </c>
      <c r="J48" s="63">
        <f>H48/3600/I48</f>
        <v/>
      </c>
      <c r="K48" s="60">
        <f>IF(A48="CTA 4",Hypothèses!$B$25,IF(AND(A48="CTA 5",H48&gt;4000),Hypothèses!$B$29,IF(H48&lt;=2000,Hypothèses!$B$23,Hypothèses!$B$24)))</f>
        <v/>
      </c>
      <c r="L48" s="60">
        <f>MAX(Hypothèses!$B$26,CEILING(J48/(K48/1000)*1000,Hypothèses!$B$27))</f>
        <v/>
      </c>
      <c r="M48" s="63">
        <f>L48*K48/1000000</f>
        <v/>
      </c>
      <c r="N48" s="64">
        <f>H48/3600/M48</f>
        <v/>
      </c>
      <c r="O48" s="60">
        <f>IF(N48&lt;=I48,"oui","NON")</f>
        <v/>
      </c>
      <c r="P48" s="63">
        <f>1.3*((L48/1000)*(K48/1000))^0.625/((L48/1000)+(K48/1000))^0.25</f>
        <v/>
      </c>
      <c r="Q48" s="65">
        <f>N48*P48/Hypothèses!$B$20</f>
        <v/>
      </c>
      <c r="R48" s="66">
        <f>0.25/(LOG10(Hypothèses!$B$21/(3.7*P48)+5.74/Q48^0.9))^2</f>
        <v/>
      </c>
      <c r="S48" s="64">
        <f>R48/P48*Hypothèses!$B$19*N48^2/2</f>
        <v/>
      </c>
      <c r="T48" s="62">
        <f>S48*G48*(1+Hypothèses!$B$22)</f>
        <v/>
      </c>
      <c r="U48" s="45" t="n"/>
      <c r="V48" s="60">
        <f>IF(K48&lt;=Hypothèses!$B$28-100,"oui","NON")</f>
        <v/>
      </c>
    </row>
    <row r="49" ht="15" customHeight="1" s="40">
      <c r="A49" s="60" t="inlineStr">
        <is>
          <t>CTA 1</t>
        </is>
      </c>
      <c r="B49" s="60" t="inlineStr">
        <is>
          <t>CTA1-R45</t>
        </is>
      </c>
      <c r="C49" s="60" t="inlineStr">
        <is>
          <t>N01</t>
        </is>
      </c>
      <c r="D49" s="60" t="inlineStr">
        <is>
          <t>Faux plafond couloir</t>
        </is>
      </c>
      <c r="E49" s="60" t="inlineStr">
        <is>
          <t>Reprise</t>
        </is>
      </c>
      <c r="F49" s="60" t="inlineStr">
        <is>
          <t>HEB01 ch. couple</t>
        </is>
      </c>
      <c r="G49" s="61" t="n">
        <v>0.411</v>
      </c>
      <c r="H49" s="46" t="n">
        <v>810</v>
      </c>
      <c r="I49" s="62">
        <f>IF(A49="CTA 5",MIN(INDEX(Hypothèses!$C$6:$C$16,MATCH(H49,Hypothèses!$A$6:$A$16,1)),Hypothèses!$B$30),INDEX(Hypothèses!$C$6:$C$16,MATCH(H49,Hypothèses!$A$6:$A$16,1)))</f>
        <v/>
      </c>
      <c r="J49" s="63">
        <f>H49/3600/I49</f>
        <v/>
      </c>
      <c r="K49" s="60">
        <f>IF(A49="CTA 4",Hypothèses!$B$25,IF(AND(A49="CTA 5",H49&gt;4000),Hypothèses!$B$29,IF(H49&lt;=2000,Hypothèses!$B$23,Hypothèses!$B$24)))</f>
        <v/>
      </c>
      <c r="L49" s="60">
        <f>MAX(Hypothèses!$B$26,CEILING(J49/(K49/1000)*1000,Hypothèses!$B$27))</f>
        <v/>
      </c>
      <c r="M49" s="63">
        <f>L49*K49/1000000</f>
        <v/>
      </c>
      <c r="N49" s="64">
        <f>H49/3600/M49</f>
        <v/>
      </c>
      <c r="O49" s="60">
        <f>IF(N49&lt;=I49,"oui","NON")</f>
        <v/>
      </c>
      <c r="P49" s="63">
        <f>1.3*((L49/1000)*(K49/1000))^0.625/((L49/1000)+(K49/1000))^0.25</f>
        <v/>
      </c>
      <c r="Q49" s="65">
        <f>N49*P49/Hypothèses!$B$20</f>
        <v/>
      </c>
      <c r="R49" s="66">
        <f>0.25/(LOG10(Hypothèses!$B$21/(3.7*P49)+5.74/Q49^0.9))^2</f>
        <v/>
      </c>
      <c r="S49" s="64">
        <f>R49/P49*Hypothèses!$B$19*N49^2/2</f>
        <v/>
      </c>
      <c r="T49" s="62">
        <f>S49*G49*(1+Hypothèses!$B$22)</f>
        <v/>
      </c>
      <c r="U49" s="45" t="n"/>
      <c r="V49" s="60">
        <f>IF(K49&lt;=Hypothèses!$B$28-100,"oui","NON")</f>
        <v/>
      </c>
    </row>
    <row r="50" ht="15" customHeight="1" s="40">
      <c r="A50" s="60" t="inlineStr">
        <is>
          <t>CTA 1</t>
        </is>
      </c>
      <c r="B50" s="60" t="inlineStr">
        <is>
          <t>CTA1-R46</t>
        </is>
      </c>
      <c r="C50" s="60" t="inlineStr">
        <is>
          <t>N01</t>
        </is>
      </c>
      <c r="D50" s="60" t="inlineStr">
        <is>
          <t>Faux plafond couloir</t>
        </is>
      </c>
      <c r="E50" s="60" t="inlineStr">
        <is>
          <t>Reprise</t>
        </is>
      </c>
      <c r="F50" s="60" t="inlineStr">
        <is>
          <t>HEB01 ch. couple</t>
        </is>
      </c>
      <c r="G50" s="61" t="n">
        <v>4.19</v>
      </c>
      <c r="H50" s="46" t="n">
        <v>810</v>
      </c>
      <c r="I50" s="62">
        <f>IF(A50="CTA 5",MIN(INDEX(Hypothèses!$C$6:$C$16,MATCH(H50,Hypothèses!$A$6:$A$16,1)),Hypothèses!$B$30),INDEX(Hypothèses!$C$6:$C$16,MATCH(H50,Hypothèses!$A$6:$A$16,1)))</f>
        <v/>
      </c>
      <c r="J50" s="63">
        <f>H50/3600/I50</f>
        <v/>
      </c>
      <c r="K50" s="60">
        <f>IF(A50="CTA 4",Hypothèses!$B$25,IF(AND(A50="CTA 5",H50&gt;4000),Hypothèses!$B$29,IF(H50&lt;=2000,Hypothèses!$B$23,Hypothèses!$B$24)))</f>
        <v/>
      </c>
      <c r="L50" s="60">
        <f>MAX(Hypothèses!$B$26,CEILING(J50/(K50/1000)*1000,Hypothèses!$B$27))</f>
        <v/>
      </c>
      <c r="M50" s="63">
        <f>L50*K50/1000000</f>
        <v/>
      </c>
      <c r="N50" s="64">
        <f>H50/3600/M50</f>
        <v/>
      </c>
      <c r="O50" s="60">
        <f>IF(N50&lt;=I50,"oui","NON")</f>
        <v/>
      </c>
      <c r="P50" s="63">
        <f>1.3*((L50/1000)*(K50/1000))^0.625/((L50/1000)+(K50/1000))^0.25</f>
        <v/>
      </c>
      <c r="Q50" s="65">
        <f>N50*P50/Hypothèses!$B$20</f>
        <v/>
      </c>
      <c r="R50" s="66">
        <f>0.25/(LOG10(Hypothèses!$B$21/(3.7*P50)+5.74/Q50^0.9))^2</f>
        <v/>
      </c>
      <c r="S50" s="64">
        <f>R50/P50*Hypothèses!$B$19*N50^2/2</f>
        <v/>
      </c>
      <c r="T50" s="62">
        <f>S50*G50*(1+Hypothèses!$B$22)</f>
        <v/>
      </c>
      <c r="U50" s="45" t="n"/>
      <c r="V50" s="60">
        <f>IF(K50&lt;=Hypothèses!$B$28-100,"oui","NON")</f>
        <v/>
      </c>
    </row>
    <row r="51" ht="15" customHeight="1" s="40">
      <c r="A51" s="60" t="inlineStr">
        <is>
          <t>CTA 1</t>
        </is>
      </c>
      <c r="B51" s="60" t="inlineStr">
        <is>
          <t>CTA1-R47</t>
        </is>
      </c>
      <c r="C51" s="60" t="inlineStr">
        <is>
          <t>N01</t>
        </is>
      </c>
      <c r="D51" s="60" t="inlineStr">
        <is>
          <t>Faux plafond couloir</t>
        </is>
      </c>
      <c r="E51" s="60" t="inlineStr">
        <is>
          <t>Reprise</t>
        </is>
      </c>
      <c r="F51" s="60" t="inlineStr">
        <is>
          <t>HEB01 chambre</t>
        </is>
      </c>
      <c r="G51" s="61" t="n">
        <v>1.792</v>
      </c>
      <c r="H51" s="46" t="n">
        <v>630</v>
      </c>
      <c r="I51" s="62">
        <f>IF(A51="CTA 5",MIN(INDEX(Hypothèses!$C$6:$C$16,MATCH(H51,Hypothèses!$A$6:$A$16,1)),Hypothèses!$B$30),INDEX(Hypothèses!$C$6:$C$16,MATCH(H51,Hypothèses!$A$6:$A$16,1)))</f>
        <v/>
      </c>
      <c r="J51" s="63">
        <f>H51/3600/I51</f>
        <v/>
      </c>
      <c r="K51" s="60">
        <f>IF(A51="CTA 4",Hypothèses!$B$25,IF(AND(A51="CTA 5",H51&gt;4000),Hypothèses!$B$29,IF(H51&lt;=2000,Hypothèses!$B$23,Hypothèses!$B$24)))</f>
        <v/>
      </c>
      <c r="L51" s="60">
        <f>MAX(Hypothèses!$B$26,CEILING(J51/(K51/1000)*1000,Hypothèses!$B$27))</f>
        <v/>
      </c>
      <c r="M51" s="63">
        <f>L51*K51/1000000</f>
        <v/>
      </c>
      <c r="N51" s="64">
        <f>H51/3600/M51</f>
        <v/>
      </c>
      <c r="O51" s="60">
        <f>IF(N51&lt;=I51,"oui","NON")</f>
        <v/>
      </c>
      <c r="P51" s="63">
        <f>1.3*((L51/1000)*(K51/1000))^0.625/((L51/1000)+(K51/1000))^0.25</f>
        <v/>
      </c>
      <c r="Q51" s="65">
        <f>N51*P51/Hypothèses!$B$20</f>
        <v/>
      </c>
      <c r="R51" s="66">
        <f>0.25/(LOG10(Hypothèses!$B$21/(3.7*P51)+5.74/Q51^0.9))^2</f>
        <v/>
      </c>
      <c r="S51" s="64">
        <f>R51/P51*Hypothèses!$B$19*N51^2/2</f>
        <v/>
      </c>
      <c r="T51" s="62">
        <f>S51*G51*(1+Hypothèses!$B$22)</f>
        <v/>
      </c>
      <c r="U51" s="45" t="n"/>
      <c r="V51" s="60">
        <f>IF(K51&lt;=Hypothèses!$B$28-100,"oui","NON")</f>
        <v/>
      </c>
    </row>
    <row r="52" ht="15" customHeight="1" s="40">
      <c r="A52" s="60" t="inlineStr">
        <is>
          <t>CTA 1</t>
        </is>
      </c>
      <c r="B52" s="60" t="inlineStr">
        <is>
          <t>CTA1-R48</t>
        </is>
      </c>
      <c r="C52" s="60" t="inlineStr">
        <is>
          <t>N01</t>
        </is>
      </c>
      <c r="D52" s="60" t="inlineStr">
        <is>
          <t>Faux plafond couloir</t>
        </is>
      </c>
      <c r="E52" s="60" t="inlineStr">
        <is>
          <t>Reprise</t>
        </is>
      </c>
      <c r="F52" s="60" t="inlineStr">
        <is>
          <t>HEB01 chambre</t>
        </is>
      </c>
      <c r="G52" s="61" t="n">
        <v>2.925</v>
      </c>
      <c r="H52" s="46" t="n">
        <v>540</v>
      </c>
      <c r="I52" s="62">
        <f>IF(A52="CTA 5",MIN(INDEX(Hypothèses!$C$6:$C$16,MATCH(H52,Hypothèses!$A$6:$A$16,1)),Hypothèses!$B$30),INDEX(Hypothèses!$C$6:$C$16,MATCH(H52,Hypothèses!$A$6:$A$16,1)))</f>
        <v/>
      </c>
      <c r="J52" s="63">
        <f>H52/3600/I52</f>
        <v/>
      </c>
      <c r="K52" s="60">
        <f>IF(A52="CTA 4",Hypothèses!$B$25,IF(AND(A52="CTA 5",H52&gt;4000),Hypothèses!$B$29,IF(H52&lt;=2000,Hypothèses!$B$23,Hypothèses!$B$24)))</f>
        <v/>
      </c>
      <c r="L52" s="60">
        <f>MAX(Hypothèses!$B$26,CEILING(J52/(K52/1000)*1000,Hypothèses!$B$27))</f>
        <v/>
      </c>
      <c r="M52" s="63">
        <f>L52*K52/1000000</f>
        <v/>
      </c>
      <c r="N52" s="64">
        <f>H52/3600/M52</f>
        <v/>
      </c>
      <c r="O52" s="60">
        <f>IF(N52&lt;=I52,"oui","NON")</f>
        <v/>
      </c>
      <c r="P52" s="63">
        <f>1.3*((L52/1000)*(K52/1000))^0.625/((L52/1000)+(K52/1000))^0.25</f>
        <v/>
      </c>
      <c r="Q52" s="65">
        <f>N52*P52/Hypothèses!$B$20</f>
        <v/>
      </c>
      <c r="R52" s="66">
        <f>0.25/(LOG10(Hypothèses!$B$21/(3.7*P52)+5.74/Q52^0.9))^2</f>
        <v/>
      </c>
      <c r="S52" s="64">
        <f>R52/P52*Hypothèses!$B$19*N52^2/2</f>
        <v/>
      </c>
      <c r="T52" s="62">
        <f>S52*G52*(1+Hypothèses!$B$22)</f>
        <v/>
      </c>
      <c r="U52" s="45" t="n"/>
      <c r="V52" s="60">
        <f>IF(K52&lt;=Hypothèses!$B$28-100,"oui","NON")</f>
        <v/>
      </c>
    </row>
    <row r="53" ht="15" customHeight="1" s="40">
      <c r="A53" s="60" t="inlineStr">
        <is>
          <t>CTA 1</t>
        </is>
      </c>
      <c r="B53" s="60" t="inlineStr">
        <is>
          <t>CTA1-R49</t>
        </is>
      </c>
      <c r="C53" s="60" t="inlineStr">
        <is>
          <t>N01</t>
        </is>
      </c>
      <c r="D53" s="60" t="inlineStr">
        <is>
          <t>Faux plafond couloir</t>
        </is>
      </c>
      <c r="E53" s="60" t="inlineStr">
        <is>
          <t>Reprise</t>
        </is>
      </c>
      <c r="F53" s="60" t="inlineStr">
        <is>
          <t>HEB01 chambre</t>
        </is>
      </c>
      <c r="G53" s="61" t="n">
        <v>1.545</v>
      </c>
      <c r="H53" s="46" t="n">
        <v>540</v>
      </c>
      <c r="I53" s="62">
        <f>IF(A53="CTA 5",MIN(INDEX(Hypothèses!$C$6:$C$16,MATCH(H53,Hypothèses!$A$6:$A$16,1)),Hypothèses!$B$30),INDEX(Hypothèses!$C$6:$C$16,MATCH(H53,Hypothèses!$A$6:$A$16,1)))</f>
        <v/>
      </c>
      <c r="J53" s="63">
        <f>H53/3600/I53</f>
        <v/>
      </c>
      <c r="K53" s="60">
        <f>IF(A53="CTA 4",Hypothèses!$B$25,IF(AND(A53="CTA 5",H53&gt;4000),Hypothèses!$B$29,IF(H53&lt;=2000,Hypothèses!$B$23,Hypothèses!$B$24)))</f>
        <v/>
      </c>
      <c r="L53" s="60">
        <f>MAX(Hypothèses!$B$26,CEILING(J53/(K53/1000)*1000,Hypothèses!$B$27))</f>
        <v/>
      </c>
      <c r="M53" s="63">
        <f>L53*K53/1000000</f>
        <v/>
      </c>
      <c r="N53" s="64">
        <f>H53/3600/M53</f>
        <v/>
      </c>
      <c r="O53" s="60">
        <f>IF(N53&lt;=I53,"oui","NON")</f>
        <v/>
      </c>
      <c r="P53" s="63">
        <f>1.3*((L53/1000)*(K53/1000))^0.625/((L53/1000)+(K53/1000))^0.25</f>
        <v/>
      </c>
      <c r="Q53" s="65">
        <f>N53*P53/Hypothèses!$B$20</f>
        <v/>
      </c>
      <c r="R53" s="66">
        <f>0.25/(LOG10(Hypothèses!$B$21/(3.7*P53)+5.74/Q53^0.9))^2</f>
        <v/>
      </c>
      <c r="S53" s="64">
        <f>R53/P53*Hypothèses!$B$19*N53^2/2</f>
        <v/>
      </c>
      <c r="T53" s="62">
        <f>S53*G53*(1+Hypothèses!$B$22)</f>
        <v/>
      </c>
      <c r="U53" s="45" t="n"/>
      <c r="V53" s="60">
        <f>IF(K53&lt;=Hypothèses!$B$28-100,"oui","NON")</f>
        <v/>
      </c>
    </row>
    <row r="54" ht="15" customHeight="1" s="40">
      <c r="A54" s="60" t="inlineStr">
        <is>
          <t>CTA 1</t>
        </is>
      </c>
      <c r="B54" s="60" t="inlineStr">
        <is>
          <t>CTA1-R50</t>
        </is>
      </c>
      <c r="C54" s="60" t="inlineStr">
        <is>
          <t>N01</t>
        </is>
      </c>
      <c r="D54" s="60" t="inlineStr">
        <is>
          <t>Faux plafond couloir</t>
        </is>
      </c>
      <c r="E54" s="60" t="inlineStr">
        <is>
          <t>Reprise</t>
        </is>
      </c>
      <c r="F54" s="60" t="inlineStr">
        <is>
          <t>HEB01 chambre</t>
        </is>
      </c>
      <c r="G54" s="61" t="n">
        <v>2.193</v>
      </c>
      <c r="H54" s="46" t="n">
        <v>450</v>
      </c>
      <c r="I54" s="62">
        <f>IF(A54="CTA 5",MIN(INDEX(Hypothèses!$C$6:$C$16,MATCH(H54,Hypothèses!$A$6:$A$16,1)),Hypothèses!$B$30),INDEX(Hypothèses!$C$6:$C$16,MATCH(H54,Hypothèses!$A$6:$A$16,1)))</f>
        <v/>
      </c>
      <c r="J54" s="63">
        <f>H54/3600/I54</f>
        <v/>
      </c>
      <c r="K54" s="60">
        <f>IF(A54="CTA 4",Hypothèses!$B$25,IF(AND(A54="CTA 5",H54&gt;4000),Hypothèses!$B$29,IF(H54&lt;=2000,Hypothèses!$B$23,Hypothèses!$B$24)))</f>
        <v/>
      </c>
      <c r="L54" s="60">
        <f>MAX(Hypothèses!$B$26,CEILING(J54/(K54/1000)*1000,Hypothèses!$B$27))</f>
        <v/>
      </c>
      <c r="M54" s="63">
        <f>L54*K54/1000000</f>
        <v/>
      </c>
      <c r="N54" s="64">
        <f>H54/3600/M54</f>
        <v/>
      </c>
      <c r="O54" s="60">
        <f>IF(N54&lt;=I54,"oui","NON")</f>
        <v/>
      </c>
      <c r="P54" s="63">
        <f>1.3*((L54/1000)*(K54/1000))^0.625/((L54/1000)+(K54/1000))^0.25</f>
        <v/>
      </c>
      <c r="Q54" s="65">
        <f>N54*P54/Hypothèses!$B$20</f>
        <v/>
      </c>
      <c r="R54" s="66">
        <f>0.25/(LOG10(Hypothèses!$B$21/(3.7*P54)+5.74/Q54^0.9))^2</f>
        <v/>
      </c>
      <c r="S54" s="64">
        <f>R54/P54*Hypothèses!$B$19*N54^2/2</f>
        <v/>
      </c>
      <c r="T54" s="62">
        <f>S54*G54*(1+Hypothèses!$B$22)</f>
        <v/>
      </c>
      <c r="U54" s="45" t="n"/>
      <c r="V54" s="60">
        <f>IF(K54&lt;=Hypothèses!$B$28-100,"oui","NON")</f>
        <v/>
      </c>
    </row>
    <row r="55" ht="15" customHeight="1" s="40">
      <c r="A55" s="60" t="inlineStr">
        <is>
          <t>CTA 1</t>
        </is>
      </c>
      <c r="B55" s="60" t="inlineStr">
        <is>
          <t>CTA1-R51</t>
        </is>
      </c>
      <c r="C55" s="60" t="inlineStr">
        <is>
          <t>N01</t>
        </is>
      </c>
      <c r="D55" s="60" t="inlineStr">
        <is>
          <t>Faux plafond couloir</t>
        </is>
      </c>
      <c r="E55" s="60" t="inlineStr">
        <is>
          <t>Reprise</t>
        </is>
      </c>
      <c r="F55" s="60" t="inlineStr">
        <is>
          <t>HEB01 chambre</t>
        </is>
      </c>
      <c r="G55" s="61" t="n">
        <v>1.567</v>
      </c>
      <c r="H55" s="46" t="n">
        <v>270</v>
      </c>
      <c r="I55" s="62">
        <f>IF(A55="CTA 5",MIN(INDEX(Hypothèses!$C$6:$C$16,MATCH(H55,Hypothèses!$A$6:$A$16,1)),Hypothèses!$B$30),INDEX(Hypothèses!$C$6:$C$16,MATCH(H55,Hypothèses!$A$6:$A$16,1)))</f>
        <v/>
      </c>
      <c r="J55" s="63">
        <f>H55/3600/I55</f>
        <v/>
      </c>
      <c r="K55" s="60">
        <f>IF(A55="CTA 4",Hypothèses!$B$25,IF(AND(A55="CTA 5",H55&gt;4000),Hypothèses!$B$29,IF(H55&lt;=2000,Hypothèses!$B$23,Hypothèses!$B$24)))</f>
        <v/>
      </c>
      <c r="L55" s="60">
        <f>MAX(Hypothèses!$B$26,CEILING(J55/(K55/1000)*1000,Hypothèses!$B$27))</f>
        <v/>
      </c>
      <c r="M55" s="63">
        <f>L55*K55/1000000</f>
        <v/>
      </c>
      <c r="N55" s="64">
        <f>H55/3600/M55</f>
        <v/>
      </c>
      <c r="O55" s="60">
        <f>IF(N55&lt;=I55,"oui","NON")</f>
        <v/>
      </c>
      <c r="P55" s="63">
        <f>1.3*((L55/1000)*(K55/1000))^0.625/((L55/1000)+(K55/1000))^0.25</f>
        <v/>
      </c>
      <c r="Q55" s="65">
        <f>N55*P55/Hypothèses!$B$20</f>
        <v/>
      </c>
      <c r="R55" s="66">
        <f>0.25/(LOG10(Hypothèses!$B$21/(3.7*P55)+5.74/Q55^0.9))^2</f>
        <v/>
      </c>
      <c r="S55" s="64">
        <f>R55/P55*Hypothèses!$B$19*N55^2/2</f>
        <v/>
      </c>
      <c r="T55" s="62">
        <f>S55*G55*(1+Hypothèses!$B$22)</f>
        <v/>
      </c>
      <c r="U55" s="45" t="n"/>
      <c r="V55" s="60">
        <f>IF(K55&lt;=Hypothèses!$B$28-100,"oui","NON")</f>
        <v/>
      </c>
    </row>
    <row r="56" ht="15" customHeight="1" s="40">
      <c r="A56" s="60" t="inlineStr">
        <is>
          <t>CTA 1</t>
        </is>
      </c>
      <c r="B56" s="60" t="inlineStr">
        <is>
          <t>CTA1-R52</t>
        </is>
      </c>
      <c r="C56" s="60" t="inlineStr">
        <is>
          <t>N01</t>
        </is>
      </c>
      <c r="D56" s="60" t="inlineStr">
        <is>
          <t>Faux plafond couloir</t>
        </is>
      </c>
      <c r="E56" s="60" t="inlineStr">
        <is>
          <t>Reprise</t>
        </is>
      </c>
      <c r="F56" s="60" t="inlineStr">
        <is>
          <t>HEB01 chambre</t>
        </is>
      </c>
      <c r="G56" s="61" t="n">
        <v>2.841</v>
      </c>
      <c r="H56" s="46" t="n">
        <v>270</v>
      </c>
      <c r="I56" s="62">
        <f>IF(A56="CTA 5",MIN(INDEX(Hypothèses!$C$6:$C$16,MATCH(H56,Hypothèses!$A$6:$A$16,1)),Hypothèses!$B$30),INDEX(Hypothèses!$C$6:$C$16,MATCH(H56,Hypothèses!$A$6:$A$16,1)))</f>
        <v/>
      </c>
      <c r="J56" s="63">
        <f>H56/3600/I56</f>
        <v/>
      </c>
      <c r="K56" s="60">
        <f>IF(A56="CTA 4",Hypothèses!$B$25,IF(AND(A56="CTA 5",H56&gt;4000),Hypothèses!$B$29,IF(H56&lt;=2000,Hypothèses!$B$23,Hypothèses!$B$24)))</f>
        <v/>
      </c>
      <c r="L56" s="60">
        <f>MAX(Hypothèses!$B$26,CEILING(J56/(K56/1000)*1000,Hypothèses!$B$27))</f>
        <v/>
      </c>
      <c r="M56" s="63">
        <f>L56*K56/1000000</f>
        <v/>
      </c>
      <c r="N56" s="64">
        <f>H56/3600/M56</f>
        <v/>
      </c>
      <c r="O56" s="60">
        <f>IF(N56&lt;=I56,"oui","NON")</f>
        <v/>
      </c>
      <c r="P56" s="63">
        <f>1.3*((L56/1000)*(K56/1000))^0.625/((L56/1000)+(K56/1000))^0.25</f>
        <v/>
      </c>
      <c r="Q56" s="65">
        <f>N56*P56/Hypothèses!$B$20</f>
        <v/>
      </c>
      <c r="R56" s="66">
        <f>0.25/(LOG10(Hypothèses!$B$21/(3.7*P56)+5.74/Q56^0.9))^2</f>
        <v/>
      </c>
      <c r="S56" s="64">
        <f>R56/P56*Hypothèses!$B$19*N56^2/2</f>
        <v/>
      </c>
      <c r="T56" s="62">
        <f>S56*G56*(1+Hypothèses!$B$22)</f>
        <v/>
      </c>
      <c r="U56" s="45" t="n"/>
      <c r="V56" s="60">
        <f>IF(K56&lt;=Hypothèses!$B$28-100,"oui","NON")</f>
        <v/>
      </c>
    </row>
    <row r="57" ht="15" customHeight="1" s="40">
      <c r="A57" s="60" t="inlineStr">
        <is>
          <t>CTA 1</t>
        </is>
      </c>
      <c r="B57" s="60" t="inlineStr">
        <is>
          <t>CTA1-R53</t>
        </is>
      </c>
      <c r="C57" s="60" t="inlineStr">
        <is>
          <t>N01</t>
        </is>
      </c>
      <c r="D57" s="60" t="inlineStr">
        <is>
          <t>Faux plafond couloir</t>
        </is>
      </c>
      <c r="E57" s="60" t="inlineStr">
        <is>
          <t>Reprise</t>
        </is>
      </c>
      <c r="F57" s="60" t="inlineStr">
        <is>
          <t>HEB01 chambre</t>
        </is>
      </c>
      <c r="G57" s="61" t="n">
        <v>1.633</v>
      </c>
      <c r="H57" s="46" t="n">
        <v>180</v>
      </c>
      <c r="I57" s="62">
        <f>IF(A57="CTA 5",MIN(INDEX(Hypothèses!$C$6:$C$16,MATCH(H57,Hypothèses!$A$6:$A$16,1)),Hypothèses!$B$30),INDEX(Hypothèses!$C$6:$C$16,MATCH(H57,Hypothèses!$A$6:$A$16,1)))</f>
        <v/>
      </c>
      <c r="J57" s="63">
        <f>H57/3600/I57</f>
        <v/>
      </c>
      <c r="K57" s="60">
        <f>IF(A57="CTA 4",Hypothèses!$B$25,IF(AND(A57="CTA 5",H57&gt;4000),Hypothèses!$B$29,IF(H57&lt;=2000,Hypothèses!$B$23,Hypothèses!$B$24)))</f>
        <v/>
      </c>
      <c r="L57" s="60">
        <f>MAX(Hypothèses!$B$26,CEILING(J57/(K57/1000)*1000,Hypothèses!$B$27))</f>
        <v/>
      </c>
      <c r="M57" s="63">
        <f>L57*K57/1000000</f>
        <v/>
      </c>
      <c r="N57" s="64">
        <f>H57/3600/M57</f>
        <v/>
      </c>
      <c r="O57" s="60">
        <f>IF(N57&lt;=I57,"oui","NON")</f>
        <v/>
      </c>
      <c r="P57" s="63">
        <f>1.3*((L57/1000)*(K57/1000))^0.625/((L57/1000)+(K57/1000))^0.25</f>
        <v/>
      </c>
      <c r="Q57" s="65">
        <f>N57*P57/Hypothèses!$B$20</f>
        <v/>
      </c>
      <c r="R57" s="66">
        <f>0.25/(LOG10(Hypothèses!$B$21/(3.7*P57)+5.74/Q57^0.9))^2</f>
        <v/>
      </c>
      <c r="S57" s="64">
        <f>R57/P57*Hypothèses!$B$19*N57^2/2</f>
        <v/>
      </c>
      <c r="T57" s="62">
        <f>S57*G57*(1+Hypothèses!$B$22)</f>
        <v/>
      </c>
      <c r="U57" s="45" t="n"/>
      <c r="V57" s="60">
        <f>IF(K57&lt;=Hypothèses!$B$28-100,"oui","NON")</f>
        <v/>
      </c>
    </row>
    <row r="58" ht="15" customHeight="1" s="40">
      <c r="A58" s="60" t="inlineStr">
        <is>
          <t>CTA 1</t>
        </is>
      </c>
      <c r="B58" s="60" t="inlineStr">
        <is>
          <t>CTA1-R54</t>
        </is>
      </c>
      <c r="C58" s="60" t="inlineStr">
        <is>
          <t>N01</t>
        </is>
      </c>
      <c r="D58" s="60" t="inlineStr">
        <is>
          <t>Faux plafond couloir</t>
        </is>
      </c>
      <c r="E58" s="60" t="inlineStr">
        <is>
          <t>Reprise</t>
        </is>
      </c>
      <c r="F58" s="60" t="n"/>
      <c r="G58" s="61" t="n">
        <v>1.577</v>
      </c>
      <c r="H58" s="46" t="n">
        <v>90</v>
      </c>
      <c r="I58" s="62">
        <f>IF(A58="CTA 5",MIN(INDEX(Hypothèses!$C$6:$C$16,MATCH(H58,Hypothèses!$A$6:$A$16,1)),Hypothèses!$B$30),INDEX(Hypothèses!$C$6:$C$16,MATCH(H58,Hypothèses!$A$6:$A$16,1)))</f>
        <v/>
      </c>
      <c r="J58" s="63">
        <f>H58/3600/I58</f>
        <v/>
      </c>
      <c r="K58" s="60">
        <f>IF(A58="CTA 4",Hypothèses!$B$25,IF(AND(A58="CTA 5",H58&gt;4000),Hypothèses!$B$29,IF(H58&lt;=2000,Hypothèses!$B$23,Hypothèses!$B$24)))</f>
        <v/>
      </c>
      <c r="L58" s="60">
        <f>MAX(Hypothèses!$B$26,CEILING(J58/(K58/1000)*1000,Hypothèses!$B$27))</f>
        <v/>
      </c>
      <c r="M58" s="63">
        <f>L58*K58/1000000</f>
        <v/>
      </c>
      <c r="N58" s="64">
        <f>H58/3600/M58</f>
        <v/>
      </c>
      <c r="O58" s="60">
        <f>IF(N58&lt;=I58,"oui","NON")</f>
        <v/>
      </c>
      <c r="P58" s="63">
        <f>1.3*((L58/1000)*(K58/1000))^0.625/((L58/1000)+(K58/1000))^0.25</f>
        <v/>
      </c>
      <c r="Q58" s="65">
        <f>N58*P58/Hypothèses!$B$20</f>
        <v/>
      </c>
      <c r="R58" s="66">
        <f>0.25/(LOG10(Hypothèses!$B$21/(3.7*P58)+5.74/Q58^0.9))^2</f>
        <v/>
      </c>
      <c r="S58" s="64">
        <f>R58/P58*Hypothèses!$B$19*N58^2/2</f>
        <v/>
      </c>
      <c r="T58" s="62">
        <f>S58*G58*(1+Hypothèses!$B$22)</f>
        <v/>
      </c>
      <c r="U58" s="45" t="n"/>
      <c r="V58" s="60">
        <f>IF(K58&lt;=Hypothèses!$B$28-100,"oui","NON")</f>
        <v/>
      </c>
    </row>
    <row r="59" ht="15" customHeight="1" s="40">
      <c r="A59" s="60" t="inlineStr">
        <is>
          <t>CTA 1</t>
        </is>
      </c>
      <c r="B59" s="60" t="inlineStr">
        <is>
          <t>CTA1-R55</t>
        </is>
      </c>
      <c r="C59" s="60" t="inlineStr">
        <is>
          <t>N00</t>
        </is>
      </c>
      <c r="D59" s="60" t="inlineStr">
        <is>
          <t>Faux plafond couloir</t>
        </is>
      </c>
      <c r="E59" s="60" t="inlineStr">
        <is>
          <t>Reprise</t>
        </is>
      </c>
      <c r="F59" s="60" t="n"/>
      <c r="G59" s="61" t="n">
        <v>1.6</v>
      </c>
      <c r="H59" s="46" t="n">
        <v>1260</v>
      </c>
      <c r="I59" s="62">
        <f>IF(A59="CTA 5",MIN(INDEX(Hypothèses!$C$6:$C$16,MATCH(H59,Hypothèses!$A$6:$A$16,1)),Hypothèses!$B$30),INDEX(Hypothèses!$C$6:$C$16,MATCH(H59,Hypothèses!$A$6:$A$16,1)))</f>
        <v/>
      </c>
      <c r="J59" s="63">
        <f>H59/3600/I59</f>
        <v/>
      </c>
      <c r="K59" s="60">
        <f>IF(A59="CTA 4",Hypothèses!$B$25,IF(AND(A59="CTA 5",H59&gt;4000),Hypothèses!$B$29,IF(H59&lt;=2000,Hypothèses!$B$23,Hypothèses!$B$24)))</f>
        <v/>
      </c>
      <c r="L59" s="60">
        <f>MAX(Hypothèses!$B$26,CEILING(J59/(K59/1000)*1000,Hypothèses!$B$27))</f>
        <v/>
      </c>
      <c r="M59" s="63">
        <f>L59*K59/1000000</f>
        <v/>
      </c>
      <c r="N59" s="64">
        <f>H59/3600/M59</f>
        <v/>
      </c>
      <c r="O59" s="60">
        <f>IF(N59&lt;=I59,"oui","NON")</f>
        <v/>
      </c>
      <c r="P59" s="63">
        <f>1.3*((L59/1000)*(K59/1000))^0.625/((L59/1000)+(K59/1000))^0.25</f>
        <v/>
      </c>
      <c r="Q59" s="65">
        <f>N59*P59/Hypothèses!$B$20</f>
        <v/>
      </c>
      <c r="R59" s="66">
        <f>0.25/(LOG10(Hypothèses!$B$21/(3.7*P59)+5.74/Q59^0.9))^2</f>
        <v/>
      </c>
      <c r="S59" s="64">
        <f>R59/P59*Hypothèses!$B$19*N59^2/2</f>
        <v/>
      </c>
      <c r="T59" s="62">
        <f>S59*G59*(1+Hypothèses!$B$22)</f>
        <v/>
      </c>
      <c r="U59" s="45" t="inlineStr">
        <is>
          <t>X</t>
        </is>
      </c>
      <c r="V59" s="60">
        <f>IF(K59&lt;=Hypothèses!$B$28-100,"oui","NON")</f>
        <v/>
      </c>
    </row>
    <row r="60" ht="15" customHeight="1" s="40">
      <c r="A60" s="60" t="inlineStr">
        <is>
          <t>CTA 1</t>
        </is>
      </c>
      <c r="B60" s="60" t="inlineStr">
        <is>
          <t>CTA1-R56</t>
        </is>
      </c>
      <c r="C60" s="60" t="inlineStr">
        <is>
          <t>N00</t>
        </is>
      </c>
      <c r="D60" s="60" t="inlineStr">
        <is>
          <t>Faux plafond couloir</t>
        </is>
      </c>
      <c r="E60" s="60" t="inlineStr">
        <is>
          <t>Reprise</t>
        </is>
      </c>
      <c r="F60" s="60" t="inlineStr">
        <is>
          <t>HEB01 chambre</t>
        </is>
      </c>
      <c r="G60" s="61" t="n">
        <v>1.3</v>
      </c>
      <c r="H60" s="46" t="n">
        <v>1260</v>
      </c>
      <c r="I60" s="62">
        <f>IF(A60="CTA 5",MIN(INDEX(Hypothèses!$C$6:$C$16,MATCH(H60,Hypothèses!$A$6:$A$16,1)),Hypothèses!$B$30),INDEX(Hypothèses!$C$6:$C$16,MATCH(H60,Hypothèses!$A$6:$A$16,1)))</f>
        <v/>
      </c>
      <c r="J60" s="63">
        <f>H60/3600/I60</f>
        <v/>
      </c>
      <c r="K60" s="60">
        <f>IF(A60="CTA 4",Hypothèses!$B$25,IF(AND(A60="CTA 5",H60&gt;4000),Hypothèses!$B$29,IF(H60&lt;=2000,Hypothèses!$B$23,Hypothèses!$B$24)))</f>
        <v/>
      </c>
      <c r="L60" s="60">
        <f>MAX(Hypothèses!$B$26,CEILING(J60/(K60/1000)*1000,Hypothèses!$B$27))</f>
        <v/>
      </c>
      <c r="M60" s="63">
        <f>L60*K60/1000000</f>
        <v/>
      </c>
      <c r="N60" s="64">
        <f>H60/3600/M60</f>
        <v/>
      </c>
      <c r="O60" s="60">
        <f>IF(N60&lt;=I60,"oui","NON")</f>
        <v/>
      </c>
      <c r="P60" s="63">
        <f>1.3*((L60/1000)*(K60/1000))^0.625/((L60/1000)+(K60/1000))^0.25</f>
        <v/>
      </c>
      <c r="Q60" s="65">
        <f>N60*P60/Hypothèses!$B$20</f>
        <v/>
      </c>
      <c r="R60" s="66">
        <f>0.25/(LOG10(Hypothèses!$B$21/(3.7*P60)+5.74/Q60^0.9))^2</f>
        <v/>
      </c>
      <c r="S60" s="64">
        <f>R60/P60*Hypothèses!$B$19*N60^2/2</f>
        <v/>
      </c>
      <c r="T60" s="62">
        <f>S60*G60*(1+Hypothèses!$B$22)</f>
        <v/>
      </c>
      <c r="U60" s="45" t="inlineStr">
        <is>
          <t>X</t>
        </is>
      </c>
      <c r="V60" s="60">
        <f>IF(K60&lt;=Hypothèses!$B$28-100,"oui","NON")</f>
        <v/>
      </c>
    </row>
    <row r="61" ht="15" customHeight="1" s="40">
      <c r="A61" s="60" t="inlineStr">
        <is>
          <t>CTA 1</t>
        </is>
      </c>
      <c r="B61" s="60" t="inlineStr">
        <is>
          <t>CTA1-R57</t>
        </is>
      </c>
      <c r="C61" s="60" t="inlineStr">
        <is>
          <t>N00</t>
        </is>
      </c>
      <c r="D61" s="60" t="inlineStr">
        <is>
          <t>Faux plafond couloir</t>
        </is>
      </c>
      <c r="E61" s="60" t="inlineStr">
        <is>
          <t>Reprise</t>
        </is>
      </c>
      <c r="F61" s="60" t="inlineStr">
        <is>
          <t>HEB01 chambre</t>
        </is>
      </c>
      <c r="G61" s="61" t="n">
        <v>1.45</v>
      </c>
      <c r="H61" s="46" t="n">
        <v>1170</v>
      </c>
      <c r="I61" s="62">
        <f>IF(A61="CTA 5",MIN(INDEX(Hypothèses!$C$6:$C$16,MATCH(H61,Hypothèses!$A$6:$A$16,1)),Hypothèses!$B$30),INDEX(Hypothèses!$C$6:$C$16,MATCH(H61,Hypothèses!$A$6:$A$16,1)))</f>
        <v/>
      </c>
      <c r="J61" s="63">
        <f>H61/3600/I61</f>
        <v/>
      </c>
      <c r="K61" s="60">
        <f>IF(A61="CTA 4",Hypothèses!$B$25,IF(AND(A61="CTA 5",H61&gt;4000),Hypothèses!$B$29,IF(H61&lt;=2000,Hypothèses!$B$23,Hypothèses!$B$24)))</f>
        <v/>
      </c>
      <c r="L61" s="60">
        <f>MAX(Hypothèses!$B$26,CEILING(J61/(K61/1000)*1000,Hypothèses!$B$27))</f>
        <v/>
      </c>
      <c r="M61" s="63">
        <f>L61*K61/1000000</f>
        <v/>
      </c>
      <c r="N61" s="64">
        <f>H61/3600/M61</f>
        <v/>
      </c>
      <c r="O61" s="60">
        <f>IF(N61&lt;=I61,"oui","NON")</f>
        <v/>
      </c>
      <c r="P61" s="63">
        <f>1.3*((L61/1000)*(K61/1000))^0.625/((L61/1000)+(K61/1000))^0.25</f>
        <v/>
      </c>
      <c r="Q61" s="65">
        <f>N61*P61/Hypothèses!$B$20</f>
        <v/>
      </c>
      <c r="R61" s="66">
        <f>0.25/(LOG10(Hypothèses!$B$21/(3.7*P61)+5.74/Q61^0.9))^2</f>
        <v/>
      </c>
      <c r="S61" s="64">
        <f>R61/P61*Hypothèses!$B$19*N61^2/2</f>
        <v/>
      </c>
      <c r="T61" s="62">
        <f>S61*G61*(1+Hypothèses!$B$22)</f>
        <v/>
      </c>
      <c r="U61" s="45" t="inlineStr">
        <is>
          <t>X</t>
        </is>
      </c>
      <c r="V61" s="60">
        <f>IF(K61&lt;=Hypothèses!$B$28-100,"oui","NON")</f>
        <v/>
      </c>
    </row>
    <row r="62" ht="15" customHeight="1" s="40">
      <c r="A62" s="60" t="inlineStr">
        <is>
          <t>CTA 1</t>
        </is>
      </c>
      <c r="B62" s="60" t="inlineStr">
        <is>
          <t>CTA1-R58</t>
        </is>
      </c>
      <c r="C62" s="60" t="inlineStr">
        <is>
          <t>N00</t>
        </is>
      </c>
      <c r="D62" s="60" t="inlineStr">
        <is>
          <t>Faux plafond couloir</t>
        </is>
      </c>
      <c r="E62" s="60" t="inlineStr">
        <is>
          <t>Reprise</t>
        </is>
      </c>
      <c r="F62" s="60" t="inlineStr">
        <is>
          <t>HEB01 chambre</t>
        </is>
      </c>
      <c r="G62" s="61" t="n">
        <v>3.551</v>
      </c>
      <c r="H62" s="46" t="n">
        <v>1080</v>
      </c>
      <c r="I62" s="62">
        <f>IF(A62="CTA 5",MIN(INDEX(Hypothèses!$C$6:$C$16,MATCH(H62,Hypothèses!$A$6:$A$16,1)),Hypothèses!$B$30),INDEX(Hypothèses!$C$6:$C$16,MATCH(H62,Hypothèses!$A$6:$A$16,1)))</f>
        <v/>
      </c>
      <c r="J62" s="63">
        <f>H62/3600/I62</f>
        <v/>
      </c>
      <c r="K62" s="60">
        <f>IF(A62="CTA 4",Hypothèses!$B$25,IF(AND(A62="CTA 5",H62&gt;4000),Hypothèses!$B$29,IF(H62&lt;=2000,Hypothèses!$B$23,Hypothèses!$B$24)))</f>
        <v/>
      </c>
      <c r="L62" s="60">
        <f>MAX(Hypothèses!$B$26,CEILING(J62/(K62/1000)*1000,Hypothèses!$B$27))</f>
        <v/>
      </c>
      <c r="M62" s="63">
        <f>L62*K62/1000000</f>
        <v/>
      </c>
      <c r="N62" s="64">
        <f>H62/3600/M62</f>
        <v/>
      </c>
      <c r="O62" s="60">
        <f>IF(N62&lt;=I62,"oui","NON")</f>
        <v/>
      </c>
      <c r="P62" s="63">
        <f>1.3*((L62/1000)*(K62/1000))^0.625/((L62/1000)+(K62/1000))^0.25</f>
        <v/>
      </c>
      <c r="Q62" s="65">
        <f>N62*P62/Hypothèses!$B$20</f>
        <v/>
      </c>
      <c r="R62" s="66">
        <f>0.25/(LOG10(Hypothèses!$B$21/(3.7*P62)+5.74/Q62^0.9))^2</f>
        <v/>
      </c>
      <c r="S62" s="64">
        <f>R62/P62*Hypothèses!$B$19*N62^2/2</f>
        <v/>
      </c>
      <c r="T62" s="62">
        <f>S62*G62*(1+Hypothèses!$B$22)</f>
        <v/>
      </c>
      <c r="U62" s="45" t="inlineStr">
        <is>
          <t>X</t>
        </is>
      </c>
      <c r="V62" s="60">
        <f>IF(K62&lt;=Hypothèses!$B$28-100,"oui","NON")</f>
        <v/>
      </c>
    </row>
    <row r="63" ht="15" customHeight="1" s="40">
      <c r="A63" s="60" t="inlineStr">
        <is>
          <t>CTA 1</t>
        </is>
      </c>
      <c r="B63" s="60" t="inlineStr">
        <is>
          <t>CTA1-R59</t>
        </is>
      </c>
      <c r="C63" s="60" t="inlineStr">
        <is>
          <t>N00</t>
        </is>
      </c>
      <c r="D63" s="60" t="inlineStr">
        <is>
          <t>Faux plafond couloir</t>
        </is>
      </c>
      <c r="E63" s="60" t="inlineStr">
        <is>
          <t>Reprise</t>
        </is>
      </c>
      <c r="F63" s="60" t="inlineStr">
        <is>
          <t>HEB01 chambre</t>
        </is>
      </c>
      <c r="G63" s="61" t="n">
        <v>0.842</v>
      </c>
      <c r="H63" s="46" t="n">
        <v>990</v>
      </c>
      <c r="I63" s="62">
        <f>IF(A63="CTA 5",MIN(INDEX(Hypothèses!$C$6:$C$16,MATCH(H63,Hypothèses!$A$6:$A$16,1)),Hypothèses!$B$30),INDEX(Hypothèses!$C$6:$C$16,MATCH(H63,Hypothèses!$A$6:$A$16,1)))</f>
        <v/>
      </c>
      <c r="J63" s="63">
        <f>H63/3600/I63</f>
        <v/>
      </c>
      <c r="K63" s="60">
        <f>IF(A63="CTA 4",Hypothèses!$B$25,IF(AND(A63="CTA 5",H63&gt;4000),Hypothèses!$B$29,IF(H63&lt;=2000,Hypothèses!$B$23,Hypothèses!$B$24)))</f>
        <v/>
      </c>
      <c r="L63" s="60">
        <f>MAX(Hypothèses!$B$26,CEILING(J63/(K63/1000)*1000,Hypothèses!$B$27))</f>
        <v/>
      </c>
      <c r="M63" s="63">
        <f>L63*K63/1000000</f>
        <v/>
      </c>
      <c r="N63" s="64">
        <f>H63/3600/M63</f>
        <v/>
      </c>
      <c r="O63" s="60">
        <f>IF(N63&lt;=I63,"oui","NON")</f>
        <v/>
      </c>
      <c r="P63" s="63">
        <f>1.3*((L63/1000)*(K63/1000))^0.625/((L63/1000)+(K63/1000))^0.25</f>
        <v/>
      </c>
      <c r="Q63" s="65">
        <f>N63*P63/Hypothèses!$B$20</f>
        <v/>
      </c>
      <c r="R63" s="66">
        <f>0.25/(LOG10(Hypothèses!$B$21/(3.7*P63)+5.74/Q63^0.9))^2</f>
        <v/>
      </c>
      <c r="S63" s="64">
        <f>R63/P63*Hypothèses!$B$19*N63^2/2</f>
        <v/>
      </c>
      <c r="T63" s="62">
        <f>S63*G63*(1+Hypothèses!$B$22)</f>
        <v/>
      </c>
      <c r="U63" s="45" t="inlineStr">
        <is>
          <t>X</t>
        </is>
      </c>
      <c r="V63" s="60">
        <f>IF(K63&lt;=Hypothèses!$B$28-100,"oui","NON")</f>
        <v/>
      </c>
    </row>
    <row r="64" ht="15" customHeight="1" s="40">
      <c r="A64" s="60" t="inlineStr">
        <is>
          <t>CTA 1</t>
        </is>
      </c>
      <c r="B64" s="60" t="inlineStr">
        <is>
          <t>CTA1-R60</t>
        </is>
      </c>
      <c r="C64" s="60" t="inlineStr">
        <is>
          <t>N00</t>
        </is>
      </c>
      <c r="D64" s="60" t="inlineStr">
        <is>
          <t>Faux plafond couloir</t>
        </is>
      </c>
      <c r="E64" s="60" t="inlineStr">
        <is>
          <t>Reprise</t>
        </is>
      </c>
      <c r="F64" s="60" t="inlineStr">
        <is>
          <t>HEB01 chambre</t>
        </is>
      </c>
      <c r="G64" s="61" t="n">
        <v>3.633</v>
      </c>
      <c r="H64" s="46" t="n">
        <v>900</v>
      </c>
      <c r="I64" s="62">
        <f>IF(A64="CTA 5",MIN(INDEX(Hypothèses!$C$6:$C$16,MATCH(H64,Hypothèses!$A$6:$A$16,1)),Hypothèses!$B$30),INDEX(Hypothèses!$C$6:$C$16,MATCH(H64,Hypothèses!$A$6:$A$16,1)))</f>
        <v/>
      </c>
      <c r="J64" s="63">
        <f>H64/3600/I64</f>
        <v/>
      </c>
      <c r="K64" s="60">
        <f>IF(A64="CTA 4",Hypothèses!$B$25,IF(AND(A64="CTA 5",H64&gt;4000),Hypothèses!$B$29,IF(H64&lt;=2000,Hypothèses!$B$23,Hypothèses!$B$24)))</f>
        <v/>
      </c>
      <c r="L64" s="60">
        <f>MAX(Hypothèses!$B$26,CEILING(J64/(K64/1000)*1000,Hypothèses!$B$27))</f>
        <v/>
      </c>
      <c r="M64" s="63">
        <f>L64*K64/1000000</f>
        <v/>
      </c>
      <c r="N64" s="64">
        <f>H64/3600/M64</f>
        <v/>
      </c>
      <c r="O64" s="60">
        <f>IF(N64&lt;=I64,"oui","NON")</f>
        <v/>
      </c>
      <c r="P64" s="63">
        <f>1.3*((L64/1000)*(K64/1000))^0.625/((L64/1000)+(K64/1000))^0.25</f>
        <v/>
      </c>
      <c r="Q64" s="65">
        <f>N64*P64/Hypothèses!$B$20</f>
        <v/>
      </c>
      <c r="R64" s="66">
        <f>0.25/(LOG10(Hypothèses!$B$21/(3.7*P64)+5.74/Q64^0.9))^2</f>
        <v/>
      </c>
      <c r="S64" s="64">
        <f>R64/P64*Hypothèses!$B$19*N64^2/2</f>
        <v/>
      </c>
      <c r="T64" s="62">
        <f>S64*G64*(1+Hypothèses!$B$22)</f>
        <v/>
      </c>
      <c r="U64" s="45" t="inlineStr">
        <is>
          <t>X</t>
        </is>
      </c>
      <c r="V64" s="60">
        <f>IF(K64&lt;=Hypothèses!$B$28-100,"oui","NON")</f>
        <v/>
      </c>
    </row>
    <row r="65" ht="15" customHeight="1" s="40">
      <c r="A65" s="60" t="inlineStr">
        <is>
          <t>CTA 1</t>
        </is>
      </c>
      <c r="B65" s="60" t="inlineStr">
        <is>
          <t>CTA1-R61</t>
        </is>
      </c>
      <c r="C65" s="60" t="inlineStr">
        <is>
          <t>N00</t>
        </is>
      </c>
      <c r="D65" s="60" t="inlineStr">
        <is>
          <t>Faux plafond couloir</t>
        </is>
      </c>
      <c r="E65" s="60" t="inlineStr">
        <is>
          <t>Reprise</t>
        </is>
      </c>
      <c r="F65" s="60" t="inlineStr">
        <is>
          <t>HEB01 ch. couple</t>
        </is>
      </c>
      <c r="G65" s="61" t="n">
        <v>0.412</v>
      </c>
      <c r="H65" s="46" t="n">
        <v>810</v>
      </c>
      <c r="I65" s="62">
        <f>IF(A65="CTA 5",MIN(INDEX(Hypothèses!$C$6:$C$16,MATCH(H65,Hypothèses!$A$6:$A$16,1)),Hypothèses!$B$30),INDEX(Hypothèses!$C$6:$C$16,MATCH(H65,Hypothèses!$A$6:$A$16,1)))</f>
        <v/>
      </c>
      <c r="J65" s="63">
        <f>H65/3600/I65</f>
        <v/>
      </c>
      <c r="K65" s="60">
        <f>IF(A65="CTA 4",Hypothèses!$B$25,IF(AND(A65="CTA 5",H65&gt;4000),Hypothèses!$B$29,IF(H65&lt;=2000,Hypothèses!$B$23,Hypothèses!$B$24)))</f>
        <v/>
      </c>
      <c r="L65" s="60">
        <f>MAX(Hypothèses!$B$26,CEILING(J65/(K65/1000)*1000,Hypothèses!$B$27))</f>
        <v/>
      </c>
      <c r="M65" s="63">
        <f>L65*K65/1000000</f>
        <v/>
      </c>
      <c r="N65" s="64">
        <f>H65/3600/M65</f>
        <v/>
      </c>
      <c r="O65" s="60">
        <f>IF(N65&lt;=I65,"oui","NON")</f>
        <v/>
      </c>
      <c r="P65" s="63">
        <f>1.3*((L65/1000)*(K65/1000))^0.625/((L65/1000)+(K65/1000))^0.25</f>
        <v/>
      </c>
      <c r="Q65" s="65">
        <f>N65*P65/Hypothèses!$B$20</f>
        <v/>
      </c>
      <c r="R65" s="66">
        <f>0.25/(LOG10(Hypothèses!$B$21/(3.7*P65)+5.74/Q65^0.9))^2</f>
        <v/>
      </c>
      <c r="S65" s="64">
        <f>R65/P65*Hypothèses!$B$19*N65^2/2</f>
        <v/>
      </c>
      <c r="T65" s="62">
        <f>S65*G65*(1+Hypothèses!$B$22)</f>
        <v/>
      </c>
      <c r="U65" s="45" t="inlineStr">
        <is>
          <t>X</t>
        </is>
      </c>
      <c r="V65" s="60">
        <f>IF(K65&lt;=Hypothèses!$B$28-100,"oui","NON")</f>
        <v/>
      </c>
    </row>
    <row r="66" ht="15" customHeight="1" s="40">
      <c r="A66" s="60" t="inlineStr">
        <is>
          <t>CTA 1</t>
        </is>
      </c>
      <c r="B66" s="60" t="inlineStr">
        <is>
          <t>CTA1-R62</t>
        </is>
      </c>
      <c r="C66" s="60" t="inlineStr">
        <is>
          <t>N00</t>
        </is>
      </c>
      <c r="D66" s="60" t="inlineStr">
        <is>
          <t>Faux plafond couloir</t>
        </is>
      </c>
      <c r="E66" s="60" t="inlineStr">
        <is>
          <t>Reprise</t>
        </is>
      </c>
      <c r="F66" s="60" t="inlineStr">
        <is>
          <t>HEB01 ch. couple</t>
        </is>
      </c>
      <c r="G66" s="61" t="n">
        <v>4.159</v>
      </c>
      <c r="H66" s="46" t="n">
        <v>720</v>
      </c>
      <c r="I66" s="62">
        <f>IF(A66="CTA 5",MIN(INDEX(Hypothèses!$C$6:$C$16,MATCH(H66,Hypothèses!$A$6:$A$16,1)),Hypothèses!$B$30),INDEX(Hypothèses!$C$6:$C$16,MATCH(H66,Hypothèses!$A$6:$A$16,1)))</f>
        <v/>
      </c>
      <c r="J66" s="63">
        <f>H66/3600/I66</f>
        <v/>
      </c>
      <c r="K66" s="60">
        <f>IF(A66="CTA 4",Hypothèses!$B$25,IF(AND(A66="CTA 5",H66&gt;4000),Hypothèses!$B$29,IF(H66&lt;=2000,Hypothèses!$B$23,Hypothèses!$B$24)))</f>
        <v/>
      </c>
      <c r="L66" s="60">
        <f>MAX(Hypothèses!$B$26,CEILING(J66/(K66/1000)*1000,Hypothèses!$B$27))</f>
        <v/>
      </c>
      <c r="M66" s="63">
        <f>L66*K66/1000000</f>
        <v/>
      </c>
      <c r="N66" s="64">
        <f>H66/3600/M66</f>
        <v/>
      </c>
      <c r="O66" s="60">
        <f>IF(N66&lt;=I66,"oui","NON")</f>
        <v/>
      </c>
      <c r="P66" s="63">
        <f>1.3*((L66/1000)*(K66/1000))^0.625/((L66/1000)+(K66/1000))^0.25</f>
        <v/>
      </c>
      <c r="Q66" s="65">
        <f>N66*P66/Hypothèses!$B$20</f>
        <v/>
      </c>
      <c r="R66" s="66">
        <f>0.25/(LOG10(Hypothèses!$B$21/(3.7*P66)+5.74/Q66^0.9))^2</f>
        <v/>
      </c>
      <c r="S66" s="64">
        <f>R66/P66*Hypothèses!$B$19*N66^2/2</f>
        <v/>
      </c>
      <c r="T66" s="62">
        <f>S66*G66*(1+Hypothèses!$B$22)</f>
        <v/>
      </c>
      <c r="U66" s="45" t="inlineStr">
        <is>
          <t>X</t>
        </is>
      </c>
      <c r="V66" s="60">
        <f>IF(K66&lt;=Hypothèses!$B$28-100,"oui","NON")</f>
        <v/>
      </c>
    </row>
    <row r="67" ht="15" customHeight="1" s="40">
      <c r="A67" s="60" t="inlineStr">
        <is>
          <t>CTA 1</t>
        </is>
      </c>
      <c r="B67" s="60" t="inlineStr">
        <is>
          <t>CTA1-R63</t>
        </is>
      </c>
      <c r="C67" s="60" t="inlineStr">
        <is>
          <t>N00</t>
        </is>
      </c>
      <c r="D67" s="60" t="inlineStr">
        <is>
          <t>Faux plafond couloir</t>
        </is>
      </c>
      <c r="E67" s="60" t="inlineStr">
        <is>
          <t>Reprise</t>
        </is>
      </c>
      <c r="F67" s="60" t="inlineStr">
        <is>
          <t>HEB01 chambre</t>
        </is>
      </c>
      <c r="G67" s="61" t="n">
        <v>1.823</v>
      </c>
      <c r="H67" s="46" t="n">
        <v>720</v>
      </c>
      <c r="I67" s="62">
        <f>IF(A67="CTA 5",MIN(INDEX(Hypothèses!$C$6:$C$16,MATCH(H67,Hypothèses!$A$6:$A$16,1)),Hypothèses!$B$30),INDEX(Hypothèses!$C$6:$C$16,MATCH(H67,Hypothèses!$A$6:$A$16,1)))</f>
        <v/>
      </c>
      <c r="J67" s="63">
        <f>H67/3600/I67</f>
        <v/>
      </c>
      <c r="K67" s="60">
        <f>IF(A67="CTA 4",Hypothèses!$B$25,IF(AND(A67="CTA 5",H67&gt;4000),Hypothèses!$B$29,IF(H67&lt;=2000,Hypothèses!$B$23,Hypothèses!$B$24)))</f>
        <v/>
      </c>
      <c r="L67" s="60">
        <f>MAX(Hypothèses!$B$26,CEILING(J67/(K67/1000)*1000,Hypothèses!$B$27))</f>
        <v/>
      </c>
      <c r="M67" s="63">
        <f>L67*K67/1000000</f>
        <v/>
      </c>
      <c r="N67" s="64">
        <f>H67/3600/M67</f>
        <v/>
      </c>
      <c r="O67" s="60">
        <f>IF(N67&lt;=I67,"oui","NON")</f>
        <v/>
      </c>
      <c r="P67" s="63">
        <f>1.3*((L67/1000)*(K67/1000))^0.625/((L67/1000)+(K67/1000))^0.25</f>
        <v/>
      </c>
      <c r="Q67" s="65">
        <f>N67*P67/Hypothèses!$B$20</f>
        <v/>
      </c>
      <c r="R67" s="66">
        <f>0.25/(LOG10(Hypothèses!$B$21/(3.7*P67)+5.74/Q67^0.9))^2</f>
        <v/>
      </c>
      <c r="S67" s="64">
        <f>R67/P67*Hypothèses!$B$19*N67^2/2</f>
        <v/>
      </c>
      <c r="T67" s="62">
        <f>S67*G67*(1+Hypothèses!$B$22)</f>
        <v/>
      </c>
      <c r="U67" s="45" t="inlineStr">
        <is>
          <t>X</t>
        </is>
      </c>
      <c r="V67" s="60">
        <f>IF(K67&lt;=Hypothèses!$B$28-100,"oui","NON")</f>
        <v/>
      </c>
    </row>
    <row r="68" ht="15" customHeight="1" s="40">
      <c r="A68" s="60" t="inlineStr">
        <is>
          <t>CTA 1</t>
        </is>
      </c>
      <c r="B68" s="60" t="inlineStr">
        <is>
          <t>CTA1-R64</t>
        </is>
      </c>
      <c r="C68" s="60" t="inlineStr">
        <is>
          <t>N00</t>
        </is>
      </c>
      <c r="D68" s="60" t="inlineStr">
        <is>
          <t>Faux plafond couloir</t>
        </is>
      </c>
      <c r="E68" s="60" t="inlineStr">
        <is>
          <t>Reprise</t>
        </is>
      </c>
      <c r="F68" s="60" t="inlineStr">
        <is>
          <t>HEB01 chambre</t>
        </is>
      </c>
      <c r="G68" s="61" t="n">
        <v>2.927</v>
      </c>
      <c r="H68" s="46" t="n">
        <v>540</v>
      </c>
      <c r="I68" s="62">
        <f>IF(A68="CTA 5",MIN(INDEX(Hypothèses!$C$6:$C$16,MATCH(H68,Hypothèses!$A$6:$A$16,1)),Hypothèses!$B$30),INDEX(Hypothèses!$C$6:$C$16,MATCH(H68,Hypothèses!$A$6:$A$16,1)))</f>
        <v/>
      </c>
      <c r="J68" s="63">
        <f>H68/3600/I68</f>
        <v/>
      </c>
      <c r="K68" s="60">
        <f>IF(A68="CTA 4",Hypothèses!$B$25,IF(AND(A68="CTA 5",H68&gt;4000),Hypothèses!$B$29,IF(H68&lt;=2000,Hypothèses!$B$23,Hypothèses!$B$24)))</f>
        <v/>
      </c>
      <c r="L68" s="60">
        <f>MAX(Hypothèses!$B$26,CEILING(J68/(K68/1000)*1000,Hypothèses!$B$27))</f>
        <v/>
      </c>
      <c r="M68" s="63">
        <f>L68*K68/1000000</f>
        <v/>
      </c>
      <c r="N68" s="64">
        <f>H68/3600/M68</f>
        <v/>
      </c>
      <c r="O68" s="60">
        <f>IF(N68&lt;=I68,"oui","NON")</f>
        <v/>
      </c>
      <c r="P68" s="63">
        <f>1.3*((L68/1000)*(K68/1000))^0.625/((L68/1000)+(K68/1000))^0.25</f>
        <v/>
      </c>
      <c r="Q68" s="65">
        <f>N68*P68/Hypothèses!$B$20</f>
        <v/>
      </c>
      <c r="R68" s="66">
        <f>0.25/(LOG10(Hypothèses!$B$21/(3.7*P68)+5.74/Q68^0.9))^2</f>
        <v/>
      </c>
      <c r="S68" s="64">
        <f>R68/P68*Hypothèses!$B$19*N68^2/2</f>
        <v/>
      </c>
      <c r="T68" s="62">
        <f>S68*G68*(1+Hypothèses!$B$22)</f>
        <v/>
      </c>
      <c r="U68" s="45" t="inlineStr">
        <is>
          <t>X</t>
        </is>
      </c>
      <c r="V68" s="60">
        <f>IF(K68&lt;=Hypothèses!$B$28-100,"oui","NON")</f>
        <v/>
      </c>
    </row>
    <row r="69" ht="15" customHeight="1" s="40">
      <c r="A69" s="60" t="inlineStr">
        <is>
          <t>CTA 1</t>
        </is>
      </c>
      <c r="B69" s="60" t="inlineStr">
        <is>
          <t>CTA1-R65</t>
        </is>
      </c>
      <c r="C69" s="60" t="inlineStr">
        <is>
          <t>N00</t>
        </is>
      </c>
      <c r="D69" s="60" t="inlineStr">
        <is>
          <t>Faux plafond couloir</t>
        </is>
      </c>
      <c r="E69" s="60" t="inlineStr">
        <is>
          <t>Reprise</t>
        </is>
      </c>
      <c r="F69" s="60" t="inlineStr">
        <is>
          <t>HEB01 chambre</t>
        </is>
      </c>
      <c r="G69" s="61" t="n">
        <v>1.542</v>
      </c>
      <c r="H69" s="46" t="n">
        <v>540</v>
      </c>
      <c r="I69" s="62">
        <f>IF(A69="CTA 5",MIN(INDEX(Hypothèses!$C$6:$C$16,MATCH(H69,Hypothèses!$A$6:$A$16,1)),Hypothèses!$B$30),INDEX(Hypothèses!$C$6:$C$16,MATCH(H69,Hypothèses!$A$6:$A$16,1)))</f>
        <v/>
      </c>
      <c r="J69" s="63">
        <f>H69/3600/I69</f>
        <v/>
      </c>
      <c r="K69" s="60">
        <f>IF(A69="CTA 4",Hypothèses!$B$25,IF(AND(A69="CTA 5",H69&gt;4000),Hypothèses!$B$29,IF(H69&lt;=2000,Hypothèses!$B$23,Hypothèses!$B$24)))</f>
        <v/>
      </c>
      <c r="L69" s="60">
        <f>MAX(Hypothèses!$B$26,CEILING(J69/(K69/1000)*1000,Hypothèses!$B$27))</f>
        <v/>
      </c>
      <c r="M69" s="63">
        <f>L69*K69/1000000</f>
        <v/>
      </c>
      <c r="N69" s="64">
        <f>H69/3600/M69</f>
        <v/>
      </c>
      <c r="O69" s="60">
        <f>IF(N69&lt;=I69,"oui","NON")</f>
        <v/>
      </c>
      <c r="P69" s="63">
        <f>1.3*((L69/1000)*(K69/1000))^0.625/((L69/1000)+(K69/1000))^0.25</f>
        <v/>
      </c>
      <c r="Q69" s="65">
        <f>N69*P69/Hypothèses!$B$20</f>
        <v/>
      </c>
      <c r="R69" s="66">
        <f>0.25/(LOG10(Hypothèses!$B$21/(3.7*P69)+5.74/Q69^0.9))^2</f>
        <v/>
      </c>
      <c r="S69" s="64">
        <f>R69/P69*Hypothèses!$B$19*N69^2/2</f>
        <v/>
      </c>
      <c r="T69" s="62">
        <f>S69*G69*(1+Hypothèses!$B$22)</f>
        <v/>
      </c>
      <c r="U69" s="45" t="inlineStr">
        <is>
          <t>X</t>
        </is>
      </c>
      <c r="V69" s="60">
        <f>IF(K69&lt;=Hypothèses!$B$28-100,"oui","NON")</f>
        <v/>
      </c>
    </row>
    <row r="70" ht="15" customHeight="1" s="40">
      <c r="A70" s="60" t="inlineStr">
        <is>
          <t>CTA 1</t>
        </is>
      </c>
      <c r="B70" s="60" t="inlineStr">
        <is>
          <t>CTA1-R66</t>
        </is>
      </c>
      <c r="C70" s="60" t="inlineStr">
        <is>
          <t>N00</t>
        </is>
      </c>
      <c r="D70" s="60" t="inlineStr">
        <is>
          <t>Faux plafond couloir</t>
        </is>
      </c>
      <c r="E70" s="60" t="inlineStr">
        <is>
          <t>Reprise</t>
        </is>
      </c>
      <c r="F70" s="60" t="inlineStr">
        <is>
          <t>HEB01 chambre</t>
        </is>
      </c>
      <c r="G70" s="61" t="n">
        <v>2.192</v>
      </c>
      <c r="H70" s="46" t="n">
        <v>450</v>
      </c>
      <c r="I70" s="62">
        <f>IF(A70="CTA 5",MIN(INDEX(Hypothèses!$C$6:$C$16,MATCH(H70,Hypothèses!$A$6:$A$16,1)),Hypothèses!$B$30),INDEX(Hypothèses!$C$6:$C$16,MATCH(H70,Hypothèses!$A$6:$A$16,1)))</f>
        <v/>
      </c>
      <c r="J70" s="63">
        <f>H70/3600/I70</f>
        <v/>
      </c>
      <c r="K70" s="60">
        <f>IF(A70="CTA 4",Hypothèses!$B$25,IF(AND(A70="CTA 5",H70&gt;4000),Hypothèses!$B$29,IF(H70&lt;=2000,Hypothèses!$B$23,Hypothèses!$B$24)))</f>
        <v/>
      </c>
      <c r="L70" s="60">
        <f>MAX(Hypothèses!$B$26,CEILING(J70/(K70/1000)*1000,Hypothèses!$B$27))</f>
        <v/>
      </c>
      <c r="M70" s="63">
        <f>L70*K70/1000000</f>
        <v/>
      </c>
      <c r="N70" s="64">
        <f>H70/3600/M70</f>
        <v/>
      </c>
      <c r="O70" s="60">
        <f>IF(N70&lt;=I70,"oui","NON")</f>
        <v/>
      </c>
      <c r="P70" s="63">
        <f>1.3*((L70/1000)*(K70/1000))^0.625/((L70/1000)+(K70/1000))^0.25</f>
        <v/>
      </c>
      <c r="Q70" s="65">
        <f>N70*P70/Hypothèses!$B$20</f>
        <v/>
      </c>
      <c r="R70" s="66">
        <f>0.25/(LOG10(Hypothèses!$B$21/(3.7*P70)+5.74/Q70^0.9))^2</f>
        <v/>
      </c>
      <c r="S70" s="64">
        <f>R70/P70*Hypothèses!$B$19*N70^2/2</f>
        <v/>
      </c>
      <c r="T70" s="62">
        <f>S70*G70*(1+Hypothèses!$B$22)</f>
        <v/>
      </c>
      <c r="U70" s="45" t="inlineStr">
        <is>
          <t>X</t>
        </is>
      </c>
      <c r="V70" s="60">
        <f>IF(K70&lt;=Hypothèses!$B$28-100,"oui","NON")</f>
        <v/>
      </c>
    </row>
    <row r="71" ht="15" customHeight="1" s="40">
      <c r="A71" s="60" t="inlineStr">
        <is>
          <t>CTA 1</t>
        </is>
      </c>
      <c r="B71" s="60" t="inlineStr">
        <is>
          <t>CTA1-R67</t>
        </is>
      </c>
      <c r="C71" s="60" t="inlineStr">
        <is>
          <t>N00</t>
        </is>
      </c>
      <c r="D71" s="60" t="inlineStr">
        <is>
          <t>Faux plafond couloir</t>
        </is>
      </c>
      <c r="E71" s="60" t="inlineStr">
        <is>
          <t>Reprise</t>
        </is>
      </c>
      <c r="F71" s="60" t="inlineStr">
        <is>
          <t>HEB01 chambre</t>
        </is>
      </c>
      <c r="G71" s="61" t="n">
        <v>1.57</v>
      </c>
      <c r="H71" s="46" t="n">
        <v>270</v>
      </c>
      <c r="I71" s="62">
        <f>IF(A71="CTA 5",MIN(INDEX(Hypothèses!$C$6:$C$16,MATCH(H71,Hypothèses!$A$6:$A$16,1)),Hypothèses!$B$30),INDEX(Hypothèses!$C$6:$C$16,MATCH(H71,Hypothèses!$A$6:$A$16,1)))</f>
        <v/>
      </c>
      <c r="J71" s="63">
        <f>H71/3600/I71</f>
        <v/>
      </c>
      <c r="K71" s="60">
        <f>IF(A71="CTA 4",Hypothèses!$B$25,IF(AND(A71="CTA 5",H71&gt;4000),Hypothèses!$B$29,IF(H71&lt;=2000,Hypothèses!$B$23,Hypothèses!$B$24)))</f>
        <v/>
      </c>
      <c r="L71" s="60">
        <f>MAX(Hypothèses!$B$26,CEILING(J71/(K71/1000)*1000,Hypothèses!$B$27))</f>
        <v/>
      </c>
      <c r="M71" s="63">
        <f>L71*K71/1000000</f>
        <v/>
      </c>
      <c r="N71" s="64">
        <f>H71/3600/M71</f>
        <v/>
      </c>
      <c r="O71" s="60">
        <f>IF(N71&lt;=I71,"oui","NON")</f>
        <v/>
      </c>
      <c r="P71" s="63">
        <f>1.3*((L71/1000)*(K71/1000))^0.625/((L71/1000)+(K71/1000))^0.25</f>
        <v/>
      </c>
      <c r="Q71" s="65">
        <f>N71*P71/Hypothèses!$B$20</f>
        <v/>
      </c>
      <c r="R71" s="66">
        <f>0.25/(LOG10(Hypothèses!$B$21/(3.7*P71)+5.74/Q71^0.9))^2</f>
        <v/>
      </c>
      <c r="S71" s="64">
        <f>R71/P71*Hypothèses!$B$19*N71^2/2</f>
        <v/>
      </c>
      <c r="T71" s="62">
        <f>S71*G71*(1+Hypothèses!$B$22)</f>
        <v/>
      </c>
      <c r="U71" s="45" t="inlineStr">
        <is>
          <t>X</t>
        </is>
      </c>
      <c r="V71" s="60">
        <f>IF(K71&lt;=Hypothèses!$B$28-100,"oui","NON")</f>
        <v/>
      </c>
    </row>
    <row r="72" ht="15" customHeight="1" s="40">
      <c r="A72" s="60" t="inlineStr">
        <is>
          <t>CTA 1</t>
        </is>
      </c>
      <c r="B72" s="60" t="inlineStr">
        <is>
          <t>CTA1-R68</t>
        </is>
      </c>
      <c r="C72" s="60" t="inlineStr">
        <is>
          <t>N00</t>
        </is>
      </c>
      <c r="D72" s="60" t="inlineStr">
        <is>
          <t>Faux plafond couloir</t>
        </is>
      </c>
      <c r="E72" s="60" t="inlineStr">
        <is>
          <t>Reprise</t>
        </is>
      </c>
      <c r="F72" s="60" t="inlineStr">
        <is>
          <t>HEB01 chambre</t>
        </is>
      </c>
      <c r="G72" s="61" t="n">
        <v>2.838</v>
      </c>
      <c r="H72" s="46" t="n">
        <v>180</v>
      </c>
      <c r="I72" s="62">
        <f>IF(A72="CTA 5",MIN(INDEX(Hypothèses!$C$6:$C$16,MATCH(H72,Hypothèses!$A$6:$A$16,1)),Hypothèses!$B$30),INDEX(Hypothèses!$C$6:$C$16,MATCH(H72,Hypothèses!$A$6:$A$16,1)))</f>
        <v/>
      </c>
      <c r="J72" s="63">
        <f>H72/3600/I72</f>
        <v/>
      </c>
      <c r="K72" s="60">
        <f>IF(A72="CTA 4",Hypothèses!$B$25,IF(AND(A72="CTA 5",H72&gt;4000),Hypothèses!$B$29,IF(H72&lt;=2000,Hypothèses!$B$23,Hypothèses!$B$24)))</f>
        <v/>
      </c>
      <c r="L72" s="60">
        <f>MAX(Hypothèses!$B$26,CEILING(J72/(K72/1000)*1000,Hypothèses!$B$27))</f>
        <v/>
      </c>
      <c r="M72" s="63">
        <f>L72*K72/1000000</f>
        <v/>
      </c>
      <c r="N72" s="64">
        <f>H72/3600/M72</f>
        <v/>
      </c>
      <c r="O72" s="60">
        <f>IF(N72&lt;=I72,"oui","NON")</f>
        <v/>
      </c>
      <c r="P72" s="63">
        <f>1.3*((L72/1000)*(K72/1000))^0.625/((L72/1000)+(K72/1000))^0.25</f>
        <v/>
      </c>
      <c r="Q72" s="65">
        <f>N72*P72/Hypothèses!$B$20</f>
        <v/>
      </c>
      <c r="R72" s="66">
        <f>0.25/(LOG10(Hypothèses!$B$21/(3.7*P72)+5.74/Q72^0.9))^2</f>
        <v/>
      </c>
      <c r="S72" s="64">
        <f>R72/P72*Hypothèses!$B$19*N72^2/2</f>
        <v/>
      </c>
      <c r="T72" s="62">
        <f>S72*G72*(1+Hypothèses!$B$22)</f>
        <v/>
      </c>
      <c r="U72" s="45" t="inlineStr">
        <is>
          <t>X</t>
        </is>
      </c>
      <c r="V72" s="60">
        <f>IF(K72&lt;=Hypothèses!$B$28-100,"oui","NON")</f>
        <v/>
      </c>
    </row>
    <row r="73" ht="15" customHeight="1" s="40">
      <c r="A73" s="60" t="inlineStr">
        <is>
          <t>CTA 1</t>
        </is>
      </c>
      <c r="B73" s="60" t="inlineStr">
        <is>
          <t>CTA1-R69</t>
        </is>
      </c>
      <c r="C73" s="60" t="inlineStr">
        <is>
          <t>N00</t>
        </is>
      </c>
      <c r="D73" s="60" t="inlineStr">
        <is>
          <t>Faux plafond couloir</t>
        </is>
      </c>
      <c r="E73" s="60" t="inlineStr">
        <is>
          <t>Reprise</t>
        </is>
      </c>
      <c r="F73" s="60" t="inlineStr">
        <is>
          <t>HEB01 chambre</t>
        </is>
      </c>
      <c r="G73" s="61" t="n">
        <v>1.634</v>
      </c>
      <c r="H73" s="46" t="n">
        <v>180</v>
      </c>
      <c r="I73" s="62">
        <f>IF(A73="CTA 5",MIN(INDEX(Hypothèses!$C$6:$C$16,MATCH(H73,Hypothèses!$A$6:$A$16,1)),Hypothèses!$B$30),INDEX(Hypothèses!$C$6:$C$16,MATCH(H73,Hypothèses!$A$6:$A$16,1)))</f>
        <v/>
      </c>
      <c r="J73" s="63">
        <f>H73/3600/I73</f>
        <v/>
      </c>
      <c r="K73" s="60">
        <f>IF(A73="CTA 4",Hypothèses!$B$25,IF(AND(A73="CTA 5",H73&gt;4000),Hypothèses!$B$29,IF(H73&lt;=2000,Hypothèses!$B$23,Hypothèses!$B$24)))</f>
        <v/>
      </c>
      <c r="L73" s="60">
        <f>MAX(Hypothèses!$B$26,CEILING(J73/(K73/1000)*1000,Hypothèses!$B$27))</f>
        <v/>
      </c>
      <c r="M73" s="63">
        <f>L73*K73/1000000</f>
        <v/>
      </c>
      <c r="N73" s="64">
        <f>H73/3600/M73</f>
        <v/>
      </c>
      <c r="O73" s="60">
        <f>IF(N73&lt;=I73,"oui","NON")</f>
        <v/>
      </c>
      <c r="P73" s="63">
        <f>1.3*((L73/1000)*(K73/1000))^0.625/((L73/1000)+(K73/1000))^0.25</f>
        <v/>
      </c>
      <c r="Q73" s="65">
        <f>N73*P73/Hypothèses!$B$20</f>
        <v/>
      </c>
      <c r="R73" s="66">
        <f>0.25/(LOG10(Hypothèses!$B$21/(3.7*P73)+5.74/Q73^0.9))^2</f>
        <v/>
      </c>
      <c r="S73" s="64">
        <f>R73/P73*Hypothèses!$B$19*N73^2/2</f>
        <v/>
      </c>
      <c r="T73" s="62">
        <f>S73*G73*(1+Hypothèses!$B$22)</f>
        <v/>
      </c>
      <c r="U73" s="45" t="inlineStr">
        <is>
          <t>X</t>
        </is>
      </c>
      <c r="V73" s="60">
        <f>IF(K73&lt;=Hypothèses!$B$28-100,"oui","NON")</f>
        <v/>
      </c>
    </row>
    <row r="74" ht="15" customHeight="1" s="40">
      <c r="A74" s="60" t="inlineStr">
        <is>
          <t>CTA 1</t>
        </is>
      </c>
      <c r="B74" s="60" t="inlineStr">
        <is>
          <t>CTA1-R70</t>
        </is>
      </c>
      <c r="C74" s="60" t="inlineStr">
        <is>
          <t>N00</t>
        </is>
      </c>
      <c r="D74" s="60" t="inlineStr">
        <is>
          <t>Faux plafond couloir</t>
        </is>
      </c>
      <c r="E74" s="60" t="inlineStr">
        <is>
          <t>Reprise</t>
        </is>
      </c>
      <c r="F74" s="60" t="n"/>
      <c r="G74" s="61" t="n">
        <v>1.577</v>
      </c>
      <c r="H74" s="46" t="n">
        <v>90</v>
      </c>
      <c r="I74" s="62">
        <f>IF(A74="CTA 5",MIN(INDEX(Hypothèses!$C$6:$C$16,MATCH(H74,Hypothèses!$A$6:$A$16,1)),Hypothèses!$B$30),INDEX(Hypothèses!$C$6:$C$16,MATCH(H74,Hypothèses!$A$6:$A$16,1)))</f>
        <v/>
      </c>
      <c r="J74" s="63">
        <f>H74/3600/I74</f>
        <v/>
      </c>
      <c r="K74" s="60">
        <f>IF(A74="CTA 4",Hypothèses!$B$25,IF(AND(A74="CTA 5",H74&gt;4000),Hypothèses!$B$29,IF(H74&lt;=2000,Hypothèses!$B$23,Hypothèses!$B$24)))</f>
        <v/>
      </c>
      <c r="L74" s="60">
        <f>MAX(Hypothèses!$B$26,CEILING(J74/(K74/1000)*1000,Hypothèses!$B$27))</f>
        <v/>
      </c>
      <c r="M74" s="63">
        <f>L74*K74/1000000</f>
        <v/>
      </c>
      <c r="N74" s="64">
        <f>H74/3600/M74</f>
        <v/>
      </c>
      <c r="O74" s="60">
        <f>IF(N74&lt;=I74,"oui","NON")</f>
        <v/>
      </c>
      <c r="P74" s="63">
        <f>1.3*((L74/1000)*(K74/1000))^0.625/((L74/1000)+(K74/1000))^0.25</f>
        <v/>
      </c>
      <c r="Q74" s="65">
        <f>N74*P74/Hypothèses!$B$20</f>
        <v/>
      </c>
      <c r="R74" s="66">
        <f>0.25/(LOG10(Hypothèses!$B$21/(3.7*P74)+5.74/Q74^0.9))^2</f>
        <v/>
      </c>
      <c r="S74" s="64">
        <f>R74/P74*Hypothèses!$B$19*N74^2/2</f>
        <v/>
      </c>
      <c r="T74" s="62">
        <f>S74*G74*(1+Hypothèses!$B$22)</f>
        <v/>
      </c>
      <c r="U74" s="45" t="inlineStr">
        <is>
          <t>X</t>
        </is>
      </c>
      <c r="V74" s="60">
        <f>IF(K74&lt;=Hypothèses!$B$28-100,"oui","NON")</f>
        <v/>
      </c>
    </row>
    <row r="75" ht="15" customHeight="1" s="40">
      <c r="A75" s="60" t="inlineStr">
        <is>
          <t>CTA 2</t>
        </is>
      </c>
      <c r="B75" s="60" t="inlineStr">
        <is>
          <t>CTA2-S01</t>
        </is>
      </c>
      <c r="C75" s="60" t="inlineStr">
        <is>
          <t>Toiture</t>
        </is>
      </c>
      <c r="D75" s="60" t="inlineStr">
        <is>
          <t>Toiture (CTA → descente)</t>
        </is>
      </c>
      <c r="E75" s="60" t="inlineStr">
        <is>
          <t>Soufflage</t>
        </is>
      </c>
      <c r="F75" s="60" t="inlineStr">
        <is>
          <t>Sortie CTA → descente (trémie en toiture)</t>
        </is>
      </c>
      <c r="G75" s="61" t="n">
        <v>2.2</v>
      </c>
      <c r="H75" s="46" t="n">
        <v>2430</v>
      </c>
      <c r="I75" s="62">
        <f>IF(A75="CTA 5",MIN(INDEX(Hypothèses!$C$6:$C$16,MATCH(H75,Hypothèses!$A$6:$A$16,1)),Hypothèses!$B$30),INDEX(Hypothèses!$C$6:$C$16,MATCH(H75,Hypothèses!$A$6:$A$16,1)))</f>
        <v/>
      </c>
      <c r="J75" s="63">
        <f>H75/3600/I75</f>
        <v/>
      </c>
      <c r="K75" s="60">
        <f>IF(A75="CTA 4",Hypothèses!$B$25,IF(AND(A75="CTA 5",H75&gt;4000),Hypothèses!$B$29,IF(H75&lt;=2000,Hypothèses!$B$23,Hypothèses!$B$24)))</f>
        <v/>
      </c>
      <c r="L75" s="60">
        <f>MAX(Hypothèses!$B$26,CEILING(J75/(K75/1000)*1000,Hypothèses!$B$27))</f>
        <v/>
      </c>
      <c r="M75" s="63">
        <f>L75*K75/1000000</f>
        <v/>
      </c>
      <c r="N75" s="64">
        <f>H75/3600/M75</f>
        <v/>
      </c>
      <c r="O75" s="60">
        <f>IF(N75&lt;=I75,"oui","NON")</f>
        <v/>
      </c>
      <c r="P75" s="63">
        <f>1.3*((L75/1000)*(K75/1000))^0.625/((L75/1000)+(K75/1000))^0.25</f>
        <v/>
      </c>
      <c r="Q75" s="65">
        <f>N75*P75/Hypothèses!$B$20</f>
        <v/>
      </c>
      <c r="R75" s="66">
        <f>0.25/(LOG10(Hypothèses!$B$21/(3.7*P75)+5.74/Q75^0.9))^2</f>
        <v/>
      </c>
      <c r="S75" s="64">
        <f>R75/P75*Hypothèses!$B$19*N75^2/2</f>
        <v/>
      </c>
      <c r="T75" s="62">
        <f>S75*G75*(1+Hypothèses!$B$22)</f>
        <v/>
      </c>
      <c r="U75" s="45" t="inlineStr">
        <is>
          <t>X</t>
        </is>
      </c>
      <c r="V75" s="60" t="inlineStr">
        <is>
          <t>–</t>
        </is>
      </c>
    </row>
    <row r="76" ht="15" customHeight="1" s="40">
      <c r="A76" s="60" t="inlineStr">
        <is>
          <t>CTA 2</t>
        </is>
      </c>
      <c r="B76" s="60" t="inlineStr">
        <is>
          <t>CTA2-S02</t>
        </is>
      </c>
      <c r="C76" s="60" t="inlineStr">
        <is>
          <t>N01</t>
        </is>
      </c>
      <c r="D76" s="60" t="inlineStr">
        <is>
          <t>Descente verticale</t>
        </is>
      </c>
      <c r="E76" s="60" t="inlineStr">
        <is>
          <t>Soufflage</t>
        </is>
      </c>
      <c r="F76" s="60" t="inlineStr">
        <is>
          <t>Gaine verticale : toiture → plénum étage</t>
        </is>
      </c>
      <c r="G76" s="61" t="n">
        <v>1.53</v>
      </c>
      <c r="H76" s="46" t="n">
        <v>2430</v>
      </c>
      <c r="I76" s="62">
        <f>IF(A76="CTA 5",MIN(INDEX(Hypothèses!$C$6:$C$16,MATCH(H76,Hypothèses!$A$6:$A$16,1)),Hypothèses!$B$30),INDEX(Hypothèses!$C$6:$C$16,MATCH(H76,Hypothèses!$A$6:$A$16,1)))</f>
        <v/>
      </c>
      <c r="J76" s="63">
        <f>H76/3600/I76</f>
        <v/>
      </c>
      <c r="K76" s="60">
        <f>IF(A76="CTA 4",Hypothèses!$B$25,IF(AND(A76="CTA 5",H76&gt;4000),Hypothèses!$B$29,IF(H76&lt;=2000,Hypothèses!$B$23,Hypothèses!$B$24)))</f>
        <v/>
      </c>
      <c r="L76" s="60">
        <f>MAX(Hypothèses!$B$26,CEILING(J76/(K76/1000)*1000,Hypothèses!$B$27))</f>
        <v/>
      </c>
      <c r="M76" s="63">
        <f>L76*K76/1000000</f>
        <v/>
      </c>
      <c r="N76" s="64">
        <f>H76/3600/M76</f>
        <v/>
      </c>
      <c r="O76" s="60">
        <f>IF(N76&lt;=I76,"oui","NON")</f>
        <v/>
      </c>
      <c r="P76" s="63">
        <f>1.3*((L76/1000)*(K76/1000))^0.625/((L76/1000)+(K76/1000))^0.25</f>
        <v/>
      </c>
      <c r="Q76" s="65">
        <f>N76*P76/Hypothèses!$B$20</f>
        <v/>
      </c>
      <c r="R76" s="66">
        <f>0.25/(LOG10(Hypothèses!$B$21/(3.7*P76)+5.74/Q76^0.9))^2</f>
        <v/>
      </c>
      <c r="S76" s="64">
        <f>R76/P76*Hypothèses!$B$19*N76^2/2</f>
        <v/>
      </c>
      <c r="T76" s="62">
        <f>S76*G76*(1+Hypothèses!$B$22)</f>
        <v/>
      </c>
      <c r="U76" s="45" t="inlineStr">
        <is>
          <t>X</t>
        </is>
      </c>
      <c r="V76" s="60" t="inlineStr">
        <is>
          <t>–</t>
        </is>
      </c>
    </row>
    <row r="77" ht="15" customHeight="1" s="40">
      <c r="A77" s="60" t="inlineStr">
        <is>
          <t>CTA 2</t>
        </is>
      </c>
      <c r="B77" s="60" t="inlineStr">
        <is>
          <t>CTA2-S03</t>
        </is>
      </c>
      <c r="C77" s="60" t="inlineStr">
        <is>
          <t>N00</t>
        </is>
      </c>
      <c r="D77" s="60" t="inlineStr">
        <is>
          <t>Descente verticale</t>
        </is>
      </c>
      <c r="E77" s="60" t="inlineStr">
        <is>
          <t>Soufflage</t>
        </is>
      </c>
      <c r="F77" s="60" t="inlineStr">
        <is>
          <t>Gaine verticale : étage → plénum RDC</t>
        </is>
      </c>
      <c r="G77" s="61" t="n">
        <v>3.36</v>
      </c>
      <c r="H77" s="46" t="n">
        <v>1260</v>
      </c>
      <c r="I77" s="62">
        <f>IF(A77="CTA 5",MIN(INDEX(Hypothèses!$C$6:$C$16,MATCH(H77,Hypothèses!$A$6:$A$16,1)),Hypothèses!$B$30),INDEX(Hypothèses!$C$6:$C$16,MATCH(H77,Hypothèses!$A$6:$A$16,1)))</f>
        <v/>
      </c>
      <c r="J77" s="63">
        <f>H77/3600/I77</f>
        <v/>
      </c>
      <c r="K77" s="60">
        <f>IF(A77="CTA 4",Hypothèses!$B$25,IF(AND(A77="CTA 5",H77&gt;4000),Hypothèses!$B$29,IF(H77&lt;=2000,Hypothèses!$B$23,Hypothèses!$B$24)))</f>
        <v/>
      </c>
      <c r="L77" s="60">
        <f>MAX(Hypothèses!$B$26,CEILING(J77/(K77/1000)*1000,Hypothèses!$B$27))</f>
        <v/>
      </c>
      <c r="M77" s="63">
        <f>L77*K77/1000000</f>
        <v/>
      </c>
      <c r="N77" s="64">
        <f>H77/3600/M77</f>
        <v/>
      </c>
      <c r="O77" s="60">
        <f>IF(N77&lt;=I77,"oui","NON")</f>
        <v/>
      </c>
      <c r="P77" s="63">
        <f>1.3*((L77/1000)*(K77/1000))^0.625/((L77/1000)+(K77/1000))^0.25</f>
        <v/>
      </c>
      <c r="Q77" s="65">
        <f>N77*P77/Hypothèses!$B$20</f>
        <v/>
      </c>
      <c r="R77" s="66">
        <f>0.25/(LOG10(Hypothèses!$B$21/(3.7*P77)+5.74/Q77^0.9))^2</f>
        <v/>
      </c>
      <c r="S77" s="64">
        <f>R77/P77*Hypothèses!$B$19*N77^2/2</f>
        <v/>
      </c>
      <c r="T77" s="62">
        <f>S77*G77*(1+Hypothèses!$B$22)</f>
        <v/>
      </c>
      <c r="U77" s="45" t="inlineStr">
        <is>
          <t>X</t>
        </is>
      </c>
      <c r="V77" s="60" t="inlineStr">
        <is>
          <t>–</t>
        </is>
      </c>
    </row>
    <row r="78" ht="15" customHeight="1" s="40">
      <c r="A78" s="60" t="inlineStr">
        <is>
          <t>CTA 2</t>
        </is>
      </c>
      <c r="B78" s="60" t="inlineStr">
        <is>
          <t>CTA2-S04</t>
        </is>
      </c>
      <c r="C78" s="60" t="inlineStr">
        <is>
          <t>N01</t>
        </is>
      </c>
      <c r="D78" s="60" t="inlineStr">
        <is>
          <t>Faux plafond couloir</t>
        </is>
      </c>
      <c r="E78" s="60" t="inlineStr">
        <is>
          <t>Soufflage</t>
        </is>
      </c>
      <c r="F78" s="60" t="n"/>
      <c r="G78" s="61" t="n">
        <v>2.45</v>
      </c>
      <c r="H78" s="46" t="n">
        <v>1170</v>
      </c>
      <c r="I78" s="62">
        <f>IF(A78="CTA 5",MIN(INDEX(Hypothèses!$C$6:$C$16,MATCH(H78,Hypothèses!$A$6:$A$16,1)),Hypothèses!$B$30),INDEX(Hypothèses!$C$6:$C$16,MATCH(H78,Hypothèses!$A$6:$A$16,1)))</f>
        <v/>
      </c>
      <c r="J78" s="63">
        <f>H78/3600/I78</f>
        <v/>
      </c>
      <c r="K78" s="60">
        <f>IF(A78="CTA 4",Hypothèses!$B$25,IF(AND(A78="CTA 5",H78&gt;4000),Hypothèses!$B$29,IF(H78&lt;=2000,Hypothèses!$B$23,Hypothèses!$B$24)))</f>
        <v/>
      </c>
      <c r="L78" s="60">
        <f>MAX(Hypothèses!$B$26,CEILING(J78/(K78/1000)*1000,Hypothèses!$B$27))</f>
        <v/>
      </c>
      <c r="M78" s="63">
        <f>L78*K78/1000000</f>
        <v/>
      </c>
      <c r="N78" s="64">
        <f>H78/3600/M78</f>
        <v/>
      </c>
      <c r="O78" s="60">
        <f>IF(N78&lt;=I78,"oui","NON")</f>
        <v/>
      </c>
      <c r="P78" s="63">
        <f>1.3*((L78/1000)*(K78/1000))^0.625/((L78/1000)+(K78/1000))^0.25</f>
        <v/>
      </c>
      <c r="Q78" s="65">
        <f>N78*P78/Hypothèses!$B$20</f>
        <v/>
      </c>
      <c r="R78" s="66">
        <f>0.25/(LOG10(Hypothèses!$B$21/(3.7*P78)+5.74/Q78^0.9))^2</f>
        <v/>
      </c>
      <c r="S78" s="64">
        <f>R78/P78*Hypothèses!$B$19*N78^2/2</f>
        <v/>
      </c>
      <c r="T78" s="62">
        <f>S78*G78*(1+Hypothèses!$B$22)</f>
        <v/>
      </c>
      <c r="U78" s="45" t="n"/>
      <c r="V78" s="60">
        <f>IF(K78&lt;=Hypothèses!$B$28-100,"oui","NON")</f>
        <v/>
      </c>
    </row>
    <row r="79" ht="15" customHeight="1" s="40">
      <c r="A79" s="60" t="inlineStr">
        <is>
          <t>CTA 2</t>
        </is>
      </c>
      <c r="B79" s="60" t="inlineStr">
        <is>
          <t>CTA2-S05</t>
        </is>
      </c>
      <c r="C79" s="60" t="inlineStr">
        <is>
          <t>N01</t>
        </is>
      </c>
      <c r="D79" s="60" t="inlineStr">
        <is>
          <t>Faux plafond couloir</t>
        </is>
      </c>
      <c r="E79" s="60" t="inlineStr">
        <is>
          <t>Soufflage</t>
        </is>
      </c>
      <c r="F79" s="60" t="inlineStr">
        <is>
          <t>HEB01 ch. bariatrique</t>
        </is>
      </c>
      <c r="G79" s="61" t="n">
        <v>1.3</v>
      </c>
      <c r="H79" s="46" t="n">
        <v>1170</v>
      </c>
      <c r="I79" s="62">
        <f>IF(A79="CTA 5",MIN(INDEX(Hypothèses!$C$6:$C$16,MATCH(H79,Hypothèses!$A$6:$A$16,1)),Hypothèses!$B$30),INDEX(Hypothèses!$C$6:$C$16,MATCH(H79,Hypothèses!$A$6:$A$16,1)))</f>
        <v/>
      </c>
      <c r="J79" s="63">
        <f>H79/3600/I79</f>
        <v/>
      </c>
      <c r="K79" s="60">
        <f>IF(A79="CTA 4",Hypothèses!$B$25,IF(AND(A79="CTA 5",H79&gt;4000),Hypothèses!$B$29,IF(H79&lt;=2000,Hypothèses!$B$23,Hypothèses!$B$24)))</f>
        <v/>
      </c>
      <c r="L79" s="60">
        <f>MAX(Hypothèses!$B$26,CEILING(J79/(K79/1000)*1000,Hypothèses!$B$27))</f>
        <v/>
      </c>
      <c r="M79" s="63">
        <f>L79*K79/1000000</f>
        <v/>
      </c>
      <c r="N79" s="64">
        <f>H79/3600/M79</f>
        <v/>
      </c>
      <c r="O79" s="60">
        <f>IF(N79&lt;=I79,"oui","NON")</f>
        <v/>
      </c>
      <c r="P79" s="63">
        <f>1.3*((L79/1000)*(K79/1000))^0.625/((L79/1000)+(K79/1000))^0.25</f>
        <v/>
      </c>
      <c r="Q79" s="65">
        <f>N79*P79/Hypothèses!$B$20</f>
        <v/>
      </c>
      <c r="R79" s="66">
        <f>0.25/(LOG10(Hypothèses!$B$21/(3.7*P79)+5.74/Q79^0.9))^2</f>
        <v/>
      </c>
      <c r="S79" s="64">
        <f>R79/P79*Hypothèses!$B$19*N79^2/2</f>
        <v/>
      </c>
      <c r="T79" s="62">
        <f>S79*G79*(1+Hypothèses!$B$22)</f>
        <v/>
      </c>
      <c r="U79" s="45" t="n"/>
      <c r="V79" s="60">
        <f>IF(K79&lt;=Hypothèses!$B$28-100,"oui","NON")</f>
        <v/>
      </c>
    </row>
    <row r="80" ht="15" customHeight="1" s="40">
      <c r="A80" s="60" t="inlineStr">
        <is>
          <t>CTA 2</t>
        </is>
      </c>
      <c r="B80" s="60" t="inlineStr">
        <is>
          <t>CTA2-S06</t>
        </is>
      </c>
      <c r="C80" s="60" t="inlineStr">
        <is>
          <t>N01</t>
        </is>
      </c>
      <c r="D80" s="60" t="inlineStr">
        <is>
          <t>Faux plafond couloir</t>
        </is>
      </c>
      <c r="E80" s="60" t="inlineStr">
        <is>
          <t>Soufflage</t>
        </is>
      </c>
      <c r="F80" s="60" t="inlineStr">
        <is>
          <t>HEB01 chambre</t>
        </is>
      </c>
      <c r="G80" s="61" t="n">
        <v>2.983</v>
      </c>
      <c r="H80" s="46" t="n">
        <v>1080</v>
      </c>
      <c r="I80" s="62">
        <f>IF(A80="CTA 5",MIN(INDEX(Hypothèses!$C$6:$C$16,MATCH(H80,Hypothèses!$A$6:$A$16,1)),Hypothèses!$B$30),INDEX(Hypothèses!$C$6:$C$16,MATCH(H80,Hypothèses!$A$6:$A$16,1)))</f>
        <v/>
      </c>
      <c r="J80" s="63">
        <f>H80/3600/I80</f>
        <v/>
      </c>
      <c r="K80" s="60">
        <f>IF(A80="CTA 4",Hypothèses!$B$25,IF(AND(A80="CTA 5",H80&gt;4000),Hypothèses!$B$29,IF(H80&lt;=2000,Hypothèses!$B$23,Hypothèses!$B$24)))</f>
        <v/>
      </c>
      <c r="L80" s="60">
        <f>MAX(Hypothèses!$B$26,CEILING(J80/(K80/1000)*1000,Hypothèses!$B$27))</f>
        <v/>
      </c>
      <c r="M80" s="63">
        <f>L80*K80/1000000</f>
        <v/>
      </c>
      <c r="N80" s="64">
        <f>H80/3600/M80</f>
        <v/>
      </c>
      <c r="O80" s="60">
        <f>IF(N80&lt;=I80,"oui","NON")</f>
        <v/>
      </c>
      <c r="P80" s="63">
        <f>1.3*((L80/1000)*(K80/1000))^0.625/((L80/1000)+(K80/1000))^0.25</f>
        <v/>
      </c>
      <c r="Q80" s="65">
        <f>N80*P80/Hypothèses!$B$20</f>
        <v/>
      </c>
      <c r="R80" s="66">
        <f>0.25/(LOG10(Hypothèses!$B$21/(3.7*P80)+5.74/Q80^0.9))^2</f>
        <v/>
      </c>
      <c r="S80" s="64">
        <f>R80/P80*Hypothèses!$B$19*N80^2/2</f>
        <v/>
      </c>
      <c r="T80" s="62">
        <f>S80*G80*(1+Hypothèses!$B$22)</f>
        <v/>
      </c>
      <c r="U80" s="45" t="n"/>
      <c r="V80" s="60">
        <f>IF(K80&lt;=Hypothèses!$B$28-100,"oui","NON")</f>
        <v/>
      </c>
    </row>
    <row r="81" ht="15" customHeight="1" s="40">
      <c r="A81" s="60" t="inlineStr">
        <is>
          <t>CTA 2</t>
        </is>
      </c>
      <c r="B81" s="60" t="inlineStr">
        <is>
          <t>CTA2-S07</t>
        </is>
      </c>
      <c r="C81" s="60" t="inlineStr">
        <is>
          <t>N01</t>
        </is>
      </c>
      <c r="D81" s="60" t="inlineStr">
        <is>
          <t>Faux plafond couloir</t>
        </is>
      </c>
      <c r="E81" s="60" t="inlineStr">
        <is>
          <t>Soufflage</t>
        </is>
      </c>
      <c r="F81" s="60" t="inlineStr">
        <is>
          <t>HEB01 ch. bariatrique</t>
        </is>
      </c>
      <c r="G81" s="61" t="n">
        <v>3.792</v>
      </c>
      <c r="H81" s="46" t="n">
        <v>1080</v>
      </c>
      <c r="I81" s="62">
        <f>IF(A81="CTA 5",MIN(INDEX(Hypothèses!$C$6:$C$16,MATCH(H81,Hypothèses!$A$6:$A$16,1)),Hypothèses!$B$30),INDEX(Hypothèses!$C$6:$C$16,MATCH(H81,Hypothèses!$A$6:$A$16,1)))</f>
        <v/>
      </c>
      <c r="J81" s="63">
        <f>H81/3600/I81</f>
        <v/>
      </c>
      <c r="K81" s="60">
        <f>IF(A81="CTA 4",Hypothèses!$B$25,IF(AND(A81="CTA 5",H81&gt;4000),Hypothèses!$B$29,IF(H81&lt;=2000,Hypothèses!$B$23,Hypothèses!$B$24)))</f>
        <v/>
      </c>
      <c r="L81" s="60">
        <f>MAX(Hypothèses!$B$26,CEILING(J81/(K81/1000)*1000,Hypothèses!$B$27))</f>
        <v/>
      </c>
      <c r="M81" s="63">
        <f>L81*K81/1000000</f>
        <v/>
      </c>
      <c r="N81" s="64">
        <f>H81/3600/M81</f>
        <v/>
      </c>
      <c r="O81" s="60">
        <f>IF(N81&lt;=I81,"oui","NON")</f>
        <v/>
      </c>
      <c r="P81" s="63">
        <f>1.3*((L81/1000)*(K81/1000))^0.625/((L81/1000)+(K81/1000))^0.25</f>
        <v/>
      </c>
      <c r="Q81" s="65">
        <f>N81*P81/Hypothèses!$B$20</f>
        <v/>
      </c>
      <c r="R81" s="66">
        <f>0.25/(LOG10(Hypothèses!$B$21/(3.7*P81)+5.74/Q81^0.9))^2</f>
        <v/>
      </c>
      <c r="S81" s="64">
        <f>R81/P81*Hypothèses!$B$19*N81^2/2</f>
        <v/>
      </c>
      <c r="T81" s="62">
        <f>S81*G81*(1+Hypothèses!$B$22)</f>
        <v/>
      </c>
      <c r="U81" s="45" t="n"/>
      <c r="V81" s="60">
        <f>IF(K81&lt;=Hypothèses!$B$28-100,"oui","NON")</f>
        <v/>
      </c>
    </row>
    <row r="82" ht="15" customHeight="1" s="40">
      <c r="A82" s="60" t="inlineStr">
        <is>
          <t>CTA 2</t>
        </is>
      </c>
      <c r="B82" s="60" t="inlineStr">
        <is>
          <t>CTA2-S08</t>
        </is>
      </c>
      <c r="C82" s="60" t="inlineStr">
        <is>
          <t>N01</t>
        </is>
      </c>
      <c r="D82" s="60" t="inlineStr">
        <is>
          <t>Faux plafond couloir</t>
        </is>
      </c>
      <c r="E82" s="60" t="inlineStr">
        <is>
          <t>Soufflage</t>
        </is>
      </c>
      <c r="F82" s="60" t="inlineStr">
        <is>
          <t>HEB1180 chambre</t>
        </is>
      </c>
      <c r="G82" s="61" t="n">
        <v>0.321</v>
      </c>
      <c r="H82" s="46" t="n">
        <v>900</v>
      </c>
      <c r="I82" s="62">
        <f>IF(A82="CTA 5",MIN(INDEX(Hypothèses!$C$6:$C$16,MATCH(H82,Hypothèses!$A$6:$A$16,1)),Hypothèses!$B$30),INDEX(Hypothèses!$C$6:$C$16,MATCH(H82,Hypothèses!$A$6:$A$16,1)))</f>
        <v/>
      </c>
      <c r="J82" s="63">
        <f>H82/3600/I82</f>
        <v/>
      </c>
      <c r="K82" s="60">
        <f>IF(A82="CTA 4",Hypothèses!$B$25,IF(AND(A82="CTA 5",H82&gt;4000),Hypothèses!$B$29,IF(H82&lt;=2000,Hypothèses!$B$23,Hypothèses!$B$24)))</f>
        <v/>
      </c>
      <c r="L82" s="60">
        <f>MAX(Hypothèses!$B$26,CEILING(J82/(K82/1000)*1000,Hypothèses!$B$27))</f>
        <v/>
      </c>
      <c r="M82" s="63">
        <f>L82*K82/1000000</f>
        <v/>
      </c>
      <c r="N82" s="64">
        <f>H82/3600/M82</f>
        <v/>
      </c>
      <c r="O82" s="60">
        <f>IF(N82&lt;=I82,"oui","NON")</f>
        <v/>
      </c>
      <c r="P82" s="63">
        <f>1.3*((L82/1000)*(K82/1000))^0.625/((L82/1000)+(K82/1000))^0.25</f>
        <v/>
      </c>
      <c r="Q82" s="65">
        <f>N82*P82/Hypothèses!$B$20</f>
        <v/>
      </c>
      <c r="R82" s="66">
        <f>0.25/(LOG10(Hypothèses!$B$21/(3.7*P82)+5.74/Q82^0.9))^2</f>
        <v/>
      </c>
      <c r="S82" s="64">
        <f>R82/P82*Hypothèses!$B$19*N82^2/2</f>
        <v/>
      </c>
      <c r="T82" s="62">
        <f>S82*G82*(1+Hypothèses!$B$22)</f>
        <v/>
      </c>
      <c r="U82" s="45" t="n"/>
      <c r="V82" s="60">
        <f>IF(K82&lt;=Hypothèses!$B$28-100,"oui","NON")</f>
        <v/>
      </c>
    </row>
    <row r="83" ht="15" customHeight="1" s="40">
      <c r="A83" s="60" t="inlineStr">
        <is>
          <t>CTA 2</t>
        </is>
      </c>
      <c r="B83" s="60" t="inlineStr">
        <is>
          <t>CTA2-S09</t>
        </is>
      </c>
      <c r="C83" s="60" t="inlineStr">
        <is>
          <t>N01</t>
        </is>
      </c>
      <c r="D83" s="60" t="inlineStr">
        <is>
          <t>Faux plafond couloir</t>
        </is>
      </c>
      <c r="E83" s="60" t="inlineStr">
        <is>
          <t>Soufflage</t>
        </is>
      </c>
      <c r="F83" s="60" t="inlineStr">
        <is>
          <t>HEB01 ch. couple</t>
        </is>
      </c>
      <c r="G83" s="61" t="n">
        <v>3.733</v>
      </c>
      <c r="H83" s="46" t="n">
        <v>810</v>
      </c>
      <c r="I83" s="62">
        <f>IF(A83="CTA 5",MIN(INDEX(Hypothèses!$C$6:$C$16,MATCH(H83,Hypothèses!$A$6:$A$16,1)),Hypothèses!$B$30),INDEX(Hypothèses!$C$6:$C$16,MATCH(H83,Hypothèses!$A$6:$A$16,1)))</f>
        <v/>
      </c>
      <c r="J83" s="63">
        <f>H83/3600/I83</f>
        <v/>
      </c>
      <c r="K83" s="60">
        <f>IF(A83="CTA 4",Hypothèses!$B$25,IF(AND(A83="CTA 5",H83&gt;4000),Hypothèses!$B$29,IF(H83&lt;=2000,Hypothèses!$B$23,Hypothèses!$B$24)))</f>
        <v/>
      </c>
      <c r="L83" s="60">
        <f>MAX(Hypothèses!$B$26,CEILING(J83/(K83/1000)*1000,Hypothèses!$B$27))</f>
        <v/>
      </c>
      <c r="M83" s="63">
        <f>L83*K83/1000000</f>
        <v/>
      </c>
      <c r="N83" s="64">
        <f>H83/3600/M83</f>
        <v/>
      </c>
      <c r="O83" s="60">
        <f>IF(N83&lt;=I83,"oui","NON")</f>
        <v/>
      </c>
      <c r="P83" s="63">
        <f>1.3*((L83/1000)*(K83/1000))^0.625/((L83/1000)+(K83/1000))^0.25</f>
        <v/>
      </c>
      <c r="Q83" s="65">
        <f>N83*P83/Hypothèses!$B$20</f>
        <v/>
      </c>
      <c r="R83" s="66">
        <f>0.25/(LOG10(Hypothèses!$B$21/(3.7*P83)+5.74/Q83^0.9))^2</f>
        <v/>
      </c>
      <c r="S83" s="64">
        <f>R83/P83*Hypothèses!$B$19*N83^2/2</f>
        <v/>
      </c>
      <c r="T83" s="62">
        <f>S83*G83*(1+Hypothèses!$B$22)</f>
        <v/>
      </c>
      <c r="U83" s="45" t="n"/>
      <c r="V83" s="60">
        <f>IF(K83&lt;=Hypothèses!$B$28-100,"oui","NON")</f>
        <v/>
      </c>
    </row>
    <row r="84" ht="15" customHeight="1" s="40">
      <c r="A84" s="60" t="inlineStr">
        <is>
          <t>CTA 2</t>
        </is>
      </c>
      <c r="B84" s="60" t="inlineStr">
        <is>
          <t>CTA2-S10</t>
        </is>
      </c>
      <c r="C84" s="60" t="inlineStr">
        <is>
          <t>N01</t>
        </is>
      </c>
      <c r="D84" s="60" t="inlineStr">
        <is>
          <t>Faux plafond couloir</t>
        </is>
      </c>
      <c r="E84" s="60" t="inlineStr">
        <is>
          <t>Soufflage</t>
        </is>
      </c>
      <c r="F84" s="60" t="inlineStr">
        <is>
          <t>HEB01 chambre</t>
        </is>
      </c>
      <c r="G84" s="61" t="n">
        <v>0.443</v>
      </c>
      <c r="H84" s="46" t="n">
        <v>720</v>
      </c>
      <c r="I84" s="62">
        <f>IF(A84="CTA 5",MIN(INDEX(Hypothèses!$C$6:$C$16,MATCH(H84,Hypothèses!$A$6:$A$16,1)),Hypothèses!$B$30),INDEX(Hypothèses!$C$6:$C$16,MATCH(H84,Hypothèses!$A$6:$A$16,1)))</f>
        <v/>
      </c>
      <c r="J84" s="63">
        <f>H84/3600/I84</f>
        <v/>
      </c>
      <c r="K84" s="60">
        <f>IF(A84="CTA 4",Hypothèses!$B$25,IF(AND(A84="CTA 5",H84&gt;4000),Hypothèses!$B$29,IF(H84&lt;=2000,Hypothèses!$B$23,Hypothèses!$B$24)))</f>
        <v/>
      </c>
      <c r="L84" s="60">
        <f>MAX(Hypothèses!$B$26,CEILING(J84/(K84/1000)*1000,Hypothèses!$B$27))</f>
        <v/>
      </c>
      <c r="M84" s="63">
        <f>L84*K84/1000000</f>
        <v/>
      </c>
      <c r="N84" s="64">
        <f>H84/3600/M84</f>
        <v/>
      </c>
      <c r="O84" s="60">
        <f>IF(N84&lt;=I84,"oui","NON")</f>
        <v/>
      </c>
      <c r="P84" s="63">
        <f>1.3*((L84/1000)*(K84/1000))^0.625/((L84/1000)+(K84/1000))^0.25</f>
        <v/>
      </c>
      <c r="Q84" s="65">
        <f>N84*P84/Hypothèses!$B$20</f>
        <v/>
      </c>
      <c r="R84" s="66">
        <f>0.25/(LOG10(Hypothèses!$B$21/(3.7*P84)+5.74/Q84^0.9))^2</f>
        <v/>
      </c>
      <c r="S84" s="64">
        <f>R84/P84*Hypothèses!$B$19*N84^2/2</f>
        <v/>
      </c>
      <c r="T84" s="62">
        <f>S84*G84*(1+Hypothèses!$B$22)</f>
        <v/>
      </c>
      <c r="U84" s="45" t="n"/>
      <c r="V84" s="60">
        <f>IF(K84&lt;=Hypothèses!$B$28-100,"oui","NON")</f>
        <v/>
      </c>
    </row>
    <row r="85" ht="15" customHeight="1" s="40">
      <c r="A85" s="60" t="inlineStr">
        <is>
          <t>CTA 2</t>
        </is>
      </c>
      <c r="B85" s="60" t="inlineStr">
        <is>
          <t>CTA2-S11</t>
        </is>
      </c>
      <c r="C85" s="60" t="inlineStr">
        <is>
          <t>N01</t>
        </is>
      </c>
      <c r="D85" s="60" t="inlineStr">
        <is>
          <t>Faux plafond couloir</t>
        </is>
      </c>
      <c r="E85" s="60" t="inlineStr">
        <is>
          <t>Soufflage</t>
        </is>
      </c>
      <c r="F85" s="60" t="inlineStr">
        <is>
          <t>HEB01 chambre</t>
        </is>
      </c>
      <c r="G85" s="61" t="n">
        <v>3.758</v>
      </c>
      <c r="H85" s="46" t="n">
        <v>630</v>
      </c>
      <c r="I85" s="62">
        <f>IF(A85="CTA 5",MIN(INDEX(Hypothèses!$C$6:$C$16,MATCH(H85,Hypothèses!$A$6:$A$16,1)),Hypothèses!$B$30),INDEX(Hypothèses!$C$6:$C$16,MATCH(H85,Hypothèses!$A$6:$A$16,1)))</f>
        <v/>
      </c>
      <c r="J85" s="63">
        <f>H85/3600/I85</f>
        <v/>
      </c>
      <c r="K85" s="60">
        <f>IF(A85="CTA 4",Hypothèses!$B$25,IF(AND(A85="CTA 5",H85&gt;4000),Hypothèses!$B$29,IF(H85&lt;=2000,Hypothèses!$B$23,Hypothèses!$B$24)))</f>
        <v/>
      </c>
      <c r="L85" s="60">
        <f>MAX(Hypothèses!$B$26,CEILING(J85/(K85/1000)*1000,Hypothèses!$B$27))</f>
        <v/>
      </c>
      <c r="M85" s="63">
        <f>L85*K85/1000000</f>
        <v/>
      </c>
      <c r="N85" s="64">
        <f>H85/3600/M85</f>
        <v/>
      </c>
      <c r="O85" s="60">
        <f>IF(N85&lt;=I85,"oui","NON")</f>
        <v/>
      </c>
      <c r="P85" s="63">
        <f>1.3*((L85/1000)*(K85/1000))^0.625/((L85/1000)+(K85/1000))^0.25</f>
        <v/>
      </c>
      <c r="Q85" s="65">
        <f>N85*P85/Hypothèses!$B$20</f>
        <v/>
      </c>
      <c r="R85" s="66">
        <f>0.25/(LOG10(Hypothèses!$B$21/(3.7*P85)+5.74/Q85^0.9))^2</f>
        <v/>
      </c>
      <c r="S85" s="64">
        <f>R85/P85*Hypothèses!$B$19*N85^2/2</f>
        <v/>
      </c>
      <c r="T85" s="62">
        <f>S85*G85*(1+Hypothèses!$B$22)</f>
        <v/>
      </c>
      <c r="U85" s="45" t="n"/>
      <c r="V85" s="60">
        <f>IF(K85&lt;=Hypothèses!$B$28-100,"oui","NON")</f>
        <v/>
      </c>
    </row>
    <row r="86" ht="15" customHeight="1" s="40">
      <c r="A86" s="60" t="inlineStr">
        <is>
          <t>CTA 2</t>
        </is>
      </c>
      <c r="B86" s="60" t="inlineStr">
        <is>
          <t>CTA2-S12</t>
        </is>
      </c>
      <c r="C86" s="60" t="inlineStr">
        <is>
          <t>N01</t>
        </is>
      </c>
      <c r="D86" s="60" t="inlineStr">
        <is>
          <t>Faux plafond couloir</t>
        </is>
      </c>
      <c r="E86" s="60" t="inlineStr">
        <is>
          <t>Soufflage</t>
        </is>
      </c>
      <c r="F86" s="60" t="inlineStr">
        <is>
          <t>HEB01 ch. couple</t>
        </is>
      </c>
      <c r="G86" s="61" t="n">
        <v>0.199</v>
      </c>
      <c r="H86" s="46" t="n">
        <v>630</v>
      </c>
      <c r="I86" s="62">
        <f>IF(A86="CTA 5",MIN(INDEX(Hypothèses!$C$6:$C$16,MATCH(H86,Hypothèses!$A$6:$A$16,1)),Hypothèses!$B$30),INDEX(Hypothèses!$C$6:$C$16,MATCH(H86,Hypothèses!$A$6:$A$16,1)))</f>
        <v/>
      </c>
      <c r="J86" s="63">
        <f>H86/3600/I86</f>
        <v/>
      </c>
      <c r="K86" s="60">
        <f>IF(A86="CTA 4",Hypothèses!$B$25,IF(AND(A86="CTA 5",H86&gt;4000),Hypothèses!$B$29,IF(H86&lt;=2000,Hypothèses!$B$23,Hypothèses!$B$24)))</f>
        <v/>
      </c>
      <c r="L86" s="60">
        <f>MAX(Hypothèses!$B$26,CEILING(J86/(K86/1000)*1000,Hypothèses!$B$27))</f>
        <v/>
      </c>
      <c r="M86" s="63">
        <f>L86*K86/1000000</f>
        <v/>
      </c>
      <c r="N86" s="64">
        <f>H86/3600/M86</f>
        <v/>
      </c>
      <c r="O86" s="60">
        <f>IF(N86&lt;=I86,"oui","NON")</f>
        <v/>
      </c>
      <c r="P86" s="63">
        <f>1.3*((L86/1000)*(K86/1000))^0.625/((L86/1000)+(K86/1000))^0.25</f>
        <v/>
      </c>
      <c r="Q86" s="65">
        <f>N86*P86/Hypothèses!$B$20</f>
        <v/>
      </c>
      <c r="R86" s="66">
        <f>0.25/(LOG10(Hypothèses!$B$21/(3.7*P86)+5.74/Q86^0.9))^2</f>
        <v/>
      </c>
      <c r="S86" s="64">
        <f>R86/P86*Hypothèses!$B$19*N86^2/2</f>
        <v/>
      </c>
      <c r="T86" s="62">
        <f>S86*G86*(1+Hypothèses!$B$22)</f>
        <v/>
      </c>
      <c r="U86" s="45" t="n"/>
      <c r="V86" s="60">
        <f>IF(K86&lt;=Hypothèses!$B$28-100,"oui","NON")</f>
        <v/>
      </c>
    </row>
    <row r="87" ht="15" customHeight="1" s="40">
      <c r="A87" s="60" t="inlineStr">
        <is>
          <t>CTA 2</t>
        </is>
      </c>
      <c r="B87" s="60" t="inlineStr">
        <is>
          <t>CTA2-S13</t>
        </is>
      </c>
      <c r="C87" s="60" t="inlineStr">
        <is>
          <t>N01</t>
        </is>
      </c>
      <c r="D87" s="60" t="inlineStr">
        <is>
          <t>Faux plafond couloir</t>
        </is>
      </c>
      <c r="E87" s="60" t="inlineStr">
        <is>
          <t>Soufflage</t>
        </is>
      </c>
      <c r="F87" s="60" t="inlineStr">
        <is>
          <t>HEB01 ch. couple</t>
        </is>
      </c>
      <c r="G87" s="61" t="n">
        <v>3.779</v>
      </c>
      <c r="H87" s="46" t="n">
        <v>450</v>
      </c>
      <c r="I87" s="62">
        <f>IF(A87="CTA 5",MIN(INDEX(Hypothèses!$C$6:$C$16,MATCH(H87,Hypothèses!$A$6:$A$16,1)),Hypothèses!$B$30),INDEX(Hypothèses!$C$6:$C$16,MATCH(H87,Hypothèses!$A$6:$A$16,1)))</f>
        <v/>
      </c>
      <c r="J87" s="63">
        <f>H87/3600/I87</f>
        <v/>
      </c>
      <c r="K87" s="60">
        <f>IF(A87="CTA 4",Hypothèses!$B$25,IF(AND(A87="CTA 5",H87&gt;4000),Hypothèses!$B$29,IF(H87&lt;=2000,Hypothèses!$B$23,Hypothèses!$B$24)))</f>
        <v/>
      </c>
      <c r="L87" s="60">
        <f>MAX(Hypothèses!$B$26,CEILING(J87/(K87/1000)*1000,Hypothèses!$B$27))</f>
        <v/>
      </c>
      <c r="M87" s="63">
        <f>L87*K87/1000000</f>
        <v/>
      </c>
      <c r="N87" s="64">
        <f>H87/3600/M87</f>
        <v/>
      </c>
      <c r="O87" s="60">
        <f>IF(N87&lt;=I87,"oui","NON")</f>
        <v/>
      </c>
      <c r="P87" s="63">
        <f>1.3*((L87/1000)*(K87/1000))^0.625/((L87/1000)+(K87/1000))^0.25</f>
        <v/>
      </c>
      <c r="Q87" s="65">
        <f>N87*P87/Hypothèses!$B$20</f>
        <v/>
      </c>
      <c r="R87" s="66">
        <f>0.25/(LOG10(Hypothèses!$B$21/(3.7*P87)+5.74/Q87^0.9))^2</f>
        <v/>
      </c>
      <c r="S87" s="64">
        <f>R87/P87*Hypothèses!$B$19*N87^2/2</f>
        <v/>
      </c>
      <c r="T87" s="62">
        <f>S87*G87*(1+Hypothèses!$B$22)</f>
        <v/>
      </c>
      <c r="U87" s="45" t="n"/>
      <c r="V87" s="60">
        <f>IF(K87&lt;=Hypothèses!$B$28-100,"oui","NON")</f>
        <v/>
      </c>
    </row>
    <row r="88" ht="15" customHeight="1" s="40">
      <c r="A88" s="60" t="inlineStr">
        <is>
          <t>CTA 2</t>
        </is>
      </c>
      <c r="B88" s="60" t="inlineStr">
        <is>
          <t>CTA2-S14</t>
        </is>
      </c>
      <c r="C88" s="60" t="inlineStr">
        <is>
          <t>N01</t>
        </is>
      </c>
      <c r="D88" s="60" t="inlineStr">
        <is>
          <t>Faux plafond couloir</t>
        </is>
      </c>
      <c r="E88" s="60" t="inlineStr">
        <is>
          <t>Soufflage</t>
        </is>
      </c>
      <c r="F88" s="60" t="inlineStr">
        <is>
          <t>HEB01 chambre</t>
        </is>
      </c>
      <c r="G88" s="61" t="n">
        <v>0.498</v>
      </c>
      <c r="H88" s="46" t="n">
        <v>450</v>
      </c>
      <c r="I88" s="62">
        <f>IF(A88="CTA 5",MIN(INDEX(Hypothèses!$C$6:$C$16,MATCH(H88,Hypothèses!$A$6:$A$16,1)),Hypothèses!$B$30),INDEX(Hypothèses!$C$6:$C$16,MATCH(H88,Hypothèses!$A$6:$A$16,1)))</f>
        <v/>
      </c>
      <c r="J88" s="63">
        <f>H88/3600/I88</f>
        <v/>
      </c>
      <c r="K88" s="60">
        <f>IF(A88="CTA 4",Hypothèses!$B$25,IF(AND(A88="CTA 5",H88&gt;4000),Hypothèses!$B$29,IF(H88&lt;=2000,Hypothèses!$B$23,Hypothèses!$B$24)))</f>
        <v/>
      </c>
      <c r="L88" s="60">
        <f>MAX(Hypothèses!$B$26,CEILING(J88/(K88/1000)*1000,Hypothèses!$B$27))</f>
        <v/>
      </c>
      <c r="M88" s="63">
        <f>L88*K88/1000000</f>
        <v/>
      </c>
      <c r="N88" s="64">
        <f>H88/3600/M88</f>
        <v/>
      </c>
      <c r="O88" s="60">
        <f>IF(N88&lt;=I88,"oui","NON")</f>
        <v/>
      </c>
      <c r="P88" s="63">
        <f>1.3*((L88/1000)*(K88/1000))^0.625/((L88/1000)+(K88/1000))^0.25</f>
        <v/>
      </c>
      <c r="Q88" s="65">
        <f>N88*P88/Hypothèses!$B$20</f>
        <v/>
      </c>
      <c r="R88" s="66">
        <f>0.25/(LOG10(Hypothèses!$B$21/(3.7*P88)+5.74/Q88^0.9))^2</f>
        <v/>
      </c>
      <c r="S88" s="64">
        <f>R88/P88*Hypothèses!$B$19*N88^2/2</f>
        <v/>
      </c>
      <c r="T88" s="62">
        <f>S88*G88*(1+Hypothèses!$B$22)</f>
        <v/>
      </c>
      <c r="U88" s="45" t="n"/>
      <c r="V88" s="60">
        <f>IF(K88&lt;=Hypothèses!$B$28-100,"oui","NON")</f>
        <v/>
      </c>
    </row>
    <row r="89" ht="15" customHeight="1" s="40">
      <c r="A89" s="60" t="inlineStr">
        <is>
          <t>CTA 2</t>
        </is>
      </c>
      <c r="B89" s="60" t="inlineStr">
        <is>
          <t>CTA2-S15</t>
        </is>
      </c>
      <c r="C89" s="60" t="inlineStr">
        <is>
          <t>N01</t>
        </is>
      </c>
      <c r="D89" s="60" t="inlineStr">
        <is>
          <t>Faux plafond couloir</t>
        </is>
      </c>
      <c r="E89" s="60" t="inlineStr">
        <is>
          <t>Soufflage</t>
        </is>
      </c>
      <c r="F89" s="60" t="inlineStr">
        <is>
          <t>HEB01 ch. bariatrique</t>
        </is>
      </c>
      <c r="G89" s="61" t="n">
        <v>4.03</v>
      </c>
      <c r="H89" s="46" t="n">
        <v>360</v>
      </c>
      <c r="I89" s="62">
        <f>IF(A89="CTA 5",MIN(INDEX(Hypothèses!$C$6:$C$16,MATCH(H89,Hypothèses!$A$6:$A$16,1)),Hypothèses!$B$30),INDEX(Hypothèses!$C$6:$C$16,MATCH(H89,Hypothèses!$A$6:$A$16,1)))</f>
        <v/>
      </c>
      <c r="J89" s="63">
        <f>H89/3600/I89</f>
        <v/>
      </c>
      <c r="K89" s="60">
        <f>IF(A89="CTA 4",Hypothèses!$B$25,IF(AND(A89="CTA 5",H89&gt;4000),Hypothèses!$B$29,IF(H89&lt;=2000,Hypothèses!$B$23,Hypothèses!$B$24)))</f>
        <v/>
      </c>
      <c r="L89" s="60">
        <f>MAX(Hypothèses!$B$26,CEILING(J89/(K89/1000)*1000,Hypothèses!$B$27))</f>
        <v/>
      </c>
      <c r="M89" s="63">
        <f>L89*K89/1000000</f>
        <v/>
      </c>
      <c r="N89" s="64">
        <f>H89/3600/M89</f>
        <v/>
      </c>
      <c r="O89" s="60">
        <f>IF(N89&lt;=I89,"oui","NON")</f>
        <v/>
      </c>
      <c r="P89" s="63">
        <f>1.3*((L89/1000)*(K89/1000))^0.625/((L89/1000)+(K89/1000))^0.25</f>
        <v/>
      </c>
      <c r="Q89" s="65">
        <f>N89*P89/Hypothèses!$B$20</f>
        <v/>
      </c>
      <c r="R89" s="66">
        <f>0.25/(LOG10(Hypothèses!$B$21/(3.7*P89)+5.74/Q89^0.9))^2</f>
        <v/>
      </c>
      <c r="S89" s="64">
        <f>R89/P89*Hypothèses!$B$19*N89^2/2</f>
        <v/>
      </c>
      <c r="T89" s="62">
        <f>S89*G89*(1+Hypothèses!$B$22)</f>
        <v/>
      </c>
      <c r="U89" s="45" t="n"/>
      <c r="V89" s="60">
        <f>IF(K89&lt;=Hypothèses!$B$28-100,"oui","NON")</f>
        <v/>
      </c>
    </row>
    <row r="90" ht="15" customHeight="1" s="40">
      <c r="A90" s="60" t="inlineStr">
        <is>
          <t>CTA 2</t>
        </is>
      </c>
      <c r="B90" s="60" t="inlineStr">
        <is>
          <t>CTA2-S16</t>
        </is>
      </c>
      <c r="C90" s="60" t="inlineStr">
        <is>
          <t>N01</t>
        </is>
      </c>
      <c r="D90" s="60" t="inlineStr">
        <is>
          <t>Faux plafond couloir</t>
        </is>
      </c>
      <c r="E90" s="60" t="inlineStr">
        <is>
          <t>Soufflage</t>
        </is>
      </c>
      <c r="F90" s="60" t="inlineStr">
        <is>
          <t>HEB01 chambre</t>
        </is>
      </c>
      <c r="G90" s="61" t="n">
        <v>2.374</v>
      </c>
      <c r="H90" s="46" t="n">
        <v>270</v>
      </c>
      <c r="I90" s="62">
        <f>IF(A90="CTA 5",MIN(INDEX(Hypothèses!$C$6:$C$16,MATCH(H90,Hypothèses!$A$6:$A$16,1)),Hypothèses!$B$30),INDEX(Hypothèses!$C$6:$C$16,MATCH(H90,Hypothèses!$A$6:$A$16,1)))</f>
        <v/>
      </c>
      <c r="J90" s="63">
        <f>H90/3600/I90</f>
        <v/>
      </c>
      <c r="K90" s="60">
        <f>IF(A90="CTA 4",Hypothèses!$B$25,IF(AND(A90="CTA 5",H90&gt;4000),Hypothèses!$B$29,IF(H90&lt;=2000,Hypothèses!$B$23,Hypothèses!$B$24)))</f>
        <v/>
      </c>
      <c r="L90" s="60">
        <f>MAX(Hypothèses!$B$26,CEILING(J90/(K90/1000)*1000,Hypothèses!$B$27))</f>
        <v/>
      </c>
      <c r="M90" s="63">
        <f>L90*K90/1000000</f>
        <v/>
      </c>
      <c r="N90" s="64">
        <f>H90/3600/M90</f>
        <v/>
      </c>
      <c r="O90" s="60">
        <f>IF(N90&lt;=I90,"oui","NON")</f>
        <v/>
      </c>
      <c r="P90" s="63">
        <f>1.3*((L90/1000)*(K90/1000))^0.625/((L90/1000)+(K90/1000))^0.25</f>
        <v/>
      </c>
      <c r="Q90" s="65">
        <f>N90*P90/Hypothèses!$B$20</f>
        <v/>
      </c>
      <c r="R90" s="66">
        <f>0.25/(LOG10(Hypothèses!$B$21/(3.7*P90)+5.74/Q90^0.9))^2</f>
        <v/>
      </c>
      <c r="S90" s="64">
        <f>R90/P90*Hypothèses!$B$19*N90^2/2</f>
        <v/>
      </c>
      <c r="T90" s="62">
        <f>S90*G90*(1+Hypothèses!$B$22)</f>
        <v/>
      </c>
      <c r="U90" s="45" t="n"/>
      <c r="V90" s="60">
        <f>IF(K90&lt;=Hypothèses!$B$28-100,"oui","NON")</f>
        <v/>
      </c>
    </row>
    <row r="91" ht="15" customHeight="1" s="40">
      <c r="A91" s="60" t="inlineStr">
        <is>
          <t>CTA 2</t>
        </is>
      </c>
      <c r="B91" s="60" t="inlineStr">
        <is>
          <t>CTA2-S17</t>
        </is>
      </c>
      <c r="C91" s="60" t="inlineStr">
        <is>
          <t>N01</t>
        </is>
      </c>
      <c r="D91" s="60" t="inlineStr">
        <is>
          <t>Faux plafond couloir</t>
        </is>
      </c>
      <c r="E91" s="60" t="inlineStr">
        <is>
          <t>Soufflage</t>
        </is>
      </c>
      <c r="F91" s="60" t="inlineStr">
        <is>
          <t>HEB01 ch. bariatrique</t>
        </is>
      </c>
      <c r="G91" s="61" t="n">
        <v>1.433</v>
      </c>
      <c r="H91" s="46" t="n">
        <v>90</v>
      </c>
      <c r="I91" s="62">
        <f>IF(A91="CTA 5",MIN(INDEX(Hypothèses!$C$6:$C$16,MATCH(H91,Hypothèses!$A$6:$A$16,1)),Hypothèses!$B$30),INDEX(Hypothèses!$C$6:$C$16,MATCH(H91,Hypothèses!$A$6:$A$16,1)))</f>
        <v/>
      </c>
      <c r="J91" s="63">
        <f>H91/3600/I91</f>
        <v/>
      </c>
      <c r="K91" s="60">
        <f>IF(A91="CTA 4",Hypothèses!$B$25,IF(AND(A91="CTA 5",H91&gt;4000),Hypothèses!$B$29,IF(H91&lt;=2000,Hypothèses!$B$23,Hypothèses!$B$24)))</f>
        <v/>
      </c>
      <c r="L91" s="60">
        <f>MAX(Hypothèses!$B$26,CEILING(J91/(K91/1000)*1000,Hypothèses!$B$27))</f>
        <v/>
      </c>
      <c r="M91" s="63">
        <f>L91*K91/1000000</f>
        <v/>
      </c>
      <c r="N91" s="64">
        <f>H91/3600/M91</f>
        <v/>
      </c>
      <c r="O91" s="60">
        <f>IF(N91&lt;=I91,"oui","NON")</f>
        <v/>
      </c>
      <c r="P91" s="63">
        <f>1.3*((L91/1000)*(K91/1000))^0.625/((L91/1000)+(K91/1000))^0.25</f>
        <v/>
      </c>
      <c r="Q91" s="65">
        <f>N91*P91/Hypothèses!$B$20</f>
        <v/>
      </c>
      <c r="R91" s="66">
        <f>0.25/(LOG10(Hypothèses!$B$21/(3.7*P91)+5.74/Q91^0.9))^2</f>
        <v/>
      </c>
      <c r="S91" s="64">
        <f>R91/P91*Hypothèses!$B$19*N91^2/2</f>
        <v/>
      </c>
      <c r="T91" s="62">
        <f>S91*G91*(1+Hypothèses!$B$22)</f>
        <v/>
      </c>
      <c r="U91" s="45" t="n"/>
      <c r="V91" s="60">
        <f>IF(K91&lt;=Hypothèses!$B$28-100,"oui","NON")</f>
        <v/>
      </c>
    </row>
    <row r="92" ht="15" customHeight="1" s="40">
      <c r="A92" s="60" t="inlineStr">
        <is>
          <t>CTA 2</t>
        </is>
      </c>
      <c r="B92" s="60" t="inlineStr">
        <is>
          <t>CTA2-S18</t>
        </is>
      </c>
      <c r="C92" s="60" t="inlineStr">
        <is>
          <t>N00</t>
        </is>
      </c>
      <c r="D92" s="60" t="inlineStr">
        <is>
          <t>Faux plafond couloir</t>
        </is>
      </c>
      <c r="E92" s="60" t="inlineStr">
        <is>
          <t>Soufflage</t>
        </is>
      </c>
      <c r="F92" s="60" t="n"/>
      <c r="G92" s="61" t="n">
        <v>2.45</v>
      </c>
      <c r="H92" s="46" t="n">
        <v>1260</v>
      </c>
      <c r="I92" s="62">
        <f>IF(A92="CTA 5",MIN(INDEX(Hypothèses!$C$6:$C$16,MATCH(H92,Hypothèses!$A$6:$A$16,1)),Hypothèses!$B$30),INDEX(Hypothèses!$C$6:$C$16,MATCH(H92,Hypothèses!$A$6:$A$16,1)))</f>
        <v/>
      </c>
      <c r="J92" s="63">
        <f>H92/3600/I92</f>
        <v/>
      </c>
      <c r="K92" s="60">
        <f>IF(A92="CTA 4",Hypothèses!$B$25,IF(AND(A92="CTA 5",H92&gt;4000),Hypothèses!$B$29,IF(H92&lt;=2000,Hypothèses!$B$23,Hypothèses!$B$24)))</f>
        <v/>
      </c>
      <c r="L92" s="60">
        <f>MAX(Hypothèses!$B$26,CEILING(J92/(K92/1000)*1000,Hypothèses!$B$27))</f>
        <v/>
      </c>
      <c r="M92" s="63">
        <f>L92*K92/1000000</f>
        <v/>
      </c>
      <c r="N92" s="64">
        <f>H92/3600/M92</f>
        <v/>
      </c>
      <c r="O92" s="60">
        <f>IF(N92&lt;=I92,"oui","NON")</f>
        <v/>
      </c>
      <c r="P92" s="63">
        <f>1.3*((L92/1000)*(K92/1000))^0.625/((L92/1000)+(K92/1000))^0.25</f>
        <v/>
      </c>
      <c r="Q92" s="65">
        <f>N92*P92/Hypothèses!$B$20</f>
        <v/>
      </c>
      <c r="R92" s="66">
        <f>0.25/(LOG10(Hypothèses!$B$21/(3.7*P92)+5.74/Q92^0.9))^2</f>
        <v/>
      </c>
      <c r="S92" s="64">
        <f>R92/P92*Hypothèses!$B$19*N92^2/2</f>
        <v/>
      </c>
      <c r="T92" s="62">
        <f>S92*G92*(1+Hypothèses!$B$22)</f>
        <v/>
      </c>
      <c r="U92" s="45" t="inlineStr">
        <is>
          <t>X</t>
        </is>
      </c>
      <c r="V92" s="60">
        <f>IF(K92&lt;=Hypothèses!$B$28-100,"oui","NON")</f>
        <v/>
      </c>
    </row>
    <row r="93" ht="15" customHeight="1" s="40">
      <c r="A93" s="60" t="inlineStr">
        <is>
          <t>CTA 2</t>
        </is>
      </c>
      <c r="B93" s="60" t="inlineStr">
        <is>
          <t>CTA2-S19</t>
        </is>
      </c>
      <c r="C93" s="60" t="inlineStr">
        <is>
          <t>N00</t>
        </is>
      </c>
      <c r="D93" s="60" t="inlineStr">
        <is>
          <t>Faux plafond couloir</t>
        </is>
      </c>
      <c r="E93" s="60" t="inlineStr">
        <is>
          <t>Soufflage</t>
        </is>
      </c>
      <c r="F93" s="60" t="inlineStr">
        <is>
          <t>HEB01 ch. bariatrique</t>
        </is>
      </c>
      <c r="G93" s="61" t="n">
        <v>1.3</v>
      </c>
      <c r="H93" s="46" t="n">
        <v>1260</v>
      </c>
      <c r="I93" s="62">
        <f>IF(A93="CTA 5",MIN(INDEX(Hypothèses!$C$6:$C$16,MATCH(H93,Hypothèses!$A$6:$A$16,1)),Hypothèses!$B$30),INDEX(Hypothèses!$C$6:$C$16,MATCH(H93,Hypothèses!$A$6:$A$16,1)))</f>
        <v/>
      </c>
      <c r="J93" s="63">
        <f>H93/3600/I93</f>
        <v/>
      </c>
      <c r="K93" s="60">
        <f>IF(A93="CTA 4",Hypothèses!$B$25,IF(AND(A93="CTA 5",H93&gt;4000),Hypothèses!$B$29,IF(H93&lt;=2000,Hypothèses!$B$23,Hypothèses!$B$24)))</f>
        <v/>
      </c>
      <c r="L93" s="60">
        <f>MAX(Hypothèses!$B$26,CEILING(J93/(K93/1000)*1000,Hypothèses!$B$27))</f>
        <v/>
      </c>
      <c r="M93" s="63">
        <f>L93*K93/1000000</f>
        <v/>
      </c>
      <c r="N93" s="64">
        <f>H93/3600/M93</f>
        <v/>
      </c>
      <c r="O93" s="60">
        <f>IF(N93&lt;=I93,"oui","NON")</f>
        <v/>
      </c>
      <c r="P93" s="63">
        <f>1.3*((L93/1000)*(K93/1000))^0.625/((L93/1000)+(K93/1000))^0.25</f>
        <v/>
      </c>
      <c r="Q93" s="65">
        <f>N93*P93/Hypothèses!$B$20</f>
        <v/>
      </c>
      <c r="R93" s="66">
        <f>0.25/(LOG10(Hypothèses!$B$21/(3.7*P93)+5.74/Q93^0.9))^2</f>
        <v/>
      </c>
      <c r="S93" s="64">
        <f>R93/P93*Hypothèses!$B$19*N93^2/2</f>
        <v/>
      </c>
      <c r="T93" s="62">
        <f>S93*G93*(1+Hypothèses!$B$22)</f>
        <v/>
      </c>
      <c r="U93" s="45" t="inlineStr">
        <is>
          <t>X</t>
        </is>
      </c>
      <c r="V93" s="60">
        <f>IF(K93&lt;=Hypothèses!$B$28-100,"oui","NON")</f>
        <v/>
      </c>
    </row>
    <row r="94" ht="15" customHeight="1" s="40">
      <c r="A94" s="60" t="inlineStr">
        <is>
          <t>CTA 2</t>
        </is>
      </c>
      <c r="B94" s="60" t="inlineStr">
        <is>
          <t>CTA2-S20</t>
        </is>
      </c>
      <c r="C94" s="60" t="inlineStr">
        <is>
          <t>N00</t>
        </is>
      </c>
      <c r="D94" s="60" t="inlineStr">
        <is>
          <t>Faux plafond couloir</t>
        </is>
      </c>
      <c r="E94" s="60" t="inlineStr">
        <is>
          <t>Soufflage</t>
        </is>
      </c>
      <c r="F94" s="60" t="inlineStr">
        <is>
          <t>HEB01 chambre</t>
        </is>
      </c>
      <c r="G94" s="61" t="n">
        <v>2.984</v>
      </c>
      <c r="H94" s="46" t="n">
        <v>1170</v>
      </c>
      <c r="I94" s="62">
        <f>IF(A94="CTA 5",MIN(INDEX(Hypothèses!$C$6:$C$16,MATCH(H94,Hypothèses!$A$6:$A$16,1)),Hypothèses!$B$30),INDEX(Hypothèses!$C$6:$C$16,MATCH(H94,Hypothèses!$A$6:$A$16,1)))</f>
        <v/>
      </c>
      <c r="J94" s="63">
        <f>H94/3600/I94</f>
        <v/>
      </c>
      <c r="K94" s="60">
        <f>IF(A94="CTA 4",Hypothèses!$B$25,IF(AND(A94="CTA 5",H94&gt;4000),Hypothèses!$B$29,IF(H94&lt;=2000,Hypothèses!$B$23,Hypothèses!$B$24)))</f>
        <v/>
      </c>
      <c r="L94" s="60">
        <f>MAX(Hypothèses!$B$26,CEILING(J94/(K94/1000)*1000,Hypothèses!$B$27))</f>
        <v/>
      </c>
      <c r="M94" s="63">
        <f>L94*K94/1000000</f>
        <v/>
      </c>
      <c r="N94" s="64">
        <f>H94/3600/M94</f>
        <v/>
      </c>
      <c r="O94" s="60">
        <f>IF(N94&lt;=I94,"oui","NON")</f>
        <v/>
      </c>
      <c r="P94" s="63">
        <f>1.3*((L94/1000)*(K94/1000))^0.625/((L94/1000)+(K94/1000))^0.25</f>
        <v/>
      </c>
      <c r="Q94" s="65">
        <f>N94*P94/Hypothèses!$B$20</f>
        <v/>
      </c>
      <c r="R94" s="66">
        <f>0.25/(LOG10(Hypothèses!$B$21/(3.7*P94)+5.74/Q94^0.9))^2</f>
        <v/>
      </c>
      <c r="S94" s="64">
        <f>R94/P94*Hypothèses!$B$19*N94^2/2</f>
        <v/>
      </c>
      <c r="T94" s="62">
        <f>S94*G94*(1+Hypothèses!$B$22)</f>
        <v/>
      </c>
      <c r="U94" s="45" t="inlineStr">
        <is>
          <t>X</t>
        </is>
      </c>
      <c r="V94" s="60">
        <f>IF(K94&lt;=Hypothèses!$B$28-100,"oui","NON")</f>
        <v/>
      </c>
    </row>
    <row r="95" ht="15" customHeight="1" s="40">
      <c r="A95" s="60" t="inlineStr">
        <is>
          <t>CTA 2</t>
        </is>
      </c>
      <c r="B95" s="60" t="inlineStr">
        <is>
          <t>CTA2-S21</t>
        </is>
      </c>
      <c r="C95" s="60" t="inlineStr">
        <is>
          <t>N00</t>
        </is>
      </c>
      <c r="D95" s="60" t="inlineStr">
        <is>
          <t>Faux plafond couloir</t>
        </is>
      </c>
      <c r="E95" s="60" t="inlineStr">
        <is>
          <t>Soufflage</t>
        </is>
      </c>
      <c r="F95" s="60" t="inlineStr">
        <is>
          <t>HEB01 ch. bariatrique</t>
        </is>
      </c>
      <c r="G95" s="61" t="n">
        <v>3.793</v>
      </c>
      <c r="H95" s="46" t="n">
        <v>1080</v>
      </c>
      <c r="I95" s="62">
        <f>IF(A95="CTA 5",MIN(INDEX(Hypothèses!$C$6:$C$16,MATCH(H95,Hypothèses!$A$6:$A$16,1)),Hypothèses!$B$30),INDEX(Hypothèses!$C$6:$C$16,MATCH(H95,Hypothèses!$A$6:$A$16,1)))</f>
        <v/>
      </c>
      <c r="J95" s="63">
        <f>H95/3600/I95</f>
        <v/>
      </c>
      <c r="K95" s="60">
        <f>IF(A95="CTA 4",Hypothèses!$B$25,IF(AND(A95="CTA 5",H95&gt;4000),Hypothèses!$B$29,IF(H95&lt;=2000,Hypothèses!$B$23,Hypothèses!$B$24)))</f>
        <v/>
      </c>
      <c r="L95" s="60">
        <f>MAX(Hypothèses!$B$26,CEILING(J95/(K95/1000)*1000,Hypothèses!$B$27))</f>
        <v/>
      </c>
      <c r="M95" s="63">
        <f>L95*K95/1000000</f>
        <v/>
      </c>
      <c r="N95" s="64">
        <f>H95/3600/M95</f>
        <v/>
      </c>
      <c r="O95" s="60">
        <f>IF(N95&lt;=I95,"oui","NON")</f>
        <v/>
      </c>
      <c r="P95" s="63">
        <f>1.3*((L95/1000)*(K95/1000))^0.625/((L95/1000)+(K95/1000))^0.25</f>
        <v/>
      </c>
      <c r="Q95" s="65">
        <f>N95*P95/Hypothèses!$B$20</f>
        <v/>
      </c>
      <c r="R95" s="66">
        <f>0.25/(LOG10(Hypothèses!$B$21/(3.7*P95)+5.74/Q95^0.9))^2</f>
        <v/>
      </c>
      <c r="S95" s="64">
        <f>R95/P95*Hypothèses!$B$19*N95^2/2</f>
        <v/>
      </c>
      <c r="T95" s="62">
        <f>S95*G95*(1+Hypothèses!$B$22)</f>
        <v/>
      </c>
      <c r="U95" s="45" t="inlineStr">
        <is>
          <t>X</t>
        </is>
      </c>
      <c r="V95" s="60">
        <f>IF(K95&lt;=Hypothèses!$B$28-100,"oui","NON")</f>
        <v/>
      </c>
    </row>
    <row r="96" ht="15" customHeight="1" s="40">
      <c r="A96" s="60" t="inlineStr">
        <is>
          <t>CTA 2</t>
        </is>
      </c>
      <c r="B96" s="60" t="inlineStr">
        <is>
          <t>CTA2-S22</t>
        </is>
      </c>
      <c r="C96" s="60" t="inlineStr">
        <is>
          <t>N00</t>
        </is>
      </c>
      <c r="D96" s="60" t="inlineStr">
        <is>
          <t>Faux plafond couloir</t>
        </is>
      </c>
      <c r="E96" s="60" t="inlineStr">
        <is>
          <t>Soufflage</t>
        </is>
      </c>
      <c r="F96" s="60" t="inlineStr">
        <is>
          <t>HEB01 ch. couple</t>
        </is>
      </c>
      <c r="G96" s="61" t="n">
        <v>0.324</v>
      </c>
      <c r="H96" s="46" t="n">
        <v>990</v>
      </c>
      <c r="I96" s="62">
        <f>IF(A96="CTA 5",MIN(INDEX(Hypothèses!$C$6:$C$16,MATCH(H96,Hypothèses!$A$6:$A$16,1)),Hypothèses!$B$30),INDEX(Hypothèses!$C$6:$C$16,MATCH(H96,Hypothèses!$A$6:$A$16,1)))</f>
        <v/>
      </c>
      <c r="J96" s="63">
        <f>H96/3600/I96</f>
        <v/>
      </c>
      <c r="K96" s="60">
        <f>IF(A96="CTA 4",Hypothèses!$B$25,IF(AND(A96="CTA 5",H96&gt;4000),Hypothèses!$B$29,IF(H96&lt;=2000,Hypothèses!$B$23,Hypothèses!$B$24)))</f>
        <v/>
      </c>
      <c r="L96" s="60">
        <f>MAX(Hypothèses!$B$26,CEILING(J96/(K96/1000)*1000,Hypothèses!$B$27))</f>
        <v/>
      </c>
      <c r="M96" s="63">
        <f>L96*K96/1000000</f>
        <v/>
      </c>
      <c r="N96" s="64">
        <f>H96/3600/M96</f>
        <v/>
      </c>
      <c r="O96" s="60">
        <f>IF(N96&lt;=I96,"oui","NON")</f>
        <v/>
      </c>
      <c r="P96" s="63">
        <f>1.3*((L96/1000)*(K96/1000))^0.625/((L96/1000)+(K96/1000))^0.25</f>
        <v/>
      </c>
      <c r="Q96" s="65">
        <f>N96*P96/Hypothèses!$B$20</f>
        <v/>
      </c>
      <c r="R96" s="66">
        <f>0.25/(LOG10(Hypothèses!$B$21/(3.7*P96)+5.74/Q96^0.9))^2</f>
        <v/>
      </c>
      <c r="S96" s="64">
        <f>R96/P96*Hypothèses!$B$19*N96^2/2</f>
        <v/>
      </c>
      <c r="T96" s="62">
        <f>S96*G96*(1+Hypothèses!$B$22)</f>
        <v/>
      </c>
      <c r="U96" s="45" t="inlineStr">
        <is>
          <t>X</t>
        </is>
      </c>
      <c r="V96" s="60">
        <f>IF(K96&lt;=Hypothèses!$B$28-100,"oui","NON")</f>
        <v/>
      </c>
    </row>
    <row r="97" ht="15" customHeight="1" s="40">
      <c r="A97" s="60" t="inlineStr">
        <is>
          <t>CTA 2</t>
        </is>
      </c>
      <c r="B97" s="60" t="inlineStr">
        <is>
          <t>CTA2-S23</t>
        </is>
      </c>
      <c r="C97" s="60" t="inlineStr">
        <is>
          <t>N00</t>
        </is>
      </c>
      <c r="D97" s="60" t="inlineStr">
        <is>
          <t>Faux plafond couloir</t>
        </is>
      </c>
      <c r="E97" s="60" t="inlineStr">
        <is>
          <t>Soufflage</t>
        </is>
      </c>
      <c r="F97" s="60" t="inlineStr">
        <is>
          <t>HEB01 ch. couple</t>
        </is>
      </c>
      <c r="G97" s="61" t="n">
        <v>3.727</v>
      </c>
      <c r="H97" s="46" t="n">
        <v>900</v>
      </c>
      <c r="I97" s="62">
        <f>IF(A97="CTA 5",MIN(INDEX(Hypothèses!$C$6:$C$16,MATCH(H97,Hypothèses!$A$6:$A$16,1)),Hypothèses!$B$30),INDEX(Hypothèses!$C$6:$C$16,MATCH(H97,Hypothèses!$A$6:$A$16,1)))</f>
        <v/>
      </c>
      <c r="J97" s="63">
        <f>H97/3600/I97</f>
        <v/>
      </c>
      <c r="K97" s="60">
        <f>IF(A97="CTA 4",Hypothèses!$B$25,IF(AND(A97="CTA 5",H97&gt;4000),Hypothèses!$B$29,IF(H97&lt;=2000,Hypothèses!$B$23,Hypothèses!$B$24)))</f>
        <v/>
      </c>
      <c r="L97" s="60">
        <f>MAX(Hypothèses!$B$26,CEILING(J97/(K97/1000)*1000,Hypothèses!$B$27))</f>
        <v/>
      </c>
      <c r="M97" s="63">
        <f>L97*K97/1000000</f>
        <v/>
      </c>
      <c r="N97" s="64">
        <f>H97/3600/M97</f>
        <v/>
      </c>
      <c r="O97" s="60">
        <f>IF(N97&lt;=I97,"oui","NON")</f>
        <v/>
      </c>
      <c r="P97" s="63">
        <f>1.3*((L97/1000)*(K97/1000))^0.625/((L97/1000)+(K97/1000))^0.25</f>
        <v/>
      </c>
      <c r="Q97" s="65">
        <f>N97*P97/Hypothèses!$B$20</f>
        <v/>
      </c>
      <c r="R97" s="66">
        <f>0.25/(LOG10(Hypothèses!$B$21/(3.7*P97)+5.74/Q97^0.9))^2</f>
        <v/>
      </c>
      <c r="S97" s="64">
        <f>R97/P97*Hypothèses!$B$19*N97^2/2</f>
        <v/>
      </c>
      <c r="T97" s="62">
        <f>S97*G97*(1+Hypothèses!$B$22)</f>
        <v/>
      </c>
      <c r="U97" s="45" t="inlineStr">
        <is>
          <t>X</t>
        </is>
      </c>
      <c r="V97" s="60">
        <f>IF(K97&lt;=Hypothèses!$B$28-100,"oui","NON")</f>
        <v/>
      </c>
    </row>
    <row r="98" ht="15" customHeight="1" s="40">
      <c r="A98" s="60" t="inlineStr">
        <is>
          <t>CTA 2</t>
        </is>
      </c>
      <c r="B98" s="60" t="inlineStr">
        <is>
          <t>CTA2-S24</t>
        </is>
      </c>
      <c r="C98" s="60" t="inlineStr">
        <is>
          <t>N00</t>
        </is>
      </c>
      <c r="D98" s="60" t="inlineStr">
        <is>
          <t>Faux plafond couloir</t>
        </is>
      </c>
      <c r="E98" s="60" t="inlineStr">
        <is>
          <t>Soufflage</t>
        </is>
      </c>
      <c r="F98" s="60" t="inlineStr">
        <is>
          <t>HEB01 chambre</t>
        </is>
      </c>
      <c r="G98" s="61" t="n">
        <v>0.442</v>
      </c>
      <c r="H98" s="46" t="n">
        <v>810</v>
      </c>
      <c r="I98" s="62">
        <f>IF(A98="CTA 5",MIN(INDEX(Hypothèses!$C$6:$C$16,MATCH(H98,Hypothèses!$A$6:$A$16,1)),Hypothèses!$B$30),INDEX(Hypothèses!$C$6:$C$16,MATCH(H98,Hypothèses!$A$6:$A$16,1)))</f>
        <v/>
      </c>
      <c r="J98" s="63">
        <f>H98/3600/I98</f>
        <v/>
      </c>
      <c r="K98" s="60">
        <f>IF(A98="CTA 4",Hypothèses!$B$25,IF(AND(A98="CTA 5",H98&gt;4000),Hypothèses!$B$29,IF(H98&lt;=2000,Hypothèses!$B$23,Hypothèses!$B$24)))</f>
        <v/>
      </c>
      <c r="L98" s="60">
        <f>MAX(Hypothèses!$B$26,CEILING(J98/(K98/1000)*1000,Hypothèses!$B$27))</f>
        <v/>
      </c>
      <c r="M98" s="63">
        <f>L98*K98/1000000</f>
        <v/>
      </c>
      <c r="N98" s="64">
        <f>H98/3600/M98</f>
        <v/>
      </c>
      <c r="O98" s="60">
        <f>IF(N98&lt;=I98,"oui","NON")</f>
        <v/>
      </c>
      <c r="P98" s="63">
        <f>1.3*((L98/1000)*(K98/1000))^0.625/((L98/1000)+(K98/1000))^0.25</f>
        <v/>
      </c>
      <c r="Q98" s="65">
        <f>N98*P98/Hypothèses!$B$20</f>
        <v/>
      </c>
      <c r="R98" s="66">
        <f>0.25/(LOG10(Hypothèses!$B$21/(3.7*P98)+5.74/Q98^0.9))^2</f>
        <v/>
      </c>
      <c r="S98" s="64">
        <f>R98/P98*Hypothèses!$B$19*N98^2/2</f>
        <v/>
      </c>
      <c r="T98" s="62">
        <f>S98*G98*(1+Hypothèses!$B$22)</f>
        <v/>
      </c>
      <c r="U98" s="45" t="inlineStr">
        <is>
          <t>X</t>
        </is>
      </c>
      <c r="V98" s="60">
        <f>IF(K98&lt;=Hypothèses!$B$28-100,"oui","NON")</f>
        <v/>
      </c>
    </row>
    <row r="99" ht="15" customHeight="1" s="40">
      <c r="A99" s="60" t="inlineStr">
        <is>
          <t>CTA 2</t>
        </is>
      </c>
      <c r="B99" s="60" t="inlineStr">
        <is>
          <t>CTA2-S25</t>
        </is>
      </c>
      <c r="C99" s="60" t="inlineStr">
        <is>
          <t>N00</t>
        </is>
      </c>
      <c r="D99" s="60" t="inlineStr">
        <is>
          <t>Faux plafond couloir</t>
        </is>
      </c>
      <c r="E99" s="60" t="inlineStr">
        <is>
          <t>Soufflage</t>
        </is>
      </c>
      <c r="F99" s="60" t="inlineStr">
        <is>
          <t>HEB01 chambre</t>
        </is>
      </c>
      <c r="G99" s="61" t="n">
        <v>3.759</v>
      </c>
      <c r="H99" s="46" t="n">
        <v>810</v>
      </c>
      <c r="I99" s="62">
        <f>IF(A99="CTA 5",MIN(INDEX(Hypothèses!$C$6:$C$16,MATCH(H99,Hypothèses!$A$6:$A$16,1)),Hypothèses!$B$30),INDEX(Hypothèses!$C$6:$C$16,MATCH(H99,Hypothèses!$A$6:$A$16,1)))</f>
        <v/>
      </c>
      <c r="J99" s="63">
        <f>H99/3600/I99</f>
        <v/>
      </c>
      <c r="K99" s="60">
        <f>IF(A99="CTA 4",Hypothèses!$B$25,IF(AND(A99="CTA 5",H99&gt;4000),Hypothèses!$B$29,IF(H99&lt;=2000,Hypothèses!$B$23,Hypothèses!$B$24)))</f>
        <v/>
      </c>
      <c r="L99" s="60">
        <f>MAX(Hypothèses!$B$26,CEILING(J99/(K99/1000)*1000,Hypothèses!$B$27))</f>
        <v/>
      </c>
      <c r="M99" s="63">
        <f>L99*K99/1000000</f>
        <v/>
      </c>
      <c r="N99" s="64">
        <f>H99/3600/M99</f>
        <v/>
      </c>
      <c r="O99" s="60">
        <f>IF(N99&lt;=I99,"oui","NON")</f>
        <v/>
      </c>
      <c r="P99" s="63">
        <f>1.3*((L99/1000)*(K99/1000))^0.625/((L99/1000)+(K99/1000))^0.25</f>
        <v/>
      </c>
      <c r="Q99" s="65">
        <f>N99*P99/Hypothèses!$B$20</f>
        <v/>
      </c>
      <c r="R99" s="66">
        <f>0.25/(LOG10(Hypothèses!$B$21/(3.7*P99)+5.74/Q99^0.9))^2</f>
        <v/>
      </c>
      <c r="S99" s="64">
        <f>R99/P99*Hypothèses!$B$19*N99^2/2</f>
        <v/>
      </c>
      <c r="T99" s="62">
        <f>S99*G99*(1+Hypothèses!$B$22)</f>
        <v/>
      </c>
      <c r="U99" s="45" t="inlineStr">
        <is>
          <t>X</t>
        </is>
      </c>
      <c r="V99" s="60">
        <f>IF(K99&lt;=Hypothèses!$B$28-100,"oui","NON")</f>
        <v/>
      </c>
    </row>
    <row r="100" ht="15" customHeight="1" s="40">
      <c r="A100" s="60" t="inlineStr">
        <is>
          <t>CTA 2</t>
        </is>
      </c>
      <c r="B100" s="60" t="inlineStr">
        <is>
          <t>CTA2-S26</t>
        </is>
      </c>
      <c r="C100" s="60" t="inlineStr">
        <is>
          <t>N00</t>
        </is>
      </c>
      <c r="D100" s="60" t="inlineStr">
        <is>
          <t>Faux plafond couloir</t>
        </is>
      </c>
      <c r="E100" s="60" t="inlineStr">
        <is>
          <t>Soufflage</t>
        </is>
      </c>
      <c r="F100" s="60" t="inlineStr">
        <is>
          <t>HEB01 ch. couple</t>
        </is>
      </c>
      <c r="G100" s="61" t="n">
        <v>0.201</v>
      </c>
      <c r="H100" s="46" t="n">
        <v>720</v>
      </c>
      <c r="I100" s="62">
        <f>IF(A100="CTA 5",MIN(INDEX(Hypothèses!$C$6:$C$16,MATCH(H100,Hypothèses!$A$6:$A$16,1)),Hypothèses!$B$30),INDEX(Hypothèses!$C$6:$C$16,MATCH(H100,Hypothèses!$A$6:$A$16,1)))</f>
        <v/>
      </c>
      <c r="J100" s="63">
        <f>H100/3600/I100</f>
        <v/>
      </c>
      <c r="K100" s="60">
        <f>IF(A100="CTA 4",Hypothèses!$B$25,IF(AND(A100="CTA 5",H100&gt;4000),Hypothèses!$B$29,IF(H100&lt;=2000,Hypothèses!$B$23,Hypothèses!$B$24)))</f>
        <v/>
      </c>
      <c r="L100" s="60">
        <f>MAX(Hypothèses!$B$26,CEILING(J100/(K100/1000)*1000,Hypothèses!$B$27))</f>
        <v/>
      </c>
      <c r="M100" s="63">
        <f>L100*K100/1000000</f>
        <v/>
      </c>
      <c r="N100" s="64">
        <f>H100/3600/M100</f>
        <v/>
      </c>
      <c r="O100" s="60">
        <f>IF(N100&lt;=I100,"oui","NON")</f>
        <v/>
      </c>
      <c r="P100" s="63">
        <f>1.3*((L100/1000)*(K100/1000))^0.625/((L100/1000)+(K100/1000))^0.25</f>
        <v/>
      </c>
      <c r="Q100" s="65">
        <f>N100*P100/Hypothèses!$B$20</f>
        <v/>
      </c>
      <c r="R100" s="66">
        <f>0.25/(LOG10(Hypothèses!$B$21/(3.7*P100)+5.74/Q100^0.9))^2</f>
        <v/>
      </c>
      <c r="S100" s="64">
        <f>R100/P100*Hypothèses!$B$19*N100^2/2</f>
        <v/>
      </c>
      <c r="T100" s="62">
        <f>S100*G100*(1+Hypothèses!$B$22)</f>
        <v/>
      </c>
      <c r="U100" s="45" t="inlineStr">
        <is>
          <t>X</t>
        </is>
      </c>
      <c r="V100" s="60">
        <f>IF(K100&lt;=Hypothèses!$B$28-100,"oui","NON")</f>
        <v/>
      </c>
    </row>
    <row r="101" ht="15" customHeight="1" s="40">
      <c r="A101" s="60" t="inlineStr">
        <is>
          <t>CTA 2</t>
        </is>
      </c>
      <c r="B101" s="60" t="inlineStr">
        <is>
          <t>CTA2-S27</t>
        </is>
      </c>
      <c r="C101" s="60" t="inlineStr">
        <is>
          <t>N00</t>
        </is>
      </c>
      <c r="D101" s="60" t="inlineStr">
        <is>
          <t>Faux plafond couloir</t>
        </is>
      </c>
      <c r="E101" s="60" t="inlineStr">
        <is>
          <t>Soufflage</t>
        </is>
      </c>
      <c r="F101" s="60" t="inlineStr">
        <is>
          <t>HEB01 ch. couple</t>
        </is>
      </c>
      <c r="G101" s="61" t="n">
        <v>3.776</v>
      </c>
      <c r="H101" s="46" t="n">
        <v>630</v>
      </c>
      <c r="I101" s="62">
        <f>IF(A101="CTA 5",MIN(INDEX(Hypothèses!$C$6:$C$16,MATCH(H101,Hypothèses!$A$6:$A$16,1)),Hypothèses!$B$30),INDEX(Hypothèses!$C$6:$C$16,MATCH(H101,Hypothèses!$A$6:$A$16,1)))</f>
        <v/>
      </c>
      <c r="J101" s="63">
        <f>H101/3600/I101</f>
        <v/>
      </c>
      <c r="K101" s="60">
        <f>IF(A101="CTA 4",Hypothèses!$B$25,IF(AND(A101="CTA 5",H101&gt;4000),Hypothèses!$B$29,IF(H101&lt;=2000,Hypothèses!$B$23,Hypothèses!$B$24)))</f>
        <v/>
      </c>
      <c r="L101" s="60">
        <f>MAX(Hypothèses!$B$26,CEILING(J101/(K101/1000)*1000,Hypothèses!$B$27))</f>
        <v/>
      </c>
      <c r="M101" s="63">
        <f>L101*K101/1000000</f>
        <v/>
      </c>
      <c r="N101" s="64">
        <f>H101/3600/M101</f>
        <v/>
      </c>
      <c r="O101" s="60">
        <f>IF(N101&lt;=I101,"oui","NON")</f>
        <v/>
      </c>
      <c r="P101" s="63">
        <f>1.3*((L101/1000)*(K101/1000))^0.625/((L101/1000)+(K101/1000))^0.25</f>
        <v/>
      </c>
      <c r="Q101" s="65">
        <f>N101*P101/Hypothèses!$B$20</f>
        <v/>
      </c>
      <c r="R101" s="66">
        <f>0.25/(LOG10(Hypothèses!$B$21/(3.7*P101)+5.74/Q101^0.9))^2</f>
        <v/>
      </c>
      <c r="S101" s="64">
        <f>R101/P101*Hypothèses!$B$19*N101^2/2</f>
        <v/>
      </c>
      <c r="T101" s="62">
        <f>S101*G101*(1+Hypothèses!$B$22)</f>
        <v/>
      </c>
      <c r="U101" s="45" t="inlineStr">
        <is>
          <t>X</t>
        </is>
      </c>
      <c r="V101" s="60">
        <f>IF(K101&lt;=Hypothèses!$B$28-100,"oui","NON")</f>
        <v/>
      </c>
    </row>
    <row r="102" ht="15" customHeight="1" s="40">
      <c r="A102" s="60" t="inlineStr">
        <is>
          <t>CTA 2</t>
        </is>
      </c>
      <c r="B102" s="60" t="inlineStr">
        <is>
          <t>CTA2-S28</t>
        </is>
      </c>
      <c r="C102" s="60" t="inlineStr">
        <is>
          <t>N00</t>
        </is>
      </c>
      <c r="D102" s="60" t="inlineStr">
        <is>
          <t>Faux plafond couloir</t>
        </is>
      </c>
      <c r="E102" s="60" t="inlineStr">
        <is>
          <t>Soufflage</t>
        </is>
      </c>
      <c r="F102" s="60" t="inlineStr">
        <is>
          <t>HEB01 chambre</t>
        </is>
      </c>
      <c r="G102" s="61" t="n">
        <v>0.5</v>
      </c>
      <c r="H102" s="46" t="n">
        <v>450</v>
      </c>
      <c r="I102" s="62">
        <f>IF(A102="CTA 5",MIN(INDEX(Hypothèses!$C$6:$C$16,MATCH(H102,Hypothèses!$A$6:$A$16,1)),Hypothèses!$B$30),INDEX(Hypothèses!$C$6:$C$16,MATCH(H102,Hypothèses!$A$6:$A$16,1)))</f>
        <v/>
      </c>
      <c r="J102" s="63">
        <f>H102/3600/I102</f>
        <v/>
      </c>
      <c r="K102" s="60">
        <f>IF(A102="CTA 4",Hypothèses!$B$25,IF(AND(A102="CTA 5",H102&gt;4000),Hypothèses!$B$29,IF(H102&lt;=2000,Hypothèses!$B$23,Hypothèses!$B$24)))</f>
        <v/>
      </c>
      <c r="L102" s="60">
        <f>MAX(Hypothèses!$B$26,CEILING(J102/(K102/1000)*1000,Hypothèses!$B$27))</f>
        <v/>
      </c>
      <c r="M102" s="63">
        <f>L102*K102/1000000</f>
        <v/>
      </c>
      <c r="N102" s="64">
        <f>H102/3600/M102</f>
        <v/>
      </c>
      <c r="O102" s="60">
        <f>IF(N102&lt;=I102,"oui","NON")</f>
        <v/>
      </c>
      <c r="P102" s="63">
        <f>1.3*((L102/1000)*(K102/1000))^0.625/((L102/1000)+(K102/1000))^0.25</f>
        <v/>
      </c>
      <c r="Q102" s="65">
        <f>N102*P102/Hypothèses!$B$20</f>
        <v/>
      </c>
      <c r="R102" s="66">
        <f>0.25/(LOG10(Hypothèses!$B$21/(3.7*P102)+5.74/Q102^0.9))^2</f>
        <v/>
      </c>
      <c r="S102" s="64">
        <f>R102/P102*Hypothèses!$B$19*N102^2/2</f>
        <v/>
      </c>
      <c r="T102" s="62">
        <f>S102*G102*(1+Hypothèses!$B$22)</f>
        <v/>
      </c>
      <c r="U102" s="45" t="inlineStr">
        <is>
          <t>X</t>
        </is>
      </c>
      <c r="V102" s="60">
        <f>IF(K102&lt;=Hypothèses!$B$28-100,"oui","NON")</f>
        <v/>
      </c>
    </row>
    <row r="103" ht="15" customHeight="1" s="40">
      <c r="A103" s="60" t="inlineStr">
        <is>
          <t>CTA 2</t>
        </is>
      </c>
      <c r="B103" s="60" t="inlineStr">
        <is>
          <t>CTA2-S29</t>
        </is>
      </c>
      <c r="C103" s="60" t="inlineStr">
        <is>
          <t>N00</t>
        </is>
      </c>
      <c r="D103" s="60" t="inlineStr">
        <is>
          <t>Faux plafond couloir</t>
        </is>
      </c>
      <c r="E103" s="60" t="inlineStr">
        <is>
          <t>Soufflage</t>
        </is>
      </c>
      <c r="F103" s="60" t="inlineStr">
        <is>
          <t>HEB01 ch. bariatrique</t>
        </is>
      </c>
      <c r="G103" s="61" t="n">
        <v>4.028</v>
      </c>
      <c r="H103" s="46" t="n">
        <v>450</v>
      </c>
      <c r="I103" s="62">
        <f>IF(A103="CTA 5",MIN(INDEX(Hypothèses!$C$6:$C$16,MATCH(H103,Hypothèses!$A$6:$A$16,1)),Hypothèses!$B$30),INDEX(Hypothèses!$C$6:$C$16,MATCH(H103,Hypothèses!$A$6:$A$16,1)))</f>
        <v/>
      </c>
      <c r="J103" s="63">
        <f>H103/3600/I103</f>
        <v/>
      </c>
      <c r="K103" s="60">
        <f>IF(A103="CTA 4",Hypothèses!$B$25,IF(AND(A103="CTA 5",H103&gt;4000),Hypothèses!$B$29,IF(H103&lt;=2000,Hypothèses!$B$23,Hypothèses!$B$24)))</f>
        <v/>
      </c>
      <c r="L103" s="60">
        <f>MAX(Hypothèses!$B$26,CEILING(J103/(K103/1000)*1000,Hypothèses!$B$27))</f>
        <v/>
      </c>
      <c r="M103" s="63">
        <f>L103*K103/1000000</f>
        <v/>
      </c>
      <c r="N103" s="64">
        <f>H103/3600/M103</f>
        <v/>
      </c>
      <c r="O103" s="60">
        <f>IF(N103&lt;=I103,"oui","NON")</f>
        <v/>
      </c>
      <c r="P103" s="63">
        <f>1.3*((L103/1000)*(K103/1000))^0.625/((L103/1000)+(K103/1000))^0.25</f>
        <v/>
      </c>
      <c r="Q103" s="65">
        <f>N103*P103/Hypothèses!$B$20</f>
        <v/>
      </c>
      <c r="R103" s="66">
        <f>0.25/(LOG10(Hypothèses!$B$21/(3.7*P103)+5.74/Q103^0.9))^2</f>
        <v/>
      </c>
      <c r="S103" s="64">
        <f>R103/P103*Hypothèses!$B$19*N103^2/2</f>
        <v/>
      </c>
      <c r="T103" s="62">
        <f>S103*G103*(1+Hypothèses!$B$22)</f>
        <v/>
      </c>
      <c r="U103" s="45" t="inlineStr">
        <is>
          <t>X</t>
        </is>
      </c>
      <c r="V103" s="60">
        <f>IF(K103&lt;=Hypothèses!$B$28-100,"oui","NON")</f>
        <v/>
      </c>
    </row>
    <row r="104" ht="15" customHeight="1" s="40">
      <c r="A104" s="60" t="inlineStr">
        <is>
          <t>CTA 2</t>
        </is>
      </c>
      <c r="B104" s="60" t="inlineStr">
        <is>
          <t>CTA2-S30</t>
        </is>
      </c>
      <c r="C104" s="60" t="inlineStr">
        <is>
          <t>N00</t>
        </is>
      </c>
      <c r="D104" s="60" t="inlineStr">
        <is>
          <t>Faux plafond couloir</t>
        </is>
      </c>
      <c r="E104" s="60" t="inlineStr">
        <is>
          <t>Soufflage</t>
        </is>
      </c>
      <c r="F104" s="60" t="inlineStr">
        <is>
          <t>HEB01 chambre</t>
        </is>
      </c>
      <c r="G104" s="61" t="n">
        <v>2.376</v>
      </c>
      <c r="H104" s="46" t="n">
        <v>360</v>
      </c>
      <c r="I104" s="62">
        <f>IF(A104="CTA 5",MIN(INDEX(Hypothèses!$C$6:$C$16,MATCH(H104,Hypothèses!$A$6:$A$16,1)),Hypothèses!$B$30),INDEX(Hypothèses!$C$6:$C$16,MATCH(H104,Hypothèses!$A$6:$A$16,1)))</f>
        <v/>
      </c>
      <c r="J104" s="63">
        <f>H104/3600/I104</f>
        <v/>
      </c>
      <c r="K104" s="60">
        <f>IF(A104="CTA 4",Hypothèses!$B$25,IF(AND(A104="CTA 5",H104&gt;4000),Hypothèses!$B$29,IF(H104&lt;=2000,Hypothèses!$B$23,Hypothèses!$B$24)))</f>
        <v/>
      </c>
      <c r="L104" s="60">
        <f>MAX(Hypothèses!$B$26,CEILING(J104/(K104/1000)*1000,Hypothèses!$B$27))</f>
        <v/>
      </c>
      <c r="M104" s="63">
        <f>L104*K104/1000000</f>
        <v/>
      </c>
      <c r="N104" s="64">
        <f>H104/3600/M104</f>
        <v/>
      </c>
      <c r="O104" s="60">
        <f>IF(N104&lt;=I104,"oui","NON")</f>
        <v/>
      </c>
      <c r="P104" s="63">
        <f>1.3*((L104/1000)*(K104/1000))^0.625/((L104/1000)+(K104/1000))^0.25</f>
        <v/>
      </c>
      <c r="Q104" s="65">
        <f>N104*P104/Hypothèses!$B$20</f>
        <v/>
      </c>
      <c r="R104" s="66">
        <f>0.25/(LOG10(Hypothèses!$B$21/(3.7*P104)+5.74/Q104^0.9))^2</f>
        <v/>
      </c>
      <c r="S104" s="64">
        <f>R104/P104*Hypothèses!$B$19*N104^2/2</f>
        <v/>
      </c>
      <c r="T104" s="62">
        <f>S104*G104*(1+Hypothèses!$B$22)</f>
        <v/>
      </c>
      <c r="U104" s="45" t="inlineStr">
        <is>
          <t>X</t>
        </is>
      </c>
      <c r="V104" s="60">
        <f>IF(K104&lt;=Hypothèses!$B$28-100,"oui","NON")</f>
        <v/>
      </c>
    </row>
    <row r="105" ht="15" customHeight="1" s="40">
      <c r="A105" s="60" t="inlineStr">
        <is>
          <t>CTA 2</t>
        </is>
      </c>
      <c r="B105" s="60" t="inlineStr">
        <is>
          <t>CTA2-S31</t>
        </is>
      </c>
      <c r="C105" s="60" t="inlineStr">
        <is>
          <t>N00</t>
        </is>
      </c>
      <c r="D105" s="60" t="inlineStr">
        <is>
          <t>Faux plafond couloir</t>
        </is>
      </c>
      <c r="E105" s="60" t="inlineStr">
        <is>
          <t>Soufflage</t>
        </is>
      </c>
      <c r="F105" s="60" t="inlineStr">
        <is>
          <t>HEB01 ch. bariatrique</t>
        </is>
      </c>
      <c r="G105" s="61" t="n">
        <v>1.433</v>
      </c>
      <c r="H105" s="46" t="n">
        <v>180</v>
      </c>
      <c r="I105" s="62">
        <f>IF(A105="CTA 5",MIN(INDEX(Hypothèses!$C$6:$C$16,MATCH(H105,Hypothèses!$A$6:$A$16,1)),Hypothèses!$B$30),INDEX(Hypothèses!$C$6:$C$16,MATCH(H105,Hypothèses!$A$6:$A$16,1)))</f>
        <v/>
      </c>
      <c r="J105" s="63">
        <f>H105/3600/I105</f>
        <v/>
      </c>
      <c r="K105" s="60">
        <f>IF(A105="CTA 4",Hypothèses!$B$25,IF(AND(A105="CTA 5",H105&gt;4000),Hypothèses!$B$29,IF(H105&lt;=2000,Hypothèses!$B$23,Hypothèses!$B$24)))</f>
        <v/>
      </c>
      <c r="L105" s="60">
        <f>MAX(Hypothèses!$B$26,CEILING(J105/(K105/1000)*1000,Hypothèses!$B$27))</f>
        <v/>
      </c>
      <c r="M105" s="63">
        <f>L105*K105/1000000</f>
        <v/>
      </c>
      <c r="N105" s="64">
        <f>H105/3600/M105</f>
        <v/>
      </c>
      <c r="O105" s="60">
        <f>IF(N105&lt;=I105,"oui","NON")</f>
        <v/>
      </c>
      <c r="P105" s="63">
        <f>1.3*((L105/1000)*(K105/1000))^0.625/((L105/1000)+(K105/1000))^0.25</f>
        <v/>
      </c>
      <c r="Q105" s="65">
        <f>N105*P105/Hypothèses!$B$20</f>
        <v/>
      </c>
      <c r="R105" s="66">
        <f>0.25/(LOG10(Hypothèses!$B$21/(3.7*P105)+5.74/Q105^0.9))^2</f>
        <v/>
      </c>
      <c r="S105" s="64">
        <f>R105/P105*Hypothèses!$B$19*N105^2/2</f>
        <v/>
      </c>
      <c r="T105" s="62">
        <f>S105*G105*(1+Hypothèses!$B$22)</f>
        <v/>
      </c>
      <c r="U105" s="45" t="inlineStr">
        <is>
          <t>X</t>
        </is>
      </c>
      <c r="V105" s="60">
        <f>IF(K105&lt;=Hypothèses!$B$28-100,"oui","NON")</f>
        <v/>
      </c>
    </row>
    <row r="106" ht="15" customHeight="1" s="40">
      <c r="A106" s="60" t="inlineStr">
        <is>
          <t>CTA 2</t>
        </is>
      </c>
      <c r="B106" s="60" t="inlineStr">
        <is>
          <t>CTA2-S32</t>
        </is>
      </c>
      <c r="C106" s="60" t="inlineStr">
        <is>
          <t>N00</t>
        </is>
      </c>
      <c r="D106" s="60" t="inlineStr">
        <is>
          <t>Faux plafond couloir</t>
        </is>
      </c>
      <c r="E106" s="60" t="inlineStr">
        <is>
          <t>Soufflage</t>
        </is>
      </c>
      <c r="F106" s="60" t="inlineStr">
        <is>
          <t>HEB01 chambre</t>
        </is>
      </c>
      <c r="G106" s="61" t="n">
        <v>2.357</v>
      </c>
      <c r="H106" s="46" t="n">
        <v>90</v>
      </c>
      <c r="I106" s="62">
        <f>IF(A106="CTA 5",MIN(INDEX(Hypothèses!$C$6:$C$16,MATCH(H106,Hypothèses!$A$6:$A$16,1)),Hypothèses!$B$30),INDEX(Hypothèses!$C$6:$C$16,MATCH(H106,Hypothèses!$A$6:$A$16,1)))</f>
        <v/>
      </c>
      <c r="J106" s="63">
        <f>H106/3600/I106</f>
        <v/>
      </c>
      <c r="K106" s="60">
        <f>IF(A106="CTA 4",Hypothèses!$B$25,IF(AND(A106="CTA 5",H106&gt;4000),Hypothèses!$B$29,IF(H106&lt;=2000,Hypothèses!$B$23,Hypothèses!$B$24)))</f>
        <v/>
      </c>
      <c r="L106" s="60">
        <f>MAX(Hypothèses!$B$26,CEILING(J106/(K106/1000)*1000,Hypothèses!$B$27))</f>
        <v/>
      </c>
      <c r="M106" s="63">
        <f>L106*K106/1000000</f>
        <v/>
      </c>
      <c r="N106" s="64">
        <f>H106/3600/M106</f>
        <v/>
      </c>
      <c r="O106" s="60">
        <f>IF(N106&lt;=I106,"oui","NON")</f>
        <v/>
      </c>
      <c r="P106" s="63">
        <f>1.3*((L106/1000)*(K106/1000))^0.625/((L106/1000)+(K106/1000))^0.25</f>
        <v/>
      </c>
      <c r="Q106" s="65">
        <f>N106*P106/Hypothèses!$B$20</f>
        <v/>
      </c>
      <c r="R106" s="66">
        <f>0.25/(LOG10(Hypothèses!$B$21/(3.7*P106)+5.74/Q106^0.9))^2</f>
        <v/>
      </c>
      <c r="S106" s="64">
        <f>R106/P106*Hypothèses!$B$19*N106^2/2</f>
        <v/>
      </c>
      <c r="T106" s="62">
        <f>S106*G106*(1+Hypothèses!$B$22)</f>
        <v/>
      </c>
      <c r="U106" s="45" t="inlineStr">
        <is>
          <t>X</t>
        </is>
      </c>
      <c r="V106" s="60">
        <f>IF(K106&lt;=Hypothèses!$B$28-100,"oui","NON")</f>
        <v/>
      </c>
    </row>
    <row r="107" ht="15" customHeight="1" s="40">
      <c r="A107" s="60" t="inlineStr">
        <is>
          <t>CTA 2</t>
        </is>
      </c>
      <c r="B107" s="60" t="inlineStr">
        <is>
          <t>CTA2-R33</t>
        </is>
      </c>
      <c r="C107" s="60" t="inlineStr">
        <is>
          <t>Toiture</t>
        </is>
      </c>
      <c r="D107" s="60" t="inlineStr">
        <is>
          <t>Toiture (CTA → descente)</t>
        </is>
      </c>
      <c r="E107" s="60" t="inlineStr">
        <is>
          <t>Reprise</t>
        </is>
      </c>
      <c r="F107" s="60" t="inlineStr">
        <is>
          <t>Sortie CTA → descente (trémie en toiture)</t>
        </is>
      </c>
      <c r="G107" s="61" t="n">
        <v>3</v>
      </c>
      <c r="H107" s="46" t="n">
        <v>2430</v>
      </c>
      <c r="I107" s="62">
        <f>IF(A107="CTA 5",MIN(INDEX(Hypothèses!$C$6:$C$16,MATCH(H107,Hypothèses!$A$6:$A$16,1)),Hypothèses!$B$30),INDEX(Hypothèses!$C$6:$C$16,MATCH(H107,Hypothèses!$A$6:$A$16,1)))</f>
        <v/>
      </c>
      <c r="J107" s="63">
        <f>H107/3600/I107</f>
        <v/>
      </c>
      <c r="K107" s="60">
        <f>IF(A107="CTA 4",Hypothèses!$B$25,IF(AND(A107="CTA 5",H107&gt;4000),Hypothèses!$B$29,IF(H107&lt;=2000,Hypothèses!$B$23,Hypothèses!$B$24)))</f>
        <v/>
      </c>
      <c r="L107" s="60">
        <f>MAX(Hypothèses!$B$26,CEILING(J107/(K107/1000)*1000,Hypothèses!$B$27))</f>
        <v/>
      </c>
      <c r="M107" s="63">
        <f>L107*K107/1000000</f>
        <v/>
      </c>
      <c r="N107" s="64">
        <f>H107/3600/M107</f>
        <v/>
      </c>
      <c r="O107" s="60">
        <f>IF(N107&lt;=I107,"oui","NON")</f>
        <v/>
      </c>
      <c r="P107" s="63">
        <f>1.3*((L107/1000)*(K107/1000))^0.625/((L107/1000)+(K107/1000))^0.25</f>
        <v/>
      </c>
      <c r="Q107" s="65">
        <f>N107*P107/Hypothèses!$B$20</f>
        <v/>
      </c>
      <c r="R107" s="66">
        <f>0.25/(LOG10(Hypothèses!$B$21/(3.7*P107)+5.74/Q107^0.9))^2</f>
        <v/>
      </c>
      <c r="S107" s="64">
        <f>R107/P107*Hypothèses!$B$19*N107^2/2</f>
        <v/>
      </c>
      <c r="T107" s="62">
        <f>S107*G107*(1+Hypothèses!$B$22)</f>
        <v/>
      </c>
      <c r="U107" s="45" t="inlineStr">
        <is>
          <t>X</t>
        </is>
      </c>
      <c r="V107" s="60" t="inlineStr">
        <is>
          <t>–</t>
        </is>
      </c>
    </row>
    <row r="108" ht="15" customHeight="1" s="40">
      <c r="A108" s="60" t="inlineStr">
        <is>
          <t>CTA 2</t>
        </is>
      </c>
      <c r="B108" s="60" t="inlineStr">
        <is>
          <t>CTA2-R34</t>
        </is>
      </c>
      <c r="C108" s="60" t="inlineStr">
        <is>
          <t>N01</t>
        </is>
      </c>
      <c r="D108" s="60" t="inlineStr">
        <is>
          <t>Descente verticale</t>
        </is>
      </c>
      <c r="E108" s="60" t="inlineStr">
        <is>
          <t>Reprise</t>
        </is>
      </c>
      <c r="F108" s="60" t="inlineStr">
        <is>
          <t>Gaine verticale : toiture → plénum étage</t>
        </is>
      </c>
      <c r="G108" s="61" t="n">
        <v>2.13</v>
      </c>
      <c r="H108" s="46" t="n">
        <v>2430</v>
      </c>
      <c r="I108" s="62">
        <f>IF(A108="CTA 5",MIN(INDEX(Hypothèses!$C$6:$C$16,MATCH(H108,Hypothèses!$A$6:$A$16,1)),Hypothèses!$B$30),INDEX(Hypothèses!$C$6:$C$16,MATCH(H108,Hypothèses!$A$6:$A$16,1)))</f>
        <v/>
      </c>
      <c r="J108" s="63">
        <f>H108/3600/I108</f>
        <v/>
      </c>
      <c r="K108" s="60">
        <f>IF(A108="CTA 4",Hypothèses!$B$25,IF(AND(A108="CTA 5",H108&gt;4000),Hypothèses!$B$29,IF(H108&lt;=2000,Hypothèses!$B$23,Hypothèses!$B$24)))</f>
        <v/>
      </c>
      <c r="L108" s="60">
        <f>MAX(Hypothèses!$B$26,CEILING(J108/(K108/1000)*1000,Hypothèses!$B$27))</f>
        <v/>
      </c>
      <c r="M108" s="63">
        <f>L108*K108/1000000</f>
        <v/>
      </c>
      <c r="N108" s="64">
        <f>H108/3600/M108</f>
        <v/>
      </c>
      <c r="O108" s="60">
        <f>IF(N108&lt;=I108,"oui","NON")</f>
        <v/>
      </c>
      <c r="P108" s="63">
        <f>1.3*((L108/1000)*(K108/1000))^0.625/((L108/1000)+(K108/1000))^0.25</f>
        <v/>
      </c>
      <c r="Q108" s="65">
        <f>N108*P108/Hypothèses!$B$20</f>
        <v/>
      </c>
      <c r="R108" s="66">
        <f>0.25/(LOG10(Hypothèses!$B$21/(3.7*P108)+5.74/Q108^0.9))^2</f>
        <v/>
      </c>
      <c r="S108" s="64">
        <f>R108/P108*Hypothèses!$B$19*N108^2/2</f>
        <v/>
      </c>
      <c r="T108" s="62">
        <f>S108*G108*(1+Hypothèses!$B$22)</f>
        <v/>
      </c>
      <c r="U108" s="45" t="inlineStr">
        <is>
          <t>X</t>
        </is>
      </c>
      <c r="V108" s="60" t="inlineStr">
        <is>
          <t>–</t>
        </is>
      </c>
    </row>
    <row r="109" ht="15" customHeight="1" s="40">
      <c r="A109" s="60" t="inlineStr">
        <is>
          <t>CTA 2</t>
        </is>
      </c>
      <c r="B109" s="60" t="inlineStr">
        <is>
          <t>CTA2-R35</t>
        </is>
      </c>
      <c r="C109" s="60" t="inlineStr">
        <is>
          <t>N00</t>
        </is>
      </c>
      <c r="D109" s="60" t="inlineStr">
        <is>
          <t>Descente verticale</t>
        </is>
      </c>
      <c r="E109" s="60" t="inlineStr">
        <is>
          <t>Reprise</t>
        </is>
      </c>
      <c r="F109" s="60" t="inlineStr">
        <is>
          <t>Gaine verticale : étage → plénum RDC</t>
        </is>
      </c>
      <c r="G109" s="61" t="n">
        <v>3.36</v>
      </c>
      <c r="H109" s="46" t="n">
        <v>1260</v>
      </c>
      <c r="I109" s="62">
        <f>IF(A109="CTA 5",MIN(INDEX(Hypothèses!$C$6:$C$16,MATCH(H109,Hypothèses!$A$6:$A$16,1)),Hypothèses!$B$30),INDEX(Hypothèses!$C$6:$C$16,MATCH(H109,Hypothèses!$A$6:$A$16,1)))</f>
        <v/>
      </c>
      <c r="J109" s="63">
        <f>H109/3600/I109</f>
        <v/>
      </c>
      <c r="K109" s="60">
        <f>IF(A109="CTA 4",Hypothèses!$B$25,IF(AND(A109="CTA 5",H109&gt;4000),Hypothèses!$B$29,IF(H109&lt;=2000,Hypothèses!$B$23,Hypothèses!$B$24)))</f>
        <v/>
      </c>
      <c r="L109" s="60">
        <f>MAX(Hypothèses!$B$26,CEILING(J109/(K109/1000)*1000,Hypothèses!$B$27))</f>
        <v/>
      </c>
      <c r="M109" s="63">
        <f>L109*K109/1000000</f>
        <v/>
      </c>
      <c r="N109" s="64">
        <f>H109/3600/M109</f>
        <v/>
      </c>
      <c r="O109" s="60">
        <f>IF(N109&lt;=I109,"oui","NON")</f>
        <v/>
      </c>
      <c r="P109" s="63">
        <f>1.3*((L109/1000)*(K109/1000))^0.625/((L109/1000)+(K109/1000))^0.25</f>
        <v/>
      </c>
      <c r="Q109" s="65">
        <f>N109*P109/Hypothèses!$B$20</f>
        <v/>
      </c>
      <c r="R109" s="66">
        <f>0.25/(LOG10(Hypothèses!$B$21/(3.7*P109)+5.74/Q109^0.9))^2</f>
        <v/>
      </c>
      <c r="S109" s="64">
        <f>R109/P109*Hypothèses!$B$19*N109^2/2</f>
        <v/>
      </c>
      <c r="T109" s="62">
        <f>S109*G109*(1+Hypothèses!$B$22)</f>
        <v/>
      </c>
      <c r="U109" s="45" t="inlineStr">
        <is>
          <t>X</t>
        </is>
      </c>
      <c r="V109" s="60" t="inlineStr">
        <is>
          <t>–</t>
        </is>
      </c>
    </row>
    <row r="110" ht="15" customHeight="1" s="40">
      <c r="A110" s="60" t="inlineStr">
        <is>
          <t>CTA 2</t>
        </is>
      </c>
      <c r="B110" s="60" t="inlineStr">
        <is>
          <t>CTA2-R36</t>
        </is>
      </c>
      <c r="C110" s="60" t="inlineStr">
        <is>
          <t>N01</t>
        </is>
      </c>
      <c r="D110" s="60" t="inlineStr">
        <is>
          <t>Faux plafond couloir</t>
        </is>
      </c>
      <c r="E110" s="60" t="inlineStr">
        <is>
          <t>Reprise</t>
        </is>
      </c>
      <c r="F110" s="60" t="n"/>
      <c r="G110" s="61" t="n">
        <v>1.6</v>
      </c>
      <c r="H110" s="46" t="n">
        <v>1170</v>
      </c>
      <c r="I110" s="62">
        <f>IF(A110="CTA 5",MIN(INDEX(Hypothèses!$C$6:$C$16,MATCH(H110,Hypothèses!$A$6:$A$16,1)),Hypothèses!$B$30),INDEX(Hypothèses!$C$6:$C$16,MATCH(H110,Hypothèses!$A$6:$A$16,1)))</f>
        <v/>
      </c>
      <c r="J110" s="63">
        <f>H110/3600/I110</f>
        <v/>
      </c>
      <c r="K110" s="60">
        <f>IF(A110="CTA 4",Hypothèses!$B$25,IF(AND(A110="CTA 5",H110&gt;4000),Hypothèses!$B$29,IF(H110&lt;=2000,Hypothèses!$B$23,Hypothèses!$B$24)))</f>
        <v/>
      </c>
      <c r="L110" s="60">
        <f>MAX(Hypothèses!$B$26,CEILING(J110/(K110/1000)*1000,Hypothèses!$B$27))</f>
        <v/>
      </c>
      <c r="M110" s="63">
        <f>L110*K110/1000000</f>
        <v/>
      </c>
      <c r="N110" s="64">
        <f>H110/3600/M110</f>
        <v/>
      </c>
      <c r="O110" s="60">
        <f>IF(N110&lt;=I110,"oui","NON")</f>
        <v/>
      </c>
      <c r="P110" s="63">
        <f>1.3*((L110/1000)*(K110/1000))^0.625/((L110/1000)+(K110/1000))^0.25</f>
        <v/>
      </c>
      <c r="Q110" s="65">
        <f>N110*P110/Hypothèses!$B$20</f>
        <v/>
      </c>
      <c r="R110" s="66">
        <f>0.25/(LOG10(Hypothèses!$B$21/(3.7*P110)+5.74/Q110^0.9))^2</f>
        <v/>
      </c>
      <c r="S110" s="64">
        <f>R110/P110*Hypothèses!$B$19*N110^2/2</f>
        <v/>
      </c>
      <c r="T110" s="62">
        <f>S110*G110*(1+Hypothèses!$B$22)</f>
        <v/>
      </c>
      <c r="U110" s="45" t="n"/>
      <c r="V110" s="60">
        <f>IF(K110&lt;=Hypothèses!$B$28-100,"oui","NON")</f>
        <v/>
      </c>
    </row>
    <row r="111" ht="15" customHeight="1" s="40">
      <c r="A111" s="60" t="inlineStr">
        <is>
          <t>CTA 2</t>
        </is>
      </c>
      <c r="B111" s="60" t="inlineStr">
        <is>
          <t>CTA2-R37</t>
        </is>
      </c>
      <c r="C111" s="60" t="inlineStr">
        <is>
          <t>N01</t>
        </is>
      </c>
      <c r="D111" s="60" t="inlineStr">
        <is>
          <t>Faux plafond couloir</t>
        </is>
      </c>
      <c r="E111" s="60" t="inlineStr">
        <is>
          <t>Reprise</t>
        </is>
      </c>
      <c r="F111" s="60" t="inlineStr">
        <is>
          <t>HEB01 ch. bariatrique</t>
        </is>
      </c>
      <c r="G111" s="61" t="n">
        <v>3.424</v>
      </c>
      <c r="H111" s="46" t="n">
        <v>1170</v>
      </c>
      <c r="I111" s="62">
        <f>IF(A111="CTA 5",MIN(INDEX(Hypothèses!$C$6:$C$16,MATCH(H111,Hypothèses!$A$6:$A$16,1)),Hypothèses!$B$30),INDEX(Hypothèses!$C$6:$C$16,MATCH(H111,Hypothèses!$A$6:$A$16,1)))</f>
        <v/>
      </c>
      <c r="J111" s="63">
        <f>H111/3600/I111</f>
        <v/>
      </c>
      <c r="K111" s="60">
        <f>IF(A111="CTA 4",Hypothèses!$B$25,IF(AND(A111="CTA 5",H111&gt;4000),Hypothèses!$B$29,IF(H111&lt;=2000,Hypothèses!$B$23,Hypothèses!$B$24)))</f>
        <v/>
      </c>
      <c r="L111" s="60">
        <f>MAX(Hypothèses!$B$26,CEILING(J111/(K111/1000)*1000,Hypothèses!$B$27))</f>
        <v/>
      </c>
      <c r="M111" s="63">
        <f>L111*K111/1000000</f>
        <v/>
      </c>
      <c r="N111" s="64">
        <f>H111/3600/M111</f>
        <v/>
      </c>
      <c r="O111" s="60">
        <f>IF(N111&lt;=I111,"oui","NON")</f>
        <v/>
      </c>
      <c r="P111" s="63">
        <f>1.3*((L111/1000)*(K111/1000))^0.625/((L111/1000)+(K111/1000))^0.25</f>
        <v/>
      </c>
      <c r="Q111" s="65">
        <f>N111*P111/Hypothèses!$B$20</f>
        <v/>
      </c>
      <c r="R111" s="66">
        <f>0.25/(LOG10(Hypothèses!$B$21/(3.7*P111)+5.74/Q111^0.9))^2</f>
        <v/>
      </c>
      <c r="S111" s="64">
        <f>R111/P111*Hypothèses!$B$19*N111^2/2</f>
        <v/>
      </c>
      <c r="T111" s="62">
        <f>S111*G111*(1+Hypothèses!$B$22)</f>
        <v/>
      </c>
      <c r="U111" s="45" t="n"/>
      <c r="V111" s="60">
        <f>IF(K111&lt;=Hypothèses!$B$28-100,"oui","NON")</f>
        <v/>
      </c>
    </row>
    <row r="112" ht="15" customHeight="1" s="40">
      <c r="A112" s="60" t="inlineStr">
        <is>
          <t>CTA 2</t>
        </is>
      </c>
      <c r="B112" s="60" t="inlineStr">
        <is>
          <t>CTA2-R38</t>
        </is>
      </c>
      <c r="C112" s="60" t="inlineStr">
        <is>
          <t>N01</t>
        </is>
      </c>
      <c r="D112" s="60" t="inlineStr">
        <is>
          <t>Faux plafond couloir</t>
        </is>
      </c>
      <c r="E112" s="60" t="inlineStr">
        <is>
          <t>Reprise</t>
        </is>
      </c>
      <c r="F112" s="60" t="inlineStr">
        <is>
          <t>HEB01 chambre</t>
        </is>
      </c>
      <c r="G112" s="61" t="n">
        <v>0.059</v>
      </c>
      <c r="H112" s="46" t="n">
        <v>1080</v>
      </c>
      <c r="I112" s="62">
        <f>IF(A112="CTA 5",MIN(INDEX(Hypothèses!$C$6:$C$16,MATCH(H112,Hypothèses!$A$6:$A$16,1)),Hypothèses!$B$30),INDEX(Hypothèses!$C$6:$C$16,MATCH(H112,Hypothèses!$A$6:$A$16,1)))</f>
        <v/>
      </c>
      <c r="J112" s="63">
        <f>H112/3600/I112</f>
        <v/>
      </c>
      <c r="K112" s="60">
        <f>IF(A112="CTA 4",Hypothèses!$B$25,IF(AND(A112="CTA 5",H112&gt;4000),Hypothèses!$B$29,IF(H112&lt;=2000,Hypothèses!$B$23,Hypothèses!$B$24)))</f>
        <v/>
      </c>
      <c r="L112" s="60">
        <f>MAX(Hypothèses!$B$26,CEILING(J112/(K112/1000)*1000,Hypothèses!$B$27))</f>
        <v/>
      </c>
      <c r="M112" s="63">
        <f>L112*K112/1000000</f>
        <v/>
      </c>
      <c r="N112" s="64">
        <f>H112/3600/M112</f>
        <v/>
      </c>
      <c r="O112" s="60">
        <f>IF(N112&lt;=I112,"oui","NON")</f>
        <v/>
      </c>
      <c r="P112" s="63">
        <f>1.3*((L112/1000)*(K112/1000))^0.625/((L112/1000)+(K112/1000))^0.25</f>
        <v/>
      </c>
      <c r="Q112" s="65">
        <f>N112*P112/Hypothèses!$B$20</f>
        <v/>
      </c>
      <c r="R112" s="66">
        <f>0.25/(LOG10(Hypothèses!$B$21/(3.7*P112)+5.74/Q112^0.9))^2</f>
        <v/>
      </c>
      <c r="S112" s="64">
        <f>R112/P112*Hypothèses!$B$19*N112^2/2</f>
        <v/>
      </c>
      <c r="T112" s="62">
        <f>S112*G112*(1+Hypothèses!$B$22)</f>
        <v/>
      </c>
      <c r="U112" s="45" t="n"/>
      <c r="V112" s="60">
        <f>IF(K112&lt;=Hypothèses!$B$28-100,"oui","NON")</f>
        <v/>
      </c>
    </row>
    <row r="113" ht="15" customHeight="1" s="40">
      <c r="A113" s="60" t="inlineStr">
        <is>
          <t>CTA 2</t>
        </is>
      </c>
      <c r="B113" s="60" t="inlineStr">
        <is>
          <t>CTA2-R39</t>
        </is>
      </c>
      <c r="C113" s="60" t="inlineStr">
        <is>
          <t>N01</t>
        </is>
      </c>
      <c r="D113" s="60" t="inlineStr">
        <is>
          <t>Faux plafond couloir</t>
        </is>
      </c>
      <c r="E113" s="60" t="inlineStr">
        <is>
          <t>Reprise</t>
        </is>
      </c>
      <c r="F113" s="60" t="inlineStr">
        <is>
          <t>HEB01 ch. bariatrique</t>
        </is>
      </c>
      <c r="G113" s="61" t="n">
        <v>3.792</v>
      </c>
      <c r="H113" s="46" t="n">
        <v>1080</v>
      </c>
      <c r="I113" s="62">
        <f>IF(A113="CTA 5",MIN(INDEX(Hypothèses!$C$6:$C$16,MATCH(H113,Hypothèses!$A$6:$A$16,1)),Hypothèses!$B$30),INDEX(Hypothèses!$C$6:$C$16,MATCH(H113,Hypothèses!$A$6:$A$16,1)))</f>
        <v/>
      </c>
      <c r="J113" s="63">
        <f>H113/3600/I113</f>
        <v/>
      </c>
      <c r="K113" s="60">
        <f>IF(A113="CTA 4",Hypothèses!$B$25,IF(AND(A113="CTA 5",H113&gt;4000),Hypothèses!$B$29,IF(H113&lt;=2000,Hypothèses!$B$23,Hypothèses!$B$24)))</f>
        <v/>
      </c>
      <c r="L113" s="60">
        <f>MAX(Hypothèses!$B$26,CEILING(J113/(K113/1000)*1000,Hypothèses!$B$27))</f>
        <v/>
      </c>
      <c r="M113" s="63">
        <f>L113*K113/1000000</f>
        <v/>
      </c>
      <c r="N113" s="64">
        <f>H113/3600/M113</f>
        <v/>
      </c>
      <c r="O113" s="60">
        <f>IF(N113&lt;=I113,"oui","NON")</f>
        <v/>
      </c>
      <c r="P113" s="63">
        <f>1.3*((L113/1000)*(K113/1000))^0.625/((L113/1000)+(K113/1000))^0.25</f>
        <v/>
      </c>
      <c r="Q113" s="65">
        <f>N113*P113/Hypothèses!$B$20</f>
        <v/>
      </c>
      <c r="R113" s="66">
        <f>0.25/(LOG10(Hypothèses!$B$21/(3.7*P113)+5.74/Q113^0.9))^2</f>
        <v/>
      </c>
      <c r="S113" s="64">
        <f>R113/P113*Hypothèses!$B$19*N113^2/2</f>
        <v/>
      </c>
      <c r="T113" s="62">
        <f>S113*G113*(1+Hypothèses!$B$22)</f>
        <v/>
      </c>
      <c r="U113" s="45" t="n"/>
      <c r="V113" s="60">
        <f>IF(K113&lt;=Hypothèses!$B$28-100,"oui","NON")</f>
        <v/>
      </c>
    </row>
    <row r="114" ht="15" customHeight="1" s="40">
      <c r="A114" s="60" t="inlineStr">
        <is>
          <t>CTA 2</t>
        </is>
      </c>
      <c r="B114" s="60" t="inlineStr">
        <is>
          <t>CTA2-R40</t>
        </is>
      </c>
      <c r="C114" s="60" t="inlineStr">
        <is>
          <t>N01</t>
        </is>
      </c>
      <c r="D114" s="60" t="inlineStr">
        <is>
          <t>Faux plafond couloir</t>
        </is>
      </c>
      <c r="E114" s="60" t="inlineStr">
        <is>
          <t>Reprise</t>
        </is>
      </c>
      <c r="F114" s="60" t="inlineStr">
        <is>
          <t>HEB1180 chambre</t>
        </is>
      </c>
      <c r="G114" s="61" t="n">
        <v>0.321</v>
      </c>
      <c r="H114" s="46" t="n">
        <v>900</v>
      </c>
      <c r="I114" s="62">
        <f>IF(A114="CTA 5",MIN(INDEX(Hypothèses!$C$6:$C$16,MATCH(H114,Hypothèses!$A$6:$A$16,1)),Hypothèses!$B$30),INDEX(Hypothèses!$C$6:$C$16,MATCH(H114,Hypothèses!$A$6:$A$16,1)))</f>
        <v/>
      </c>
      <c r="J114" s="63">
        <f>H114/3600/I114</f>
        <v/>
      </c>
      <c r="K114" s="60">
        <f>IF(A114="CTA 4",Hypothèses!$B$25,IF(AND(A114="CTA 5",H114&gt;4000),Hypothèses!$B$29,IF(H114&lt;=2000,Hypothèses!$B$23,Hypothèses!$B$24)))</f>
        <v/>
      </c>
      <c r="L114" s="60">
        <f>MAX(Hypothèses!$B$26,CEILING(J114/(K114/1000)*1000,Hypothèses!$B$27))</f>
        <v/>
      </c>
      <c r="M114" s="63">
        <f>L114*K114/1000000</f>
        <v/>
      </c>
      <c r="N114" s="64">
        <f>H114/3600/M114</f>
        <v/>
      </c>
      <c r="O114" s="60">
        <f>IF(N114&lt;=I114,"oui","NON")</f>
        <v/>
      </c>
      <c r="P114" s="63">
        <f>1.3*((L114/1000)*(K114/1000))^0.625/((L114/1000)+(K114/1000))^0.25</f>
        <v/>
      </c>
      <c r="Q114" s="65">
        <f>N114*P114/Hypothèses!$B$20</f>
        <v/>
      </c>
      <c r="R114" s="66">
        <f>0.25/(LOG10(Hypothèses!$B$21/(3.7*P114)+5.74/Q114^0.9))^2</f>
        <v/>
      </c>
      <c r="S114" s="64">
        <f>R114/P114*Hypothèses!$B$19*N114^2/2</f>
        <v/>
      </c>
      <c r="T114" s="62">
        <f>S114*G114*(1+Hypothèses!$B$22)</f>
        <v/>
      </c>
      <c r="U114" s="45" t="n"/>
      <c r="V114" s="60">
        <f>IF(K114&lt;=Hypothèses!$B$28-100,"oui","NON")</f>
        <v/>
      </c>
    </row>
    <row r="115" ht="15" customHeight="1" s="40">
      <c r="A115" s="60" t="inlineStr">
        <is>
          <t>CTA 2</t>
        </is>
      </c>
      <c r="B115" s="60" t="inlineStr">
        <is>
          <t>CTA2-R41</t>
        </is>
      </c>
      <c r="C115" s="60" t="inlineStr">
        <is>
          <t>N01</t>
        </is>
      </c>
      <c r="D115" s="60" t="inlineStr">
        <is>
          <t>Faux plafond couloir</t>
        </is>
      </c>
      <c r="E115" s="60" t="inlineStr">
        <is>
          <t>Reprise</t>
        </is>
      </c>
      <c r="F115" s="60" t="inlineStr">
        <is>
          <t>HEB01 ch. couple</t>
        </is>
      </c>
      <c r="G115" s="61" t="n">
        <v>3.733</v>
      </c>
      <c r="H115" s="46" t="n">
        <v>810</v>
      </c>
      <c r="I115" s="62">
        <f>IF(A115="CTA 5",MIN(INDEX(Hypothèses!$C$6:$C$16,MATCH(H115,Hypothèses!$A$6:$A$16,1)),Hypothèses!$B$30),INDEX(Hypothèses!$C$6:$C$16,MATCH(H115,Hypothèses!$A$6:$A$16,1)))</f>
        <v/>
      </c>
      <c r="J115" s="63">
        <f>H115/3600/I115</f>
        <v/>
      </c>
      <c r="K115" s="60">
        <f>IF(A115="CTA 4",Hypothèses!$B$25,IF(AND(A115="CTA 5",H115&gt;4000),Hypothèses!$B$29,IF(H115&lt;=2000,Hypothèses!$B$23,Hypothèses!$B$24)))</f>
        <v/>
      </c>
      <c r="L115" s="60">
        <f>MAX(Hypothèses!$B$26,CEILING(J115/(K115/1000)*1000,Hypothèses!$B$27))</f>
        <v/>
      </c>
      <c r="M115" s="63">
        <f>L115*K115/1000000</f>
        <v/>
      </c>
      <c r="N115" s="64">
        <f>H115/3600/M115</f>
        <v/>
      </c>
      <c r="O115" s="60">
        <f>IF(N115&lt;=I115,"oui","NON")</f>
        <v/>
      </c>
      <c r="P115" s="63">
        <f>1.3*((L115/1000)*(K115/1000))^0.625/((L115/1000)+(K115/1000))^0.25</f>
        <v/>
      </c>
      <c r="Q115" s="65">
        <f>N115*P115/Hypothèses!$B$20</f>
        <v/>
      </c>
      <c r="R115" s="66">
        <f>0.25/(LOG10(Hypothèses!$B$21/(3.7*P115)+5.74/Q115^0.9))^2</f>
        <v/>
      </c>
      <c r="S115" s="64">
        <f>R115/P115*Hypothèses!$B$19*N115^2/2</f>
        <v/>
      </c>
      <c r="T115" s="62">
        <f>S115*G115*(1+Hypothèses!$B$22)</f>
        <v/>
      </c>
      <c r="U115" s="45" t="n"/>
      <c r="V115" s="60">
        <f>IF(K115&lt;=Hypothèses!$B$28-100,"oui","NON")</f>
        <v/>
      </c>
    </row>
    <row r="116" ht="15" customHeight="1" s="40">
      <c r="A116" s="60" t="inlineStr">
        <is>
          <t>CTA 2</t>
        </is>
      </c>
      <c r="B116" s="60" t="inlineStr">
        <is>
          <t>CTA2-R42</t>
        </is>
      </c>
      <c r="C116" s="60" t="inlineStr">
        <is>
          <t>N01</t>
        </is>
      </c>
      <c r="D116" s="60" t="inlineStr">
        <is>
          <t>Faux plafond couloir</t>
        </is>
      </c>
      <c r="E116" s="60" t="inlineStr">
        <is>
          <t>Reprise</t>
        </is>
      </c>
      <c r="F116" s="60" t="inlineStr">
        <is>
          <t>HEB01 chambre</t>
        </is>
      </c>
      <c r="G116" s="61" t="n">
        <v>0.443</v>
      </c>
      <c r="H116" s="46" t="n">
        <v>720</v>
      </c>
      <c r="I116" s="62">
        <f>IF(A116="CTA 5",MIN(INDEX(Hypothèses!$C$6:$C$16,MATCH(H116,Hypothèses!$A$6:$A$16,1)),Hypothèses!$B$30),INDEX(Hypothèses!$C$6:$C$16,MATCH(H116,Hypothèses!$A$6:$A$16,1)))</f>
        <v/>
      </c>
      <c r="J116" s="63">
        <f>H116/3600/I116</f>
        <v/>
      </c>
      <c r="K116" s="60">
        <f>IF(A116="CTA 4",Hypothèses!$B$25,IF(AND(A116="CTA 5",H116&gt;4000),Hypothèses!$B$29,IF(H116&lt;=2000,Hypothèses!$B$23,Hypothèses!$B$24)))</f>
        <v/>
      </c>
      <c r="L116" s="60">
        <f>MAX(Hypothèses!$B$26,CEILING(J116/(K116/1000)*1000,Hypothèses!$B$27))</f>
        <v/>
      </c>
      <c r="M116" s="63">
        <f>L116*K116/1000000</f>
        <v/>
      </c>
      <c r="N116" s="64">
        <f>H116/3600/M116</f>
        <v/>
      </c>
      <c r="O116" s="60">
        <f>IF(N116&lt;=I116,"oui","NON")</f>
        <v/>
      </c>
      <c r="P116" s="63">
        <f>1.3*((L116/1000)*(K116/1000))^0.625/((L116/1000)+(K116/1000))^0.25</f>
        <v/>
      </c>
      <c r="Q116" s="65">
        <f>N116*P116/Hypothèses!$B$20</f>
        <v/>
      </c>
      <c r="R116" s="66">
        <f>0.25/(LOG10(Hypothèses!$B$21/(3.7*P116)+5.74/Q116^0.9))^2</f>
        <v/>
      </c>
      <c r="S116" s="64">
        <f>R116/P116*Hypothèses!$B$19*N116^2/2</f>
        <v/>
      </c>
      <c r="T116" s="62">
        <f>S116*G116*(1+Hypothèses!$B$22)</f>
        <v/>
      </c>
      <c r="U116" s="45" t="n"/>
      <c r="V116" s="60">
        <f>IF(K116&lt;=Hypothèses!$B$28-100,"oui","NON")</f>
        <v/>
      </c>
    </row>
    <row r="117" ht="15" customHeight="1" s="40">
      <c r="A117" s="60" t="inlineStr">
        <is>
          <t>CTA 2</t>
        </is>
      </c>
      <c r="B117" s="60" t="inlineStr">
        <is>
          <t>CTA2-R43</t>
        </is>
      </c>
      <c r="C117" s="60" t="inlineStr">
        <is>
          <t>N01</t>
        </is>
      </c>
      <c r="D117" s="60" t="inlineStr">
        <is>
          <t>Faux plafond couloir</t>
        </is>
      </c>
      <c r="E117" s="60" t="inlineStr">
        <is>
          <t>Reprise</t>
        </is>
      </c>
      <c r="F117" s="60" t="inlineStr">
        <is>
          <t>HEB01 chambre</t>
        </is>
      </c>
      <c r="G117" s="61" t="n">
        <v>3.758</v>
      </c>
      <c r="H117" s="46" t="n">
        <v>630</v>
      </c>
      <c r="I117" s="62">
        <f>IF(A117="CTA 5",MIN(INDEX(Hypothèses!$C$6:$C$16,MATCH(H117,Hypothèses!$A$6:$A$16,1)),Hypothèses!$B$30),INDEX(Hypothèses!$C$6:$C$16,MATCH(H117,Hypothèses!$A$6:$A$16,1)))</f>
        <v/>
      </c>
      <c r="J117" s="63">
        <f>H117/3600/I117</f>
        <v/>
      </c>
      <c r="K117" s="60">
        <f>IF(A117="CTA 4",Hypothèses!$B$25,IF(AND(A117="CTA 5",H117&gt;4000),Hypothèses!$B$29,IF(H117&lt;=2000,Hypothèses!$B$23,Hypothèses!$B$24)))</f>
        <v/>
      </c>
      <c r="L117" s="60">
        <f>MAX(Hypothèses!$B$26,CEILING(J117/(K117/1000)*1000,Hypothèses!$B$27))</f>
        <v/>
      </c>
      <c r="M117" s="63">
        <f>L117*K117/1000000</f>
        <v/>
      </c>
      <c r="N117" s="64">
        <f>H117/3600/M117</f>
        <v/>
      </c>
      <c r="O117" s="60">
        <f>IF(N117&lt;=I117,"oui","NON")</f>
        <v/>
      </c>
      <c r="P117" s="63">
        <f>1.3*((L117/1000)*(K117/1000))^0.625/((L117/1000)+(K117/1000))^0.25</f>
        <v/>
      </c>
      <c r="Q117" s="65">
        <f>N117*P117/Hypothèses!$B$20</f>
        <v/>
      </c>
      <c r="R117" s="66">
        <f>0.25/(LOG10(Hypothèses!$B$21/(3.7*P117)+5.74/Q117^0.9))^2</f>
        <v/>
      </c>
      <c r="S117" s="64">
        <f>R117/P117*Hypothèses!$B$19*N117^2/2</f>
        <v/>
      </c>
      <c r="T117" s="62">
        <f>S117*G117*(1+Hypothèses!$B$22)</f>
        <v/>
      </c>
      <c r="U117" s="45" t="n"/>
      <c r="V117" s="60">
        <f>IF(K117&lt;=Hypothèses!$B$28-100,"oui","NON")</f>
        <v/>
      </c>
    </row>
    <row r="118" ht="15" customHeight="1" s="40">
      <c r="A118" s="60" t="inlineStr">
        <is>
          <t>CTA 2</t>
        </is>
      </c>
      <c r="B118" s="60" t="inlineStr">
        <is>
          <t>CTA2-R44</t>
        </is>
      </c>
      <c r="C118" s="60" t="inlineStr">
        <is>
          <t>N01</t>
        </is>
      </c>
      <c r="D118" s="60" t="inlineStr">
        <is>
          <t>Faux plafond couloir</t>
        </is>
      </c>
      <c r="E118" s="60" t="inlineStr">
        <is>
          <t>Reprise</t>
        </is>
      </c>
      <c r="F118" s="60" t="inlineStr">
        <is>
          <t>HEB01 ch. couple</t>
        </is>
      </c>
      <c r="G118" s="61" t="n">
        <v>0.199</v>
      </c>
      <c r="H118" s="46" t="n">
        <v>630</v>
      </c>
      <c r="I118" s="62">
        <f>IF(A118="CTA 5",MIN(INDEX(Hypothèses!$C$6:$C$16,MATCH(H118,Hypothèses!$A$6:$A$16,1)),Hypothèses!$B$30),INDEX(Hypothèses!$C$6:$C$16,MATCH(H118,Hypothèses!$A$6:$A$16,1)))</f>
        <v/>
      </c>
      <c r="J118" s="63">
        <f>H118/3600/I118</f>
        <v/>
      </c>
      <c r="K118" s="60">
        <f>IF(A118="CTA 4",Hypothèses!$B$25,IF(AND(A118="CTA 5",H118&gt;4000),Hypothèses!$B$29,IF(H118&lt;=2000,Hypothèses!$B$23,Hypothèses!$B$24)))</f>
        <v/>
      </c>
      <c r="L118" s="60">
        <f>MAX(Hypothèses!$B$26,CEILING(J118/(K118/1000)*1000,Hypothèses!$B$27))</f>
        <v/>
      </c>
      <c r="M118" s="63">
        <f>L118*K118/1000000</f>
        <v/>
      </c>
      <c r="N118" s="64">
        <f>H118/3600/M118</f>
        <v/>
      </c>
      <c r="O118" s="60">
        <f>IF(N118&lt;=I118,"oui","NON")</f>
        <v/>
      </c>
      <c r="P118" s="63">
        <f>1.3*((L118/1000)*(K118/1000))^0.625/((L118/1000)+(K118/1000))^0.25</f>
        <v/>
      </c>
      <c r="Q118" s="65">
        <f>N118*P118/Hypothèses!$B$20</f>
        <v/>
      </c>
      <c r="R118" s="66">
        <f>0.25/(LOG10(Hypothèses!$B$21/(3.7*P118)+5.74/Q118^0.9))^2</f>
        <v/>
      </c>
      <c r="S118" s="64">
        <f>R118/P118*Hypothèses!$B$19*N118^2/2</f>
        <v/>
      </c>
      <c r="T118" s="62">
        <f>S118*G118*(1+Hypothèses!$B$22)</f>
        <v/>
      </c>
      <c r="U118" s="45" t="n"/>
      <c r="V118" s="60">
        <f>IF(K118&lt;=Hypothèses!$B$28-100,"oui","NON")</f>
        <v/>
      </c>
    </row>
    <row r="119" ht="15" customHeight="1" s="40">
      <c r="A119" s="60" t="inlineStr">
        <is>
          <t>CTA 2</t>
        </is>
      </c>
      <c r="B119" s="60" t="inlineStr">
        <is>
          <t>CTA2-R45</t>
        </is>
      </c>
      <c r="C119" s="60" t="inlineStr">
        <is>
          <t>N01</t>
        </is>
      </c>
      <c r="D119" s="60" t="inlineStr">
        <is>
          <t>Faux plafond couloir</t>
        </is>
      </c>
      <c r="E119" s="60" t="inlineStr">
        <is>
          <t>Reprise</t>
        </is>
      </c>
      <c r="F119" s="60" t="inlineStr">
        <is>
          <t>HEB01 ch. couple</t>
        </is>
      </c>
      <c r="G119" s="61" t="n">
        <v>3.779</v>
      </c>
      <c r="H119" s="46" t="n">
        <v>450</v>
      </c>
      <c r="I119" s="62">
        <f>IF(A119="CTA 5",MIN(INDEX(Hypothèses!$C$6:$C$16,MATCH(H119,Hypothèses!$A$6:$A$16,1)),Hypothèses!$B$30),INDEX(Hypothèses!$C$6:$C$16,MATCH(H119,Hypothèses!$A$6:$A$16,1)))</f>
        <v/>
      </c>
      <c r="J119" s="63">
        <f>H119/3600/I119</f>
        <v/>
      </c>
      <c r="K119" s="60">
        <f>IF(A119="CTA 4",Hypothèses!$B$25,IF(AND(A119="CTA 5",H119&gt;4000),Hypothèses!$B$29,IF(H119&lt;=2000,Hypothèses!$B$23,Hypothèses!$B$24)))</f>
        <v/>
      </c>
      <c r="L119" s="60">
        <f>MAX(Hypothèses!$B$26,CEILING(J119/(K119/1000)*1000,Hypothèses!$B$27))</f>
        <v/>
      </c>
      <c r="M119" s="63">
        <f>L119*K119/1000000</f>
        <v/>
      </c>
      <c r="N119" s="64">
        <f>H119/3600/M119</f>
        <v/>
      </c>
      <c r="O119" s="60">
        <f>IF(N119&lt;=I119,"oui","NON")</f>
        <v/>
      </c>
      <c r="P119" s="63">
        <f>1.3*((L119/1000)*(K119/1000))^0.625/((L119/1000)+(K119/1000))^0.25</f>
        <v/>
      </c>
      <c r="Q119" s="65">
        <f>N119*P119/Hypothèses!$B$20</f>
        <v/>
      </c>
      <c r="R119" s="66">
        <f>0.25/(LOG10(Hypothèses!$B$21/(3.7*P119)+5.74/Q119^0.9))^2</f>
        <v/>
      </c>
      <c r="S119" s="64">
        <f>R119/P119*Hypothèses!$B$19*N119^2/2</f>
        <v/>
      </c>
      <c r="T119" s="62">
        <f>S119*G119*(1+Hypothèses!$B$22)</f>
        <v/>
      </c>
      <c r="U119" s="45" t="n"/>
      <c r="V119" s="60">
        <f>IF(K119&lt;=Hypothèses!$B$28-100,"oui","NON")</f>
        <v/>
      </c>
    </row>
    <row r="120" ht="15" customHeight="1" s="40">
      <c r="A120" s="60" t="inlineStr">
        <is>
          <t>CTA 2</t>
        </is>
      </c>
      <c r="B120" s="60" t="inlineStr">
        <is>
          <t>CTA2-R46</t>
        </is>
      </c>
      <c r="C120" s="60" t="inlineStr">
        <is>
          <t>N01</t>
        </is>
      </c>
      <c r="D120" s="60" t="inlineStr">
        <is>
          <t>Faux plafond couloir</t>
        </is>
      </c>
      <c r="E120" s="60" t="inlineStr">
        <is>
          <t>Reprise</t>
        </is>
      </c>
      <c r="F120" s="60" t="inlineStr">
        <is>
          <t>HEB01 chambre</t>
        </is>
      </c>
      <c r="G120" s="61" t="n">
        <v>0.498</v>
      </c>
      <c r="H120" s="46" t="n">
        <v>450</v>
      </c>
      <c r="I120" s="62">
        <f>IF(A120="CTA 5",MIN(INDEX(Hypothèses!$C$6:$C$16,MATCH(H120,Hypothèses!$A$6:$A$16,1)),Hypothèses!$B$30),INDEX(Hypothèses!$C$6:$C$16,MATCH(H120,Hypothèses!$A$6:$A$16,1)))</f>
        <v/>
      </c>
      <c r="J120" s="63">
        <f>H120/3600/I120</f>
        <v/>
      </c>
      <c r="K120" s="60">
        <f>IF(A120="CTA 4",Hypothèses!$B$25,IF(AND(A120="CTA 5",H120&gt;4000),Hypothèses!$B$29,IF(H120&lt;=2000,Hypothèses!$B$23,Hypothèses!$B$24)))</f>
        <v/>
      </c>
      <c r="L120" s="60">
        <f>MAX(Hypothèses!$B$26,CEILING(J120/(K120/1000)*1000,Hypothèses!$B$27))</f>
        <v/>
      </c>
      <c r="M120" s="63">
        <f>L120*K120/1000000</f>
        <v/>
      </c>
      <c r="N120" s="64">
        <f>H120/3600/M120</f>
        <v/>
      </c>
      <c r="O120" s="60">
        <f>IF(N120&lt;=I120,"oui","NON")</f>
        <v/>
      </c>
      <c r="P120" s="63">
        <f>1.3*((L120/1000)*(K120/1000))^0.625/((L120/1000)+(K120/1000))^0.25</f>
        <v/>
      </c>
      <c r="Q120" s="65">
        <f>N120*P120/Hypothèses!$B$20</f>
        <v/>
      </c>
      <c r="R120" s="66">
        <f>0.25/(LOG10(Hypothèses!$B$21/(3.7*P120)+5.74/Q120^0.9))^2</f>
        <v/>
      </c>
      <c r="S120" s="64">
        <f>R120/P120*Hypothèses!$B$19*N120^2/2</f>
        <v/>
      </c>
      <c r="T120" s="62">
        <f>S120*G120*(1+Hypothèses!$B$22)</f>
        <v/>
      </c>
      <c r="U120" s="45" t="n"/>
      <c r="V120" s="60">
        <f>IF(K120&lt;=Hypothèses!$B$28-100,"oui","NON")</f>
        <v/>
      </c>
    </row>
    <row r="121" ht="15" customHeight="1" s="40">
      <c r="A121" s="60" t="inlineStr">
        <is>
          <t>CTA 2</t>
        </is>
      </c>
      <c r="B121" s="60" t="inlineStr">
        <is>
          <t>CTA2-R47</t>
        </is>
      </c>
      <c r="C121" s="60" t="inlineStr">
        <is>
          <t>N01</t>
        </is>
      </c>
      <c r="D121" s="60" t="inlineStr">
        <is>
          <t>Faux plafond couloir</t>
        </is>
      </c>
      <c r="E121" s="60" t="inlineStr">
        <is>
          <t>Reprise</t>
        </is>
      </c>
      <c r="F121" s="60" t="inlineStr">
        <is>
          <t>HEB01 ch. bariatrique</t>
        </is>
      </c>
      <c r="G121" s="61" t="n">
        <v>4.03</v>
      </c>
      <c r="H121" s="46" t="n">
        <v>360</v>
      </c>
      <c r="I121" s="62">
        <f>IF(A121="CTA 5",MIN(INDEX(Hypothèses!$C$6:$C$16,MATCH(H121,Hypothèses!$A$6:$A$16,1)),Hypothèses!$B$30),INDEX(Hypothèses!$C$6:$C$16,MATCH(H121,Hypothèses!$A$6:$A$16,1)))</f>
        <v/>
      </c>
      <c r="J121" s="63">
        <f>H121/3600/I121</f>
        <v/>
      </c>
      <c r="K121" s="60">
        <f>IF(A121="CTA 4",Hypothèses!$B$25,IF(AND(A121="CTA 5",H121&gt;4000),Hypothèses!$B$29,IF(H121&lt;=2000,Hypothèses!$B$23,Hypothèses!$B$24)))</f>
        <v/>
      </c>
      <c r="L121" s="60">
        <f>MAX(Hypothèses!$B$26,CEILING(J121/(K121/1000)*1000,Hypothèses!$B$27))</f>
        <v/>
      </c>
      <c r="M121" s="63">
        <f>L121*K121/1000000</f>
        <v/>
      </c>
      <c r="N121" s="64">
        <f>H121/3600/M121</f>
        <v/>
      </c>
      <c r="O121" s="60">
        <f>IF(N121&lt;=I121,"oui","NON")</f>
        <v/>
      </c>
      <c r="P121" s="63">
        <f>1.3*((L121/1000)*(K121/1000))^0.625/((L121/1000)+(K121/1000))^0.25</f>
        <v/>
      </c>
      <c r="Q121" s="65">
        <f>N121*P121/Hypothèses!$B$20</f>
        <v/>
      </c>
      <c r="R121" s="66">
        <f>0.25/(LOG10(Hypothèses!$B$21/(3.7*P121)+5.74/Q121^0.9))^2</f>
        <v/>
      </c>
      <c r="S121" s="64">
        <f>R121/P121*Hypothèses!$B$19*N121^2/2</f>
        <v/>
      </c>
      <c r="T121" s="62">
        <f>S121*G121*(1+Hypothèses!$B$22)</f>
        <v/>
      </c>
      <c r="U121" s="45" t="n"/>
      <c r="V121" s="60">
        <f>IF(K121&lt;=Hypothèses!$B$28-100,"oui","NON")</f>
        <v/>
      </c>
    </row>
    <row r="122" ht="15" customHeight="1" s="40">
      <c r="A122" s="60" t="inlineStr">
        <is>
          <t>CTA 2</t>
        </is>
      </c>
      <c r="B122" s="60" t="inlineStr">
        <is>
          <t>CTA2-R48</t>
        </is>
      </c>
      <c r="C122" s="60" t="inlineStr">
        <is>
          <t>N01</t>
        </is>
      </c>
      <c r="D122" s="60" t="inlineStr">
        <is>
          <t>Faux plafond couloir</t>
        </is>
      </c>
      <c r="E122" s="60" t="inlineStr">
        <is>
          <t>Reprise</t>
        </is>
      </c>
      <c r="F122" s="60" t="inlineStr">
        <is>
          <t>HEB01 chambre</t>
        </is>
      </c>
      <c r="G122" s="61" t="n">
        <v>2.374</v>
      </c>
      <c r="H122" s="46" t="n">
        <v>270</v>
      </c>
      <c r="I122" s="62">
        <f>IF(A122="CTA 5",MIN(INDEX(Hypothèses!$C$6:$C$16,MATCH(H122,Hypothèses!$A$6:$A$16,1)),Hypothèses!$B$30),INDEX(Hypothèses!$C$6:$C$16,MATCH(H122,Hypothèses!$A$6:$A$16,1)))</f>
        <v/>
      </c>
      <c r="J122" s="63">
        <f>H122/3600/I122</f>
        <v/>
      </c>
      <c r="K122" s="60">
        <f>IF(A122="CTA 4",Hypothèses!$B$25,IF(AND(A122="CTA 5",H122&gt;4000),Hypothèses!$B$29,IF(H122&lt;=2000,Hypothèses!$B$23,Hypothèses!$B$24)))</f>
        <v/>
      </c>
      <c r="L122" s="60">
        <f>MAX(Hypothèses!$B$26,CEILING(J122/(K122/1000)*1000,Hypothèses!$B$27))</f>
        <v/>
      </c>
      <c r="M122" s="63">
        <f>L122*K122/1000000</f>
        <v/>
      </c>
      <c r="N122" s="64">
        <f>H122/3600/M122</f>
        <v/>
      </c>
      <c r="O122" s="60">
        <f>IF(N122&lt;=I122,"oui","NON")</f>
        <v/>
      </c>
      <c r="P122" s="63">
        <f>1.3*((L122/1000)*(K122/1000))^0.625/((L122/1000)+(K122/1000))^0.25</f>
        <v/>
      </c>
      <c r="Q122" s="65">
        <f>N122*P122/Hypothèses!$B$20</f>
        <v/>
      </c>
      <c r="R122" s="66">
        <f>0.25/(LOG10(Hypothèses!$B$21/(3.7*P122)+5.74/Q122^0.9))^2</f>
        <v/>
      </c>
      <c r="S122" s="64">
        <f>R122/P122*Hypothèses!$B$19*N122^2/2</f>
        <v/>
      </c>
      <c r="T122" s="62">
        <f>S122*G122*(1+Hypothèses!$B$22)</f>
        <v/>
      </c>
      <c r="U122" s="45" t="n"/>
      <c r="V122" s="60">
        <f>IF(K122&lt;=Hypothèses!$B$28-100,"oui","NON")</f>
        <v/>
      </c>
    </row>
    <row r="123" ht="15" customHeight="1" s="40">
      <c r="A123" s="60" t="inlineStr">
        <is>
          <t>CTA 2</t>
        </is>
      </c>
      <c r="B123" s="60" t="inlineStr">
        <is>
          <t>CTA2-R49</t>
        </is>
      </c>
      <c r="C123" s="60" t="inlineStr">
        <is>
          <t>N01</t>
        </is>
      </c>
      <c r="D123" s="60" t="inlineStr">
        <is>
          <t>Faux plafond couloir</t>
        </is>
      </c>
      <c r="E123" s="60" t="inlineStr">
        <is>
          <t>Reprise</t>
        </is>
      </c>
      <c r="F123" s="60" t="inlineStr">
        <is>
          <t>HEB01 ch. bariatrique</t>
        </is>
      </c>
      <c r="G123" s="61" t="n">
        <v>1.433</v>
      </c>
      <c r="H123" s="46" t="n">
        <v>90</v>
      </c>
      <c r="I123" s="62">
        <f>IF(A123="CTA 5",MIN(INDEX(Hypothèses!$C$6:$C$16,MATCH(H123,Hypothèses!$A$6:$A$16,1)),Hypothèses!$B$30),INDEX(Hypothèses!$C$6:$C$16,MATCH(H123,Hypothèses!$A$6:$A$16,1)))</f>
        <v/>
      </c>
      <c r="J123" s="63">
        <f>H123/3600/I123</f>
        <v/>
      </c>
      <c r="K123" s="60">
        <f>IF(A123="CTA 4",Hypothèses!$B$25,IF(AND(A123="CTA 5",H123&gt;4000),Hypothèses!$B$29,IF(H123&lt;=2000,Hypothèses!$B$23,Hypothèses!$B$24)))</f>
        <v/>
      </c>
      <c r="L123" s="60">
        <f>MAX(Hypothèses!$B$26,CEILING(J123/(K123/1000)*1000,Hypothèses!$B$27))</f>
        <v/>
      </c>
      <c r="M123" s="63">
        <f>L123*K123/1000000</f>
        <v/>
      </c>
      <c r="N123" s="64">
        <f>H123/3600/M123</f>
        <v/>
      </c>
      <c r="O123" s="60">
        <f>IF(N123&lt;=I123,"oui","NON")</f>
        <v/>
      </c>
      <c r="P123" s="63">
        <f>1.3*((L123/1000)*(K123/1000))^0.625/((L123/1000)+(K123/1000))^0.25</f>
        <v/>
      </c>
      <c r="Q123" s="65">
        <f>N123*P123/Hypothèses!$B$20</f>
        <v/>
      </c>
      <c r="R123" s="66">
        <f>0.25/(LOG10(Hypothèses!$B$21/(3.7*P123)+5.74/Q123^0.9))^2</f>
        <v/>
      </c>
      <c r="S123" s="64">
        <f>R123/P123*Hypothèses!$B$19*N123^2/2</f>
        <v/>
      </c>
      <c r="T123" s="62">
        <f>S123*G123*(1+Hypothèses!$B$22)</f>
        <v/>
      </c>
      <c r="U123" s="45" t="n"/>
      <c r="V123" s="60">
        <f>IF(K123&lt;=Hypothèses!$B$28-100,"oui","NON")</f>
        <v/>
      </c>
    </row>
    <row r="124" ht="15" customHeight="1" s="40">
      <c r="A124" s="60" t="inlineStr">
        <is>
          <t>CTA 2</t>
        </is>
      </c>
      <c r="B124" s="60" t="inlineStr">
        <is>
          <t>CTA2-R50</t>
        </is>
      </c>
      <c r="C124" s="60" t="inlineStr">
        <is>
          <t>N00</t>
        </is>
      </c>
      <c r="D124" s="60" t="inlineStr">
        <is>
          <t>Faux plafond couloir</t>
        </is>
      </c>
      <c r="E124" s="60" t="inlineStr">
        <is>
          <t>Reprise</t>
        </is>
      </c>
      <c r="F124" s="60" t="n"/>
      <c r="G124" s="61" t="n">
        <v>1.6</v>
      </c>
      <c r="H124" s="46" t="n">
        <v>1260</v>
      </c>
      <c r="I124" s="62">
        <f>IF(A124="CTA 5",MIN(INDEX(Hypothèses!$C$6:$C$16,MATCH(H124,Hypothèses!$A$6:$A$16,1)),Hypothèses!$B$30),INDEX(Hypothèses!$C$6:$C$16,MATCH(H124,Hypothèses!$A$6:$A$16,1)))</f>
        <v/>
      </c>
      <c r="J124" s="63">
        <f>H124/3600/I124</f>
        <v/>
      </c>
      <c r="K124" s="60">
        <f>IF(A124="CTA 4",Hypothèses!$B$25,IF(AND(A124="CTA 5",H124&gt;4000),Hypothèses!$B$29,IF(H124&lt;=2000,Hypothèses!$B$23,Hypothèses!$B$24)))</f>
        <v/>
      </c>
      <c r="L124" s="60">
        <f>MAX(Hypothèses!$B$26,CEILING(J124/(K124/1000)*1000,Hypothèses!$B$27))</f>
        <v/>
      </c>
      <c r="M124" s="63">
        <f>L124*K124/1000000</f>
        <v/>
      </c>
      <c r="N124" s="64">
        <f>H124/3600/M124</f>
        <v/>
      </c>
      <c r="O124" s="60">
        <f>IF(N124&lt;=I124,"oui","NON")</f>
        <v/>
      </c>
      <c r="P124" s="63">
        <f>1.3*((L124/1000)*(K124/1000))^0.625/((L124/1000)+(K124/1000))^0.25</f>
        <v/>
      </c>
      <c r="Q124" s="65">
        <f>N124*P124/Hypothèses!$B$20</f>
        <v/>
      </c>
      <c r="R124" s="66">
        <f>0.25/(LOG10(Hypothèses!$B$21/(3.7*P124)+5.74/Q124^0.9))^2</f>
        <v/>
      </c>
      <c r="S124" s="64">
        <f>R124/P124*Hypothèses!$B$19*N124^2/2</f>
        <v/>
      </c>
      <c r="T124" s="62">
        <f>S124*G124*(1+Hypothèses!$B$22)</f>
        <v/>
      </c>
      <c r="U124" s="45" t="inlineStr">
        <is>
          <t>X</t>
        </is>
      </c>
      <c r="V124" s="60">
        <f>IF(K124&lt;=Hypothèses!$B$28-100,"oui","NON")</f>
        <v/>
      </c>
    </row>
    <row r="125" ht="15" customHeight="1" s="40">
      <c r="A125" s="60" t="inlineStr">
        <is>
          <t>CTA 2</t>
        </is>
      </c>
      <c r="B125" s="60" t="inlineStr">
        <is>
          <t>CTA2-R51</t>
        </is>
      </c>
      <c r="C125" s="60" t="inlineStr">
        <is>
          <t>N00</t>
        </is>
      </c>
      <c r="D125" s="60" t="inlineStr">
        <is>
          <t>Faux plafond couloir</t>
        </is>
      </c>
      <c r="E125" s="60" t="inlineStr">
        <is>
          <t>Reprise</t>
        </is>
      </c>
      <c r="F125" s="60" t="inlineStr">
        <is>
          <t>HEB01 ch. bariatrique</t>
        </is>
      </c>
      <c r="G125" s="61" t="n">
        <v>3.423</v>
      </c>
      <c r="H125" s="46" t="n">
        <v>1260</v>
      </c>
      <c r="I125" s="62">
        <f>IF(A125="CTA 5",MIN(INDEX(Hypothèses!$C$6:$C$16,MATCH(H125,Hypothèses!$A$6:$A$16,1)),Hypothèses!$B$30),INDEX(Hypothèses!$C$6:$C$16,MATCH(H125,Hypothèses!$A$6:$A$16,1)))</f>
        <v/>
      </c>
      <c r="J125" s="63">
        <f>H125/3600/I125</f>
        <v/>
      </c>
      <c r="K125" s="60">
        <f>IF(A125="CTA 4",Hypothèses!$B$25,IF(AND(A125="CTA 5",H125&gt;4000),Hypothèses!$B$29,IF(H125&lt;=2000,Hypothèses!$B$23,Hypothèses!$B$24)))</f>
        <v/>
      </c>
      <c r="L125" s="60">
        <f>MAX(Hypothèses!$B$26,CEILING(J125/(K125/1000)*1000,Hypothèses!$B$27))</f>
        <v/>
      </c>
      <c r="M125" s="63">
        <f>L125*K125/1000000</f>
        <v/>
      </c>
      <c r="N125" s="64">
        <f>H125/3600/M125</f>
        <v/>
      </c>
      <c r="O125" s="60">
        <f>IF(N125&lt;=I125,"oui","NON")</f>
        <v/>
      </c>
      <c r="P125" s="63">
        <f>1.3*((L125/1000)*(K125/1000))^0.625/((L125/1000)+(K125/1000))^0.25</f>
        <v/>
      </c>
      <c r="Q125" s="65">
        <f>N125*P125/Hypothèses!$B$20</f>
        <v/>
      </c>
      <c r="R125" s="66">
        <f>0.25/(LOG10(Hypothèses!$B$21/(3.7*P125)+5.74/Q125^0.9))^2</f>
        <v/>
      </c>
      <c r="S125" s="64">
        <f>R125/P125*Hypothèses!$B$19*N125^2/2</f>
        <v/>
      </c>
      <c r="T125" s="62">
        <f>S125*G125*(1+Hypothèses!$B$22)</f>
        <v/>
      </c>
      <c r="U125" s="45" t="inlineStr">
        <is>
          <t>X</t>
        </is>
      </c>
      <c r="V125" s="60">
        <f>IF(K125&lt;=Hypothèses!$B$28-100,"oui","NON")</f>
        <v/>
      </c>
    </row>
    <row r="126" ht="15" customHeight="1" s="40">
      <c r="A126" s="60" t="inlineStr">
        <is>
          <t>CTA 2</t>
        </is>
      </c>
      <c r="B126" s="60" t="inlineStr">
        <is>
          <t>CTA2-R52</t>
        </is>
      </c>
      <c r="C126" s="60" t="inlineStr">
        <is>
          <t>N00</t>
        </is>
      </c>
      <c r="D126" s="60" t="inlineStr">
        <is>
          <t>Faux plafond couloir</t>
        </is>
      </c>
      <c r="E126" s="60" t="inlineStr">
        <is>
          <t>Reprise</t>
        </is>
      </c>
      <c r="F126" s="60" t="inlineStr">
        <is>
          <t>HEB01 chambre</t>
        </is>
      </c>
      <c r="G126" s="61" t="n">
        <v>0.061</v>
      </c>
      <c r="H126" s="46" t="n">
        <v>1260</v>
      </c>
      <c r="I126" s="62">
        <f>IF(A126="CTA 5",MIN(INDEX(Hypothèses!$C$6:$C$16,MATCH(H126,Hypothèses!$A$6:$A$16,1)),Hypothèses!$B$30),INDEX(Hypothèses!$C$6:$C$16,MATCH(H126,Hypothèses!$A$6:$A$16,1)))</f>
        <v/>
      </c>
      <c r="J126" s="63">
        <f>H126/3600/I126</f>
        <v/>
      </c>
      <c r="K126" s="60">
        <f>IF(A126="CTA 4",Hypothèses!$B$25,IF(AND(A126="CTA 5",H126&gt;4000),Hypothèses!$B$29,IF(H126&lt;=2000,Hypothèses!$B$23,Hypothèses!$B$24)))</f>
        <v/>
      </c>
      <c r="L126" s="60">
        <f>MAX(Hypothèses!$B$26,CEILING(J126/(K126/1000)*1000,Hypothèses!$B$27))</f>
        <v/>
      </c>
      <c r="M126" s="63">
        <f>L126*K126/1000000</f>
        <v/>
      </c>
      <c r="N126" s="64">
        <f>H126/3600/M126</f>
        <v/>
      </c>
      <c r="O126" s="60">
        <f>IF(N126&lt;=I126,"oui","NON")</f>
        <v/>
      </c>
      <c r="P126" s="63">
        <f>1.3*((L126/1000)*(K126/1000))^0.625/((L126/1000)+(K126/1000))^0.25</f>
        <v/>
      </c>
      <c r="Q126" s="65">
        <f>N126*P126/Hypothèses!$B$20</f>
        <v/>
      </c>
      <c r="R126" s="66">
        <f>0.25/(LOG10(Hypothèses!$B$21/(3.7*P126)+5.74/Q126^0.9))^2</f>
        <v/>
      </c>
      <c r="S126" s="64">
        <f>R126/P126*Hypothèses!$B$19*N126^2/2</f>
        <v/>
      </c>
      <c r="T126" s="62">
        <f>S126*G126*(1+Hypothèses!$B$22)</f>
        <v/>
      </c>
      <c r="U126" s="45" t="inlineStr">
        <is>
          <t>X</t>
        </is>
      </c>
      <c r="V126" s="60">
        <f>IF(K126&lt;=Hypothèses!$B$28-100,"oui","NON")</f>
        <v/>
      </c>
    </row>
    <row r="127" ht="15" customHeight="1" s="40">
      <c r="A127" s="60" t="inlineStr">
        <is>
          <t>CTA 2</t>
        </is>
      </c>
      <c r="B127" s="60" t="inlineStr">
        <is>
          <t>CTA2-R53</t>
        </is>
      </c>
      <c r="C127" s="60" t="inlineStr">
        <is>
          <t>N00</t>
        </is>
      </c>
      <c r="D127" s="60" t="inlineStr">
        <is>
          <t>Faux plafond couloir</t>
        </is>
      </c>
      <c r="E127" s="60" t="inlineStr">
        <is>
          <t>Reprise</t>
        </is>
      </c>
      <c r="F127" s="60" t="inlineStr">
        <is>
          <t>HEB01 ch. bariatrique</t>
        </is>
      </c>
      <c r="G127" s="61" t="n">
        <v>3.793</v>
      </c>
      <c r="H127" s="46" t="n">
        <v>1080</v>
      </c>
      <c r="I127" s="62">
        <f>IF(A127="CTA 5",MIN(INDEX(Hypothèses!$C$6:$C$16,MATCH(H127,Hypothèses!$A$6:$A$16,1)),Hypothèses!$B$30),INDEX(Hypothèses!$C$6:$C$16,MATCH(H127,Hypothèses!$A$6:$A$16,1)))</f>
        <v/>
      </c>
      <c r="J127" s="63">
        <f>H127/3600/I127</f>
        <v/>
      </c>
      <c r="K127" s="60">
        <f>IF(A127="CTA 4",Hypothèses!$B$25,IF(AND(A127="CTA 5",H127&gt;4000),Hypothèses!$B$29,IF(H127&lt;=2000,Hypothèses!$B$23,Hypothèses!$B$24)))</f>
        <v/>
      </c>
      <c r="L127" s="60">
        <f>MAX(Hypothèses!$B$26,CEILING(J127/(K127/1000)*1000,Hypothèses!$B$27))</f>
        <v/>
      </c>
      <c r="M127" s="63">
        <f>L127*K127/1000000</f>
        <v/>
      </c>
      <c r="N127" s="64">
        <f>H127/3600/M127</f>
        <v/>
      </c>
      <c r="O127" s="60">
        <f>IF(N127&lt;=I127,"oui","NON")</f>
        <v/>
      </c>
      <c r="P127" s="63">
        <f>1.3*((L127/1000)*(K127/1000))^0.625/((L127/1000)+(K127/1000))^0.25</f>
        <v/>
      </c>
      <c r="Q127" s="65">
        <f>N127*P127/Hypothèses!$B$20</f>
        <v/>
      </c>
      <c r="R127" s="66">
        <f>0.25/(LOG10(Hypothèses!$B$21/(3.7*P127)+5.74/Q127^0.9))^2</f>
        <v/>
      </c>
      <c r="S127" s="64">
        <f>R127/P127*Hypothèses!$B$19*N127^2/2</f>
        <v/>
      </c>
      <c r="T127" s="62">
        <f>S127*G127*(1+Hypothèses!$B$22)</f>
        <v/>
      </c>
      <c r="U127" s="45" t="inlineStr">
        <is>
          <t>X</t>
        </is>
      </c>
      <c r="V127" s="60">
        <f>IF(K127&lt;=Hypothèses!$B$28-100,"oui","NON")</f>
        <v/>
      </c>
    </row>
    <row r="128" ht="15" customHeight="1" s="40">
      <c r="A128" s="60" t="inlineStr">
        <is>
          <t>CTA 2</t>
        </is>
      </c>
      <c r="B128" s="60" t="inlineStr">
        <is>
          <t>CTA2-R54</t>
        </is>
      </c>
      <c r="C128" s="60" t="inlineStr">
        <is>
          <t>N00</t>
        </is>
      </c>
      <c r="D128" s="60" t="inlineStr">
        <is>
          <t>Faux plafond couloir</t>
        </is>
      </c>
      <c r="E128" s="60" t="inlineStr">
        <is>
          <t>Reprise</t>
        </is>
      </c>
      <c r="F128" s="60" t="inlineStr">
        <is>
          <t>HEB01 ch. couple</t>
        </is>
      </c>
      <c r="G128" s="61" t="n">
        <v>0.324</v>
      </c>
      <c r="H128" s="46" t="n">
        <v>990</v>
      </c>
      <c r="I128" s="62">
        <f>IF(A128="CTA 5",MIN(INDEX(Hypothèses!$C$6:$C$16,MATCH(H128,Hypothèses!$A$6:$A$16,1)),Hypothèses!$B$30),INDEX(Hypothèses!$C$6:$C$16,MATCH(H128,Hypothèses!$A$6:$A$16,1)))</f>
        <v/>
      </c>
      <c r="J128" s="63">
        <f>H128/3600/I128</f>
        <v/>
      </c>
      <c r="K128" s="60">
        <f>IF(A128="CTA 4",Hypothèses!$B$25,IF(AND(A128="CTA 5",H128&gt;4000),Hypothèses!$B$29,IF(H128&lt;=2000,Hypothèses!$B$23,Hypothèses!$B$24)))</f>
        <v/>
      </c>
      <c r="L128" s="60">
        <f>MAX(Hypothèses!$B$26,CEILING(J128/(K128/1000)*1000,Hypothèses!$B$27))</f>
        <v/>
      </c>
      <c r="M128" s="63">
        <f>L128*K128/1000000</f>
        <v/>
      </c>
      <c r="N128" s="64">
        <f>H128/3600/M128</f>
        <v/>
      </c>
      <c r="O128" s="60">
        <f>IF(N128&lt;=I128,"oui","NON")</f>
        <v/>
      </c>
      <c r="P128" s="63">
        <f>1.3*((L128/1000)*(K128/1000))^0.625/((L128/1000)+(K128/1000))^0.25</f>
        <v/>
      </c>
      <c r="Q128" s="65">
        <f>N128*P128/Hypothèses!$B$20</f>
        <v/>
      </c>
      <c r="R128" s="66">
        <f>0.25/(LOG10(Hypothèses!$B$21/(3.7*P128)+5.74/Q128^0.9))^2</f>
        <v/>
      </c>
      <c r="S128" s="64">
        <f>R128/P128*Hypothèses!$B$19*N128^2/2</f>
        <v/>
      </c>
      <c r="T128" s="62">
        <f>S128*G128*(1+Hypothèses!$B$22)</f>
        <v/>
      </c>
      <c r="U128" s="45" t="inlineStr">
        <is>
          <t>X</t>
        </is>
      </c>
      <c r="V128" s="60">
        <f>IF(K128&lt;=Hypothèses!$B$28-100,"oui","NON")</f>
        <v/>
      </c>
    </row>
    <row r="129" ht="15" customHeight="1" s="40">
      <c r="A129" s="60" t="inlineStr">
        <is>
          <t>CTA 2</t>
        </is>
      </c>
      <c r="B129" s="60" t="inlineStr">
        <is>
          <t>CTA2-R55</t>
        </is>
      </c>
      <c r="C129" s="60" t="inlineStr">
        <is>
          <t>N00</t>
        </is>
      </c>
      <c r="D129" s="60" t="inlineStr">
        <is>
          <t>Faux plafond couloir</t>
        </is>
      </c>
      <c r="E129" s="60" t="inlineStr">
        <is>
          <t>Reprise</t>
        </is>
      </c>
      <c r="F129" s="60" t="inlineStr">
        <is>
          <t>HEB01 ch. couple</t>
        </is>
      </c>
      <c r="G129" s="61" t="n">
        <v>3.727</v>
      </c>
      <c r="H129" s="46" t="n">
        <v>900</v>
      </c>
      <c r="I129" s="62">
        <f>IF(A129="CTA 5",MIN(INDEX(Hypothèses!$C$6:$C$16,MATCH(H129,Hypothèses!$A$6:$A$16,1)),Hypothèses!$B$30),INDEX(Hypothèses!$C$6:$C$16,MATCH(H129,Hypothèses!$A$6:$A$16,1)))</f>
        <v/>
      </c>
      <c r="J129" s="63">
        <f>H129/3600/I129</f>
        <v/>
      </c>
      <c r="K129" s="60">
        <f>IF(A129="CTA 4",Hypothèses!$B$25,IF(AND(A129="CTA 5",H129&gt;4000),Hypothèses!$B$29,IF(H129&lt;=2000,Hypothèses!$B$23,Hypothèses!$B$24)))</f>
        <v/>
      </c>
      <c r="L129" s="60">
        <f>MAX(Hypothèses!$B$26,CEILING(J129/(K129/1000)*1000,Hypothèses!$B$27))</f>
        <v/>
      </c>
      <c r="M129" s="63">
        <f>L129*K129/1000000</f>
        <v/>
      </c>
      <c r="N129" s="64">
        <f>H129/3600/M129</f>
        <v/>
      </c>
      <c r="O129" s="60">
        <f>IF(N129&lt;=I129,"oui","NON")</f>
        <v/>
      </c>
      <c r="P129" s="63">
        <f>1.3*((L129/1000)*(K129/1000))^0.625/((L129/1000)+(K129/1000))^0.25</f>
        <v/>
      </c>
      <c r="Q129" s="65">
        <f>N129*P129/Hypothèses!$B$20</f>
        <v/>
      </c>
      <c r="R129" s="66">
        <f>0.25/(LOG10(Hypothèses!$B$21/(3.7*P129)+5.74/Q129^0.9))^2</f>
        <v/>
      </c>
      <c r="S129" s="64">
        <f>R129/P129*Hypothèses!$B$19*N129^2/2</f>
        <v/>
      </c>
      <c r="T129" s="62">
        <f>S129*G129*(1+Hypothèses!$B$22)</f>
        <v/>
      </c>
      <c r="U129" s="45" t="inlineStr">
        <is>
          <t>X</t>
        </is>
      </c>
      <c r="V129" s="60">
        <f>IF(K129&lt;=Hypothèses!$B$28-100,"oui","NON")</f>
        <v/>
      </c>
    </row>
    <row r="130" ht="15" customHeight="1" s="40">
      <c r="A130" s="60" t="inlineStr">
        <is>
          <t>CTA 2</t>
        </is>
      </c>
      <c r="B130" s="60" t="inlineStr">
        <is>
          <t>CTA2-R56</t>
        </is>
      </c>
      <c r="C130" s="60" t="inlineStr">
        <is>
          <t>N00</t>
        </is>
      </c>
      <c r="D130" s="60" t="inlineStr">
        <is>
          <t>Faux plafond couloir</t>
        </is>
      </c>
      <c r="E130" s="60" t="inlineStr">
        <is>
          <t>Reprise</t>
        </is>
      </c>
      <c r="F130" s="60" t="inlineStr">
        <is>
          <t>HEB01 chambre</t>
        </is>
      </c>
      <c r="G130" s="61" t="n">
        <v>0.442</v>
      </c>
      <c r="H130" s="46" t="n">
        <v>810</v>
      </c>
      <c r="I130" s="62">
        <f>IF(A130="CTA 5",MIN(INDEX(Hypothèses!$C$6:$C$16,MATCH(H130,Hypothèses!$A$6:$A$16,1)),Hypothèses!$B$30),INDEX(Hypothèses!$C$6:$C$16,MATCH(H130,Hypothèses!$A$6:$A$16,1)))</f>
        <v/>
      </c>
      <c r="J130" s="63">
        <f>H130/3600/I130</f>
        <v/>
      </c>
      <c r="K130" s="60">
        <f>IF(A130="CTA 4",Hypothèses!$B$25,IF(AND(A130="CTA 5",H130&gt;4000),Hypothèses!$B$29,IF(H130&lt;=2000,Hypothèses!$B$23,Hypothèses!$B$24)))</f>
        <v/>
      </c>
      <c r="L130" s="60">
        <f>MAX(Hypothèses!$B$26,CEILING(J130/(K130/1000)*1000,Hypothèses!$B$27))</f>
        <v/>
      </c>
      <c r="M130" s="63">
        <f>L130*K130/1000000</f>
        <v/>
      </c>
      <c r="N130" s="64">
        <f>H130/3600/M130</f>
        <v/>
      </c>
      <c r="O130" s="60">
        <f>IF(N130&lt;=I130,"oui","NON")</f>
        <v/>
      </c>
      <c r="P130" s="63">
        <f>1.3*((L130/1000)*(K130/1000))^0.625/((L130/1000)+(K130/1000))^0.25</f>
        <v/>
      </c>
      <c r="Q130" s="65">
        <f>N130*P130/Hypothèses!$B$20</f>
        <v/>
      </c>
      <c r="R130" s="66">
        <f>0.25/(LOG10(Hypothèses!$B$21/(3.7*P130)+5.74/Q130^0.9))^2</f>
        <v/>
      </c>
      <c r="S130" s="64">
        <f>R130/P130*Hypothèses!$B$19*N130^2/2</f>
        <v/>
      </c>
      <c r="T130" s="62">
        <f>S130*G130*(1+Hypothèses!$B$22)</f>
        <v/>
      </c>
      <c r="U130" s="45" t="inlineStr">
        <is>
          <t>X</t>
        </is>
      </c>
      <c r="V130" s="60">
        <f>IF(K130&lt;=Hypothèses!$B$28-100,"oui","NON")</f>
        <v/>
      </c>
    </row>
    <row r="131" ht="15" customHeight="1" s="40">
      <c r="A131" s="60" t="inlineStr">
        <is>
          <t>CTA 2</t>
        </is>
      </c>
      <c r="B131" s="60" t="inlineStr">
        <is>
          <t>CTA2-R57</t>
        </is>
      </c>
      <c r="C131" s="60" t="inlineStr">
        <is>
          <t>N00</t>
        </is>
      </c>
      <c r="D131" s="60" t="inlineStr">
        <is>
          <t>Faux plafond couloir</t>
        </is>
      </c>
      <c r="E131" s="60" t="inlineStr">
        <is>
          <t>Reprise</t>
        </is>
      </c>
      <c r="F131" s="60" t="inlineStr">
        <is>
          <t>HEB01 chambre</t>
        </is>
      </c>
      <c r="G131" s="61" t="n">
        <v>3.759</v>
      </c>
      <c r="H131" s="46" t="n">
        <v>810</v>
      </c>
      <c r="I131" s="62">
        <f>IF(A131="CTA 5",MIN(INDEX(Hypothèses!$C$6:$C$16,MATCH(H131,Hypothèses!$A$6:$A$16,1)),Hypothèses!$B$30),INDEX(Hypothèses!$C$6:$C$16,MATCH(H131,Hypothèses!$A$6:$A$16,1)))</f>
        <v/>
      </c>
      <c r="J131" s="63">
        <f>H131/3600/I131</f>
        <v/>
      </c>
      <c r="K131" s="60">
        <f>IF(A131="CTA 4",Hypothèses!$B$25,IF(AND(A131="CTA 5",H131&gt;4000),Hypothèses!$B$29,IF(H131&lt;=2000,Hypothèses!$B$23,Hypothèses!$B$24)))</f>
        <v/>
      </c>
      <c r="L131" s="60">
        <f>MAX(Hypothèses!$B$26,CEILING(J131/(K131/1000)*1000,Hypothèses!$B$27))</f>
        <v/>
      </c>
      <c r="M131" s="63">
        <f>L131*K131/1000000</f>
        <v/>
      </c>
      <c r="N131" s="64">
        <f>H131/3600/M131</f>
        <v/>
      </c>
      <c r="O131" s="60">
        <f>IF(N131&lt;=I131,"oui","NON")</f>
        <v/>
      </c>
      <c r="P131" s="63">
        <f>1.3*((L131/1000)*(K131/1000))^0.625/((L131/1000)+(K131/1000))^0.25</f>
        <v/>
      </c>
      <c r="Q131" s="65">
        <f>N131*P131/Hypothèses!$B$20</f>
        <v/>
      </c>
      <c r="R131" s="66">
        <f>0.25/(LOG10(Hypothèses!$B$21/(3.7*P131)+5.74/Q131^0.9))^2</f>
        <v/>
      </c>
      <c r="S131" s="64">
        <f>R131/P131*Hypothèses!$B$19*N131^2/2</f>
        <v/>
      </c>
      <c r="T131" s="62">
        <f>S131*G131*(1+Hypothèses!$B$22)</f>
        <v/>
      </c>
      <c r="U131" s="45" t="inlineStr">
        <is>
          <t>X</t>
        </is>
      </c>
      <c r="V131" s="60">
        <f>IF(K131&lt;=Hypothèses!$B$28-100,"oui","NON")</f>
        <v/>
      </c>
    </row>
    <row r="132" ht="15" customHeight="1" s="40">
      <c r="A132" s="60" t="inlineStr">
        <is>
          <t>CTA 2</t>
        </is>
      </c>
      <c r="B132" s="60" t="inlineStr">
        <is>
          <t>CTA2-R58</t>
        </is>
      </c>
      <c r="C132" s="60" t="inlineStr">
        <is>
          <t>N00</t>
        </is>
      </c>
      <c r="D132" s="60" t="inlineStr">
        <is>
          <t>Faux plafond couloir</t>
        </is>
      </c>
      <c r="E132" s="60" t="inlineStr">
        <is>
          <t>Reprise</t>
        </is>
      </c>
      <c r="F132" s="60" t="inlineStr">
        <is>
          <t>HEB01 ch. couple</t>
        </is>
      </c>
      <c r="G132" s="61" t="n">
        <v>0.201</v>
      </c>
      <c r="H132" s="46" t="n">
        <v>720</v>
      </c>
      <c r="I132" s="62">
        <f>IF(A132="CTA 5",MIN(INDEX(Hypothèses!$C$6:$C$16,MATCH(H132,Hypothèses!$A$6:$A$16,1)),Hypothèses!$B$30),INDEX(Hypothèses!$C$6:$C$16,MATCH(H132,Hypothèses!$A$6:$A$16,1)))</f>
        <v/>
      </c>
      <c r="J132" s="63">
        <f>H132/3600/I132</f>
        <v/>
      </c>
      <c r="K132" s="60">
        <f>IF(A132="CTA 4",Hypothèses!$B$25,IF(AND(A132="CTA 5",H132&gt;4000),Hypothèses!$B$29,IF(H132&lt;=2000,Hypothèses!$B$23,Hypothèses!$B$24)))</f>
        <v/>
      </c>
      <c r="L132" s="60">
        <f>MAX(Hypothèses!$B$26,CEILING(J132/(K132/1000)*1000,Hypothèses!$B$27))</f>
        <v/>
      </c>
      <c r="M132" s="63">
        <f>L132*K132/1000000</f>
        <v/>
      </c>
      <c r="N132" s="64">
        <f>H132/3600/M132</f>
        <v/>
      </c>
      <c r="O132" s="60">
        <f>IF(N132&lt;=I132,"oui","NON")</f>
        <v/>
      </c>
      <c r="P132" s="63">
        <f>1.3*((L132/1000)*(K132/1000))^0.625/((L132/1000)+(K132/1000))^0.25</f>
        <v/>
      </c>
      <c r="Q132" s="65">
        <f>N132*P132/Hypothèses!$B$20</f>
        <v/>
      </c>
      <c r="R132" s="66">
        <f>0.25/(LOG10(Hypothèses!$B$21/(3.7*P132)+5.74/Q132^0.9))^2</f>
        <v/>
      </c>
      <c r="S132" s="64">
        <f>R132/P132*Hypothèses!$B$19*N132^2/2</f>
        <v/>
      </c>
      <c r="T132" s="62">
        <f>S132*G132*(1+Hypothèses!$B$22)</f>
        <v/>
      </c>
      <c r="U132" s="45" t="inlineStr">
        <is>
          <t>X</t>
        </is>
      </c>
      <c r="V132" s="60">
        <f>IF(K132&lt;=Hypothèses!$B$28-100,"oui","NON")</f>
        <v/>
      </c>
    </row>
    <row r="133" ht="15" customHeight="1" s="40">
      <c r="A133" s="60" t="inlineStr">
        <is>
          <t>CTA 2</t>
        </is>
      </c>
      <c r="B133" s="60" t="inlineStr">
        <is>
          <t>CTA2-R59</t>
        </is>
      </c>
      <c r="C133" s="60" t="inlineStr">
        <is>
          <t>N00</t>
        </is>
      </c>
      <c r="D133" s="60" t="inlineStr">
        <is>
          <t>Faux plafond couloir</t>
        </is>
      </c>
      <c r="E133" s="60" t="inlineStr">
        <is>
          <t>Reprise</t>
        </is>
      </c>
      <c r="F133" s="60" t="inlineStr">
        <is>
          <t>HEB01 ch. couple</t>
        </is>
      </c>
      <c r="G133" s="61" t="n">
        <v>3.776</v>
      </c>
      <c r="H133" s="46" t="n">
        <v>630</v>
      </c>
      <c r="I133" s="62">
        <f>IF(A133="CTA 5",MIN(INDEX(Hypothèses!$C$6:$C$16,MATCH(H133,Hypothèses!$A$6:$A$16,1)),Hypothèses!$B$30),INDEX(Hypothèses!$C$6:$C$16,MATCH(H133,Hypothèses!$A$6:$A$16,1)))</f>
        <v/>
      </c>
      <c r="J133" s="63">
        <f>H133/3600/I133</f>
        <v/>
      </c>
      <c r="K133" s="60">
        <f>IF(A133="CTA 4",Hypothèses!$B$25,IF(AND(A133="CTA 5",H133&gt;4000),Hypothèses!$B$29,IF(H133&lt;=2000,Hypothèses!$B$23,Hypothèses!$B$24)))</f>
        <v/>
      </c>
      <c r="L133" s="60">
        <f>MAX(Hypothèses!$B$26,CEILING(J133/(K133/1000)*1000,Hypothèses!$B$27))</f>
        <v/>
      </c>
      <c r="M133" s="63">
        <f>L133*K133/1000000</f>
        <v/>
      </c>
      <c r="N133" s="64">
        <f>H133/3600/M133</f>
        <v/>
      </c>
      <c r="O133" s="60">
        <f>IF(N133&lt;=I133,"oui","NON")</f>
        <v/>
      </c>
      <c r="P133" s="63">
        <f>1.3*((L133/1000)*(K133/1000))^0.625/((L133/1000)+(K133/1000))^0.25</f>
        <v/>
      </c>
      <c r="Q133" s="65">
        <f>N133*P133/Hypothèses!$B$20</f>
        <v/>
      </c>
      <c r="R133" s="66">
        <f>0.25/(LOG10(Hypothèses!$B$21/(3.7*P133)+5.74/Q133^0.9))^2</f>
        <v/>
      </c>
      <c r="S133" s="64">
        <f>R133/P133*Hypothèses!$B$19*N133^2/2</f>
        <v/>
      </c>
      <c r="T133" s="62">
        <f>S133*G133*(1+Hypothèses!$B$22)</f>
        <v/>
      </c>
      <c r="U133" s="45" t="inlineStr">
        <is>
          <t>X</t>
        </is>
      </c>
      <c r="V133" s="60">
        <f>IF(K133&lt;=Hypothèses!$B$28-100,"oui","NON")</f>
        <v/>
      </c>
    </row>
    <row r="134" ht="15" customHeight="1" s="40">
      <c r="A134" s="60" t="inlineStr">
        <is>
          <t>CTA 2</t>
        </is>
      </c>
      <c r="B134" s="60" t="inlineStr">
        <is>
          <t>CTA2-R60</t>
        </is>
      </c>
      <c r="C134" s="60" t="inlineStr">
        <is>
          <t>N00</t>
        </is>
      </c>
      <c r="D134" s="60" t="inlineStr">
        <is>
          <t>Faux plafond couloir</t>
        </is>
      </c>
      <c r="E134" s="60" t="inlineStr">
        <is>
          <t>Reprise</t>
        </is>
      </c>
      <c r="F134" s="60" t="inlineStr">
        <is>
          <t>HEB01 chambre</t>
        </is>
      </c>
      <c r="G134" s="61" t="n">
        <v>0.5</v>
      </c>
      <c r="H134" s="46" t="n">
        <v>450</v>
      </c>
      <c r="I134" s="62">
        <f>IF(A134="CTA 5",MIN(INDEX(Hypothèses!$C$6:$C$16,MATCH(H134,Hypothèses!$A$6:$A$16,1)),Hypothèses!$B$30),INDEX(Hypothèses!$C$6:$C$16,MATCH(H134,Hypothèses!$A$6:$A$16,1)))</f>
        <v/>
      </c>
      <c r="J134" s="63">
        <f>H134/3600/I134</f>
        <v/>
      </c>
      <c r="K134" s="60">
        <f>IF(A134="CTA 4",Hypothèses!$B$25,IF(AND(A134="CTA 5",H134&gt;4000),Hypothèses!$B$29,IF(H134&lt;=2000,Hypothèses!$B$23,Hypothèses!$B$24)))</f>
        <v/>
      </c>
      <c r="L134" s="60">
        <f>MAX(Hypothèses!$B$26,CEILING(J134/(K134/1000)*1000,Hypothèses!$B$27))</f>
        <v/>
      </c>
      <c r="M134" s="63">
        <f>L134*K134/1000000</f>
        <v/>
      </c>
      <c r="N134" s="64">
        <f>H134/3600/M134</f>
        <v/>
      </c>
      <c r="O134" s="60">
        <f>IF(N134&lt;=I134,"oui","NON")</f>
        <v/>
      </c>
      <c r="P134" s="63">
        <f>1.3*((L134/1000)*(K134/1000))^0.625/((L134/1000)+(K134/1000))^0.25</f>
        <v/>
      </c>
      <c r="Q134" s="65">
        <f>N134*P134/Hypothèses!$B$20</f>
        <v/>
      </c>
      <c r="R134" s="66">
        <f>0.25/(LOG10(Hypothèses!$B$21/(3.7*P134)+5.74/Q134^0.9))^2</f>
        <v/>
      </c>
      <c r="S134" s="64">
        <f>R134/P134*Hypothèses!$B$19*N134^2/2</f>
        <v/>
      </c>
      <c r="T134" s="62">
        <f>S134*G134*(1+Hypothèses!$B$22)</f>
        <v/>
      </c>
      <c r="U134" s="45" t="inlineStr">
        <is>
          <t>X</t>
        </is>
      </c>
      <c r="V134" s="60">
        <f>IF(K134&lt;=Hypothèses!$B$28-100,"oui","NON")</f>
        <v/>
      </c>
    </row>
    <row r="135" ht="15" customHeight="1" s="40">
      <c r="A135" s="60" t="inlineStr">
        <is>
          <t>CTA 2</t>
        </is>
      </c>
      <c r="B135" s="60" t="inlineStr">
        <is>
          <t>CTA2-R61</t>
        </is>
      </c>
      <c r="C135" s="60" t="inlineStr">
        <is>
          <t>N00</t>
        </is>
      </c>
      <c r="D135" s="60" t="inlineStr">
        <is>
          <t>Faux plafond couloir</t>
        </is>
      </c>
      <c r="E135" s="60" t="inlineStr">
        <is>
          <t>Reprise</t>
        </is>
      </c>
      <c r="F135" s="60" t="inlineStr">
        <is>
          <t>HEB01 ch. bariatrique</t>
        </is>
      </c>
      <c r="G135" s="61" t="n">
        <v>4.028</v>
      </c>
      <c r="H135" s="46" t="n">
        <v>450</v>
      </c>
      <c r="I135" s="62">
        <f>IF(A135="CTA 5",MIN(INDEX(Hypothèses!$C$6:$C$16,MATCH(H135,Hypothèses!$A$6:$A$16,1)),Hypothèses!$B$30),INDEX(Hypothèses!$C$6:$C$16,MATCH(H135,Hypothèses!$A$6:$A$16,1)))</f>
        <v/>
      </c>
      <c r="J135" s="63">
        <f>H135/3600/I135</f>
        <v/>
      </c>
      <c r="K135" s="60">
        <f>IF(A135="CTA 4",Hypothèses!$B$25,IF(AND(A135="CTA 5",H135&gt;4000),Hypothèses!$B$29,IF(H135&lt;=2000,Hypothèses!$B$23,Hypothèses!$B$24)))</f>
        <v/>
      </c>
      <c r="L135" s="60">
        <f>MAX(Hypothèses!$B$26,CEILING(J135/(K135/1000)*1000,Hypothèses!$B$27))</f>
        <v/>
      </c>
      <c r="M135" s="63">
        <f>L135*K135/1000000</f>
        <v/>
      </c>
      <c r="N135" s="64">
        <f>H135/3600/M135</f>
        <v/>
      </c>
      <c r="O135" s="60">
        <f>IF(N135&lt;=I135,"oui","NON")</f>
        <v/>
      </c>
      <c r="P135" s="63">
        <f>1.3*((L135/1000)*(K135/1000))^0.625/((L135/1000)+(K135/1000))^0.25</f>
        <v/>
      </c>
      <c r="Q135" s="65">
        <f>N135*P135/Hypothèses!$B$20</f>
        <v/>
      </c>
      <c r="R135" s="66">
        <f>0.25/(LOG10(Hypothèses!$B$21/(3.7*P135)+5.74/Q135^0.9))^2</f>
        <v/>
      </c>
      <c r="S135" s="64">
        <f>R135/P135*Hypothèses!$B$19*N135^2/2</f>
        <v/>
      </c>
      <c r="T135" s="62">
        <f>S135*G135*(1+Hypothèses!$B$22)</f>
        <v/>
      </c>
      <c r="U135" s="45" t="inlineStr">
        <is>
          <t>X</t>
        </is>
      </c>
      <c r="V135" s="60">
        <f>IF(K135&lt;=Hypothèses!$B$28-100,"oui","NON")</f>
        <v/>
      </c>
    </row>
    <row r="136" ht="15" customHeight="1" s="40">
      <c r="A136" s="60" t="inlineStr">
        <is>
          <t>CTA 2</t>
        </is>
      </c>
      <c r="B136" s="60" t="inlineStr">
        <is>
          <t>CTA2-R62</t>
        </is>
      </c>
      <c r="C136" s="60" t="inlineStr">
        <is>
          <t>N00</t>
        </is>
      </c>
      <c r="D136" s="60" t="inlineStr">
        <is>
          <t>Faux plafond couloir</t>
        </is>
      </c>
      <c r="E136" s="60" t="inlineStr">
        <is>
          <t>Reprise</t>
        </is>
      </c>
      <c r="F136" s="60" t="inlineStr">
        <is>
          <t>HEB01 chambre</t>
        </is>
      </c>
      <c r="G136" s="61" t="n">
        <v>2.376</v>
      </c>
      <c r="H136" s="46" t="n">
        <v>360</v>
      </c>
      <c r="I136" s="62">
        <f>IF(A136="CTA 5",MIN(INDEX(Hypothèses!$C$6:$C$16,MATCH(H136,Hypothèses!$A$6:$A$16,1)),Hypothèses!$B$30),INDEX(Hypothèses!$C$6:$C$16,MATCH(H136,Hypothèses!$A$6:$A$16,1)))</f>
        <v/>
      </c>
      <c r="J136" s="63">
        <f>H136/3600/I136</f>
        <v/>
      </c>
      <c r="K136" s="60">
        <f>IF(A136="CTA 4",Hypothèses!$B$25,IF(AND(A136="CTA 5",H136&gt;4000),Hypothèses!$B$29,IF(H136&lt;=2000,Hypothèses!$B$23,Hypothèses!$B$24)))</f>
        <v/>
      </c>
      <c r="L136" s="60">
        <f>MAX(Hypothèses!$B$26,CEILING(J136/(K136/1000)*1000,Hypothèses!$B$27))</f>
        <v/>
      </c>
      <c r="M136" s="63">
        <f>L136*K136/1000000</f>
        <v/>
      </c>
      <c r="N136" s="64">
        <f>H136/3600/M136</f>
        <v/>
      </c>
      <c r="O136" s="60">
        <f>IF(N136&lt;=I136,"oui","NON")</f>
        <v/>
      </c>
      <c r="P136" s="63">
        <f>1.3*((L136/1000)*(K136/1000))^0.625/((L136/1000)+(K136/1000))^0.25</f>
        <v/>
      </c>
      <c r="Q136" s="65">
        <f>N136*P136/Hypothèses!$B$20</f>
        <v/>
      </c>
      <c r="R136" s="66">
        <f>0.25/(LOG10(Hypothèses!$B$21/(3.7*P136)+5.74/Q136^0.9))^2</f>
        <v/>
      </c>
      <c r="S136" s="64">
        <f>R136/P136*Hypothèses!$B$19*N136^2/2</f>
        <v/>
      </c>
      <c r="T136" s="62">
        <f>S136*G136*(1+Hypothèses!$B$22)</f>
        <v/>
      </c>
      <c r="U136" s="45" t="inlineStr">
        <is>
          <t>X</t>
        </is>
      </c>
      <c r="V136" s="60">
        <f>IF(K136&lt;=Hypothèses!$B$28-100,"oui","NON")</f>
        <v/>
      </c>
    </row>
    <row r="137" ht="15" customHeight="1" s="40">
      <c r="A137" s="60" t="inlineStr">
        <is>
          <t>CTA 2</t>
        </is>
      </c>
      <c r="B137" s="60" t="inlineStr">
        <is>
          <t>CTA2-R63</t>
        </is>
      </c>
      <c r="C137" s="60" t="inlineStr">
        <is>
          <t>N00</t>
        </is>
      </c>
      <c r="D137" s="60" t="inlineStr">
        <is>
          <t>Faux plafond couloir</t>
        </is>
      </c>
      <c r="E137" s="60" t="inlineStr">
        <is>
          <t>Reprise</t>
        </is>
      </c>
      <c r="F137" s="60" t="inlineStr">
        <is>
          <t>HEB01 ch. bariatrique</t>
        </is>
      </c>
      <c r="G137" s="61" t="n">
        <v>1.433</v>
      </c>
      <c r="H137" s="46" t="n">
        <v>180</v>
      </c>
      <c r="I137" s="62">
        <f>IF(A137="CTA 5",MIN(INDEX(Hypothèses!$C$6:$C$16,MATCH(H137,Hypothèses!$A$6:$A$16,1)),Hypothèses!$B$30),INDEX(Hypothèses!$C$6:$C$16,MATCH(H137,Hypothèses!$A$6:$A$16,1)))</f>
        <v/>
      </c>
      <c r="J137" s="63">
        <f>H137/3600/I137</f>
        <v/>
      </c>
      <c r="K137" s="60">
        <f>IF(A137="CTA 4",Hypothèses!$B$25,IF(AND(A137="CTA 5",H137&gt;4000),Hypothèses!$B$29,IF(H137&lt;=2000,Hypothèses!$B$23,Hypothèses!$B$24)))</f>
        <v/>
      </c>
      <c r="L137" s="60">
        <f>MAX(Hypothèses!$B$26,CEILING(J137/(K137/1000)*1000,Hypothèses!$B$27))</f>
        <v/>
      </c>
      <c r="M137" s="63">
        <f>L137*K137/1000000</f>
        <v/>
      </c>
      <c r="N137" s="64">
        <f>H137/3600/M137</f>
        <v/>
      </c>
      <c r="O137" s="60">
        <f>IF(N137&lt;=I137,"oui","NON")</f>
        <v/>
      </c>
      <c r="P137" s="63">
        <f>1.3*((L137/1000)*(K137/1000))^0.625/((L137/1000)+(K137/1000))^0.25</f>
        <v/>
      </c>
      <c r="Q137" s="65">
        <f>N137*P137/Hypothèses!$B$20</f>
        <v/>
      </c>
      <c r="R137" s="66">
        <f>0.25/(LOG10(Hypothèses!$B$21/(3.7*P137)+5.74/Q137^0.9))^2</f>
        <v/>
      </c>
      <c r="S137" s="64">
        <f>R137/P137*Hypothèses!$B$19*N137^2/2</f>
        <v/>
      </c>
      <c r="T137" s="62">
        <f>S137*G137*(1+Hypothèses!$B$22)</f>
        <v/>
      </c>
      <c r="U137" s="45" t="inlineStr">
        <is>
          <t>X</t>
        </is>
      </c>
      <c r="V137" s="60">
        <f>IF(K137&lt;=Hypothèses!$B$28-100,"oui","NON")</f>
        <v/>
      </c>
    </row>
    <row r="138" ht="15" customHeight="1" s="40">
      <c r="A138" s="60" t="inlineStr">
        <is>
          <t>CTA 2</t>
        </is>
      </c>
      <c r="B138" s="60" t="inlineStr">
        <is>
          <t>CTA2-R64</t>
        </is>
      </c>
      <c r="C138" s="60" t="inlineStr">
        <is>
          <t>N00</t>
        </is>
      </c>
      <c r="D138" s="60" t="inlineStr">
        <is>
          <t>Faux plafond couloir</t>
        </is>
      </c>
      <c r="E138" s="60" t="inlineStr">
        <is>
          <t>Reprise</t>
        </is>
      </c>
      <c r="F138" s="60" t="inlineStr">
        <is>
          <t>HEB01 chambre</t>
        </is>
      </c>
      <c r="G138" s="61" t="n">
        <v>2.357</v>
      </c>
      <c r="H138" s="46" t="n">
        <v>90</v>
      </c>
      <c r="I138" s="62">
        <f>IF(A138="CTA 5",MIN(INDEX(Hypothèses!$C$6:$C$16,MATCH(H138,Hypothèses!$A$6:$A$16,1)),Hypothèses!$B$30),INDEX(Hypothèses!$C$6:$C$16,MATCH(H138,Hypothèses!$A$6:$A$16,1)))</f>
        <v/>
      </c>
      <c r="J138" s="63">
        <f>H138/3600/I138</f>
        <v/>
      </c>
      <c r="K138" s="60">
        <f>IF(A138="CTA 4",Hypothèses!$B$25,IF(AND(A138="CTA 5",H138&gt;4000),Hypothèses!$B$29,IF(H138&lt;=2000,Hypothèses!$B$23,Hypothèses!$B$24)))</f>
        <v/>
      </c>
      <c r="L138" s="60">
        <f>MAX(Hypothèses!$B$26,CEILING(J138/(K138/1000)*1000,Hypothèses!$B$27))</f>
        <v/>
      </c>
      <c r="M138" s="63">
        <f>L138*K138/1000000</f>
        <v/>
      </c>
      <c r="N138" s="64">
        <f>H138/3600/M138</f>
        <v/>
      </c>
      <c r="O138" s="60">
        <f>IF(N138&lt;=I138,"oui","NON")</f>
        <v/>
      </c>
      <c r="P138" s="63">
        <f>1.3*((L138/1000)*(K138/1000))^0.625/((L138/1000)+(K138/1000))^0.25</f>
        <v/>
      </c>
      <c r="Q138" s="65">
        <f>N138*P138/Hypothèses!$B$20</f>
        <v/>
      </c>
      <c r="R138" s="66">
        <f>0.25/(LOG10(Hypothèses!$B$21/(3.7*P138)+5.74/Q138^0.9))^2</f>
        <v/>
      </c>
      <c r="S138" s="64">
        <f>R138/P138*Hypothèses!$B$19*N138^2/2</f>
        <v/>
      </c>
      <c r="T138" s="62">
        <f>S138*G138*(1+Hypothèses!$B$22)</f>
        <v/>
      </c>
      <c r="U138" s="45" t="inlineStr">
        <is>
          <t>X</t>
        </is>
      </c>
      <c r="V138" s="60">
        <f>IF(K138&lt;=Hypothèses!$B$28-100,"oui","NON")</f>
        <v/>
      </c>
    </row>
    <row r="139" ht="15" customHeight="1" s="40">
      <c r="A139" s="60" t="inlineStr">
        <is>
          <t>CTA 3</t>
        </is>
      </c>
      <c r="B139" s="60" t="inlineStr">
        <is>
          <t>CTA3-S01</t>
        </is>
      </c>
      <c r="C139" s="60" t="inlineStr">
        <is>
          <t>Toiture</t>
        </is>
      </c>
      <c r="D139" s="60" t="inlineStr">
        <is>
          <t>Toiture (CTA → descente)</t>
        </is>
      </c>
      <c r="E139" s="60" t="inlineStr">
        <is>
          <t>Soufflage</t>
        </is>
      </c>
      <c r="F139" s="60" t="inlineStr">
        <is>
          <t>Sortie CTA → descente (trémie en toiture)</t>
        </is>
      </c>
      <c r="G139" s="61" t="n">
        <v>1.95</v>
      </c>
      <c r="H139" s="46" t="n">
        <v>1170</v>
      </c>
      <c r="I139" s="62">
        <f>IF(A139="CTA 5",MIN(INDEX(Hypothèses!$C$6:$C$16,MATCH(H139,Hypothèses!$A$6:$A$16,1)),Hypothèses!$B$30),INDEX(Hypothèses!$C$6:$C$16,MATCH(H139,Hypothèses!$A$6:$A$16,1)))</f>
        <v/>
      </c>
      <c r="J139" s="63">
        <f>H139/3600/I139</f>
        <v/>
      </c>
      <c r="K139" s="60">
        <f>IF(A139="CTA 4",Hypothèses!$B$25,IF(AND(A139="CTA 5",H139&gt;4000),Hypothèses!$B$29,IF(H139&lt;=2000,Hypothèses!$B$23,Hypothèses!$B$24)))</f>
        <v/>
      </c>
      <c r="L139" s="60">
        <f>MAX(Hypothèses!$B$26,CEILING(J139/(K139/1000)*1000,Hypothèses!$B$27))</f>
        <v/>
      </c>
      <c r="M139" s="63">
        <f>L139*K139/1000000</f>
        <v/>
      </c>
      <c r="N139" s="64">
        <f>H139/3600/M139</f>
        <v/>
      </c>
      <c r="O139" s="60">
        <f>IF(N139&lt;=I139,"oui","NON")</f>
        <v/>
      </c>
      <c r="P139" s="63">
        <f>1.3*((L139/1000)*(K139/1000))^0.625/((L139/1000)+(K139/1000))^0.25</f>
        <v/>
      </c>
      <c r="Q139" s="65">
        <f>N139*P139/Hypothèses!$B$20</f>
        <v/>
      </c>
      <c r="R139" s="66">
        <f>0.25/(LOG10(Hypothèses!$B$21/(3.7*P139)+5.74/Q139^0.9))^2</f>
        <v/>
      </c>
      <c r="S139" s="64">
        <f>R139/P139*Hypothèses!$B$19*N139^2/2</f>
        <v/>
      </c>
      <c r="T139" s="62">
        <f>S139*G139*(1+Hypothèses!$B$22)</f>
        <v/>
      </c>
      <c r="U139" s="45" t="inlineStr">
        <is>
          <t>X</t>
        </is>
      </c>
      <c r="V139" s="60" t="inlineStr">
        <is>
          <t>–</t>
        </is>
      </c>
    </row>
    <row r="140" ht="15" customHeight="1" s="40">
      <c r="A140" s="60" t="inlineStr">
        <is>
          <t>CTA 3</t>
        </is>
      </c>
      <c r="B140" s="60" t="inlineStr">
        <is>
          <t>CTA3-S02</t>
        </is>
      </c>
      <c r="C140" s="60" t="inlineStr">
        <is>
          <t>N01</t>
        </is>
      </c>
      <c r="D140" s="60" t="inlineStr">
        <is>
          <t>Descente verticale</t>
        </is>
      </c>
      <c r="E140" s="60" t="inlineStr">
        <is>
          <t>Soufflage</t>
        </is>
      </c>
      <c r="F140" s="60" t="inlineStr">
        <is>
          <t>Gaine verticale : toiture → plénum étage</t>
        </is>
      </c>
      <c r="G140" s="61" t="n">
        <v>1.53</v>
      </c>
      <c r="H140" s="46" t="n">
        <v>1170</v>
      </c>
      <c r="I140" s="62">
        <f>IF(A140="CTA 5",MIN(INDEX(Hypothèses!$C$6:$C$16,MATCH(H140,Hypothèses!$A$6:$A$16,1)),Hypothèses!$B$30),INDEX(Hypothèses!$C$6:$C$16,MATCH(H140,Hypothèses!$A$6:$A$16,1)))</f>
        <v/>
      </c>
      <c r="J140" s="63">
        <f>H140/3600/I140</f>
        <v/>
      </c>
      <c r="K140" s="60">
        <f>IF(A140="CTA 4",Hypothèses!$B$25,IF(AND(A140="CTA 5",H140&gt;4000),Hypothèses!$B$29,IF(H140&lt;=2000,Hypothèses!$B$23,Hypothèses!$B$24)))</f>
        <v/>
      </c>
      <c r="L140" s="60">
        <f>MAX(Hypothèses!$B$26,CEILING(J140/(K140/1000)*1000,Hypothèses!$B$27))</f>
        <v/>
      </c>
      <c r="M140" s="63">
        <f>L140*K140/1000000</f>
        <v/>
      </c>
      <c r="N140" s="64">
        <f>H140/3600/M140</f>
        <v/>
      </c>
      <c r="O140" s="60">
        <f>IF(N140&lt;=I140,"oui","NON")</f>
        <v/>
      </c>
      <c r="P140" s="63">
        <f>1.3*((L140/1000)*(K140/1000))^0.625/((L140/1000)+(K140/1000))^0.25</f>
        <v/>
      </c>
      <c r="Q140" s="65">
        <f>N140*P140/Hypothèses!$B$20</f>
        <v/>
      </c>
      <c r="R140" s="66">
        <f>0.25/(LOG10(Hypothèses!$B$21/(3.7*P140)+5.74/Q140^0.9))^2</f>
        <v/>
      </c>
      <c r="S140" s="64">
        <f>R140/P140*Hypothèses!$B$19*N140^2/2</f>
        <v/>
      </c>
      <c r="T140" s="62">
        <f>S140*G140*(1+Hypothèses!$B$22)</f>
        <v/>
      </c>
      <c r="U140" s="45" t="inlineStr">
        <is>
          <t>X</t>
        </is>
      </c>
      <c r="V140" s="60" t="inlineStr">
        <is>
          <t>–</t>
        </is>
      </c>
    </row>
    <row r="141" ht="15" customHeight="1" s="40">
      <c r="A141" s="60" t="inlineStr">
        <is>
          <t>CTA 3</t>
        </is>
      </c>
      <c r="B141" s="60" t="inlineStr">
        <is>
          <t>CTA3-S03</t>
        </is>
      </c>
      <c r="C141" s="60" t="inlineStr">
        <is>
          <t>N01</t>
        </is>
      </c>
      <c r="D141" s="60" t="inlineStr">
        <is>
          <t>Faux plafond couloir</t>
        </is>
      </c>
      <c r="E141" s="60" t="inlineStr">
        <is>
          <t>Soufflage</t>
        </is>
      </c>
      <c r="F141" s="60" t="inlineStr">
        <is>
          <t>HEB01 chambre</t>
        </is>
      </c>
      <c r="G141" s="61" t="n">
        <v>3.184</v>
      </c>
      <c r="H141" s="46" t="n">
        <v>1170</v>
      </c>
      <c r="I141" s="62">
        <f>IF(A141="CTA 5",MIN(INDEX(Hypothèses!$C$6:$C$16,MATCH(H141,Hypothèses!$A$6:$A$16,1)),Hypothèses!$B$30),INDEX(Hypothèses!$C$6:$C$16,MATCH(H141,Hypothèses!$A$6:$A$16,1)))</f>
        <v/>
      </c>
      <c r="J141" s="63">
        <f>H141/3600/I141</f>
        <v/>
      </c>
      <c r="K141" s="60">
        <f>IF(A141="CTA 4",Hypothèses!$B$25,IF(AND(A141="CTA 5",H141&gt;4000),Hypothèses!$B$29,IF(H141&lt;=2000,Hypothèses!$B$23,Hypothèses!$B$24)))</f>
        <v/>
      </c>
      <c r="L141" s="60">
        <f>MAX(Hypothèses!$B$26,CEILING(J141/(K141/1000)*1000,Hypothèses!$B$27))</f>
        <v/>
      </c>
      <c r="M141" s="63">
        <f>L141*K141/1000000</f>
        <v/>
      </c>
      <c r="N141" s="64">
        <f>H141/3600/M141</f>
        <v/>
      </c>
      <c r="O141" s="60">
        <f>IF(N141&lt;=I141,"oui","NON")</f>
        <v/>
      </c>
      <c r="P141" s="63">
        <f>1.3*((L141/1000)*(K141/1000))^0.625/((L141/1000)+(K141/1000))^0.25</f>
        <v/>
      </c>
      <c r="Q141" s="65">
        <f>N141*P141/Hypothèses!$B$20</f>
        <v/>
      </c>
      <c r="R141" s="66">
        <f>0.25/(LOG10(Hypothèses!$B$21/(3.7*P141)+5.74/Q141^0.9))^2</f>
        <v/>
      </c>
      <c r="S141" s="64">
        <f>R141/P141*Hypothèses!$B$19*N141^2/2</f>
        <v/>
      </c>
      <c r="T141" s="62">
        <f>S141*G141*(1+Hypothèses!$B$22)</f>
        <v/>
      </c>
      <c r="U141" s="45" t="inlineStr">
        <is>
          <t>X</t>
        </is>
      </c>
      <c r="V141" s="60">
        <f>IF(K141&lt;=Hypothèses!$B$28-100,"oui","NON")</f>
        <v/>
      </c>
    </row>
    <row r="142" ht="15" customHeight="1" s="40">
      <c r="A142" s="60" t="inlineStr">
        <is>
          <t>CTA 3</t>
        </is>
      </c>
      <c r="B142" s="60" t="inlineStr">
        <is>
          <t>CTA3-S04</t>
        </is>
      </c>
      <c r="C142" s="60" t="inlineStr">
        <is>
          <t>N01</t>
        </is>
      </c>
      <c r="D142" s="60" t="inlineStr">
        <is>
          <t>Faux plafond couloir</t>
        </is>
      </c>
      <c r="E142" s="60" t="inlineStr">
        <is>
          <t>Soufflage</t>
        </is>
      </c>
      <c r="F142" s="60" t="inlineStr">
        <is>
          <t>HEB01 chambre</t>
        </is>
      </c>
      <c r="G142" s="61" t="n">
        <v>4.299</v>
      </c>
      <c r="H142" s="46" t="n">
        <v>1080</v>
      </c>
      <c r="I142" s="62">
        <f>IF(A142="CTA 5",MIN(INDEX(Hypothèses!$C$6:$C$16,MATCH(H142,Hypothèses!$A$6:$A$16,1)),Hypothèses!$B$30),INDEX(Hypothèses!$C$6:$C$16,MATCH(H142,Hypothèses!$A$6:$A$16,1)))</f>
        <v/>
      </c>
      <c r="J142" s="63">
        <f>H142/3600/I142</f>
        <v/>
      </c>
      <c r="K142" s="60">
        <f>IF(A142="CTA 4",Hypothèses!$B$25,IF(AND(A142="CTA 5",H142&gt;4000),Hypothèses!$B$29,IF(H142&lt;=2000,Hypothèses!$B$23,Hypothèses!$B$24)))</f>
        <v/>
      </c>
      <c r="L142" s="60">
        <f>MAX(Hypothèses!$B$26,CEILING(J142/(K142/1000)*1000,Hypothèses!$B$27))</f>
        <v/>
      </c>
      <c r="M142" s="63">
        <f>L142*K142/1000000</f>
        <v/>
      </c>
      <c r="N142" s="64">
        <f>H142/3600/M142</f>
        <v/>
      </c>
      <c r="O142" s="60">
        <f>IF(N142&lt;=I142,"oui","NON")</f>
        <v/>
      </c>
      <c r="P142" s="63">
        <f>1.3*((L142/1000)*(K142/1000))^0.625/((L142/1000)+(K142/1000))^0.25</f>
        <v/>
      </c>
      <c r="Q142" s="65">
        <f>N142*P142/Hypothèses!$B$20</f>
        <v/>
      </c>
      <c r="R142" s="66">
        <f>0.25/(LOG10(Hypothèses!$B$21/(3.7*P142)+5.74/Q142^0.9))^2</f>
        <v/>
      </c>
      <c r="S142" s="64">
        <f>R142/P142*Hypothèses!$B$19*N142^2/2</f>
        <v/>
      </c>
      <c r="T142" s="62">
        <f>S142*G142*(1+Hypothèses!$B$22)</f>
        <v/>
      </c>
      <c r="U142" s="45" t="inlineStr">
        <is>
          <t>X</t>
        </is>
      </c>
      <c r="V142" s="60">
        <f>IF(K142&lt;=Hypothèses!$B$28-100,"oui","NON")</f>
        <v/>
      </c>
    </row>
    <row r="143" ht="15" customHeight="1" s="40">
      <c r="A143" s="60" t="inlineStr">
        <is>
          <t>CTA 3</t>
        </is>
      </c>
      <c r="B143" s="60" t="inlineStr">
        <is>
          <t>CTA3-S05</t>
        </is>
      </c>
      <c r="C143" s="60" t="inlineStr">
        <is>
          <t>N01</t>
        </is>
      </c>
      <c r="D143" s="60" t="inlineStr">
        <is>
          <t>Faux plafond couloir</t>
        </is>
      </c>
      <c r="E143" s="60" t="inlineStr">
        <is>
          <t>Soufflage</t>
        </is>
      </c>
      <c r="F143" s="60" t="inlineStr">
        <is>
          <t>HEB01 chambre</t>
        </is>
      </c>
      <c r="G143" s="61" t="n">
        <v>3.357</v>
      </c>
      <c r="H143" s="46" t="n">
        <v>1080</v>
      </c>
      <c r="I143" s="62">
        <f>IF(A143="CTA 5",MIN(INDEX(Hypothèses!$C$6:$C$16,MATCH(H143,Hypothèses!$A$6:$A$16,1)),Hypothèses!$B$30),INDEX(Hypothèses!$C$6:$C$16,MATCH(H143,Hypothèses!$A$6:$A$16,1)))</f>
        <v/>
      </c>
      <c r="J143" s="63">
        <f>H143/3600/I143</f>
        <v/>
      </c>
      <c r="K143" s="60">
        <f>IF(A143="CTA 4",Hypothèses!$B$25,IF(AND(A143="CTA 5",H143&gt;4000),Hypothèses!$B$29,IF(H143&lt;=2000,Hypothèses!$B$23,Hypothèses!$B$24)))</f>
        <v/>
      </c>
      <c r="L143" s="60">
        <f>MAX(Hypothèses!$B$26,CEILING(J143/(K143/1000)*1000,Hypothèses!$B$27))</f>
        <v/>
      </c>
      <c r="M143" s="63">
        <f>L143*K143/1000000</f>
        <v/>
      </c>
      <c r="N143" s="64">
        <f>H143/3600/M143</f>
        <v/>
      </c>
      <c r="O143" s="60">
        <f>IF(N143&lt;=I143,"oui","NON")</f>
        <v/>
      </c>
      <c r="P143" s="63">
        <f>1.3*((L143/1000)*(K143/1000))^0.625/((L143/1000)+(K143/1000))^0.25</f>
        <v/>
      </c>
      <c r="Q143" s="65">
        <f>N143*P143/Hypothèses!$B$20</f>
        <v/>
      </c>
      <c r="R143" s="66">
        <f>0.25/(LOG10(Hypothèses!$B$21/(3.7*P143)+5.74/Q143^0.9))^2</f>
        <v/>
      </c>
      <c r="S143" s="64">
        <f>R143/P143*Hypothèses!$B$19*N143^2/2</f>
        <v/>
      </c>
      <c r="T143" s="62">
        <f>S143*G143*(1+Hypothèses!$B$22)</f>
        <v/>
      </c>
      <c r="U143" s="45" t="inlineStr">
        <is>
          <t>X</t>
        </is>
      </c>
      <c r="V143" s="60">
        <f>IF(K143&lt;=Hypothèses!$B$28-100,"oui","NON")</f>
        <v/>
      </c>
    </row>
    <row r="144" ht="15" customHeight="1" s="40">
      <c r="A144" s="60" t="inlineStr">
        <is>
          <t>CTA 3</t>
        </is>
      </c>
      <c r="B144" s="60" t="inlineStr">
        <is>
          <t>CTA3-S06</t>
        </is>
      </c>
      <c r="C144" s="60" t="inlineStr">
        <is>
          <t>N01</t>
        </is>
      </c>
      <c r="D144" s="60" t="inlineStr">
        <is>
          <t>Faux plafond couloir</t>
        </is>
      </c>
      <c r="E144" s="60" t="inlineStr">
        <is>
          <t>Soufflage</t>
        </is>
      </c>
      <c r="F144" s="60" t="inlineStr">
        <is>
          <t>HEB01 chambre</t>
        </is>
      </c>
      <c r="G144" s="61" t="n">
        <v>0.351</v>
      </c>
      <c r="H144" s="46" t="n">
        <v>990</v>
      </c>
      <c r="I144" s="62">
        <f>IF(A144="CTA 5",MIN(INDEX(Hypothèses!$C$6:$C$16,MATCH(H144,Hypothèses!$A$6:$A$16,1)),Hypothèses!$B$30),INDEX(Hypothèses!$C$6:$C$16,MATCH(H144,Hypothèses!$A$6:$A$16,1)))</f>
        <v/>
      </c>
      <c r="J144" s="63">
        <f>H144/3600/I144</f>
        <v/>
      </c>
      <c r="K144" s="60">
        <f>IF(A144="CTA 4",Hypothèses!$B$25,IF(AND(A144="CTA 5",H144&gt;4000),Hypothèses!$B$29,IF(H144&lt;=2000,Hypothèses!$B$23,Hypothèses!$B$24)))</f>
        <v/>
      </c>
      <c r="L144" s="60">
        <f>MAX(Hypothèses!$B$26,CEILING(J144/(K144/1000)*1000,Hypothèses!$B$27))</f>
        <v/>
      </c>
      <c r="M144" s="63">
        <f>L144*K144/1000000</f>
        <v/>
      </c>
      <c r="N144" s="64">
        <f>H144/3600/M144</f>
        <v/>
      </c>
      <c r="O144" s="60">
        <f>IF(N144&lt;=I144,"oui","NON")</f>
        <v/>
      </c>
      <c r="P144" s="63">
        <f>1.3*((L144/1000)*(K144/1000))^0.625/((L144/1000)+(K144/1000))^0.25</f>
        <v/>
      </c>
      <c r="Q144" s="65">
        <f>N144*P144/Hypothèses!$B$20</f>
        <v/>
      </c>
      <c r="R144" s="66">
        <f>0.25/(LOG10(Hypothèses!$B$21/(3.7*P144)+5.74/Q144^0.9))^2</f>
        <v/>
      </c>
      <c r="S144" s="64">
        <f>R144/P144*Hypothèses!$B$19*N144^2/2</f>
        <v/>
      </c>
      <c r="T144" s="62">
        <f>S144*G144*(1+Hypothèses!$B$22)</f>
        <v/>
      </c>
      <c r="U144" s="45" t="inlineStr">
        <is>
          <t>X</t>
        </is>
      </c>
      <c r="V144" s="60">
        <f>IF(K144&lt;=Hypothèses!$B$28-100,"oui","NON")</f>
        <v/>
      </c>
    </row>
    <row r="145" ht="15" customHeight="1" s="40">
      <c r="A145" s="60" t="inlineStr">
        <is>
          <t>CTA 3</t>
        </is>
      </c>
      <c r="B145" s="60" t="inlineStr">
        <is>
          <t>CTA3-S07</t>
        </is>
      </c>
      <c r="C145" s="60" t="inlineStr">
        <is>
          <t>N01</t>
        </is>
      </c>
      <c r="D145" s="60" t="inlineStr">
        <is>
          <t>Faux plafond couloir</t>
        </is>
      </c>
      <c r="E145" s="60" t="inlineStr">
        <is>
          <t>Soufflage</t>
        </is>
      </c>
      <c r="F145" s="60" t="inlineStr">
        <is>
          <t>HEB01 chambre</t>
        </is>
      </c>
      <c r="G145" s="61" t="n">
        <v>3.429</v>
      </c>
      <c r="H145" s="46" t="n">
        <v>900</v>
      </c>
      <c r="I145" s="62">
        <f>IF(A145="CTA 5",MIN(INDEX(Hypothèses!$C$6:$C$16,MATCH(H145,Hypothèses!$A$6:$A$16,1)),Hypothèses!$B$30),INDEX(Hypothèses!$C$6:$C$16,MATCH(H145,Hypothèses!$A$6:$A$16,1)))</f>
        <v/>
      </c>
      <c r="J145" s="63">
        <f>H145/3600/I145</f>
        <v/>
      </c>
      <c r="K145" s="60">
        <f>IF(A145="CTA 4",Hypothèses!$B$25,IF(AND(A145="CTA 5",H145&gt;4000),Hypothèses!$B$29,IF(H145&lt;=2000,Hypothèses!$B$23,Hypothèses!$B$24)))</f>
        <v/>
      </c>
      <c r="L145" s="60">
        <f>MAX(Hypothèses!$B$26,CEILING(J145/(K145/1000)*1000,Hypothèses!$B$27))</f>
        <v/>
      </c>
      <c r="M145" s="63">
        <f>L145*K145/1000000</f>
        <v/>
      </c>
      <c r="N145" s="64">
        <f>H145/3600/M145</f>
        <v/>
      </c>
      <c r="O145" s="60">
        <f>IF(N145&lt;=I145,"oui","NON")</f>
        <v/>
      </c>
      <c r="P145" s="63">
        <f>1.3*((L145/1000)*(K145/1000))^0.625/((L145/1000)+(K145/1000))^0.25</f>
        <v/>
      </c>
      <c r="Q145" s="65">
        <f>N145*P145/Hypothèses!$B$20</f>
        <v/>
      </c>
      <c r="R145" s="66">
        <f>0.25/(LOG10(Hypothèses!$B$21/(3.7*P145)+5.74/Q145^0.9))^2</f>
        <v/>
      </c>
      <c r="S145" s="64">
        <f>R145/P145*Hypothèses!$B$19*N145^2/2</f>
        <v/>
      </c>
      <c r="T145" s="62">
        <f>S145*G145*(1+Hypothèses!$B$22)</f>
        <v/>
      </c>
      <c r="U145" s="45" t="inlineStr">
        <is>
          <t>X</t>
        </is>
      </c>
      <c r="V145" s="60">
        <f>IF(K145&lt;=Hypothèses!$B$28-100,"oui","NON")</f>
        <v/>
      </c>
    </row>
    <row r="146" ht="15" customHeight="1" s="40">
      <c r="A146" s="60" t="inlineStr">
        <is>
          <t>CTA 3</t>
        </is>
      </c>
      <c r="B146" s="60" t="inlineStr">
        <is>
          <t>CTA3-S08</t>
        </is>
      </c>
      <c r="C146" s="60" t="inlineStr">
        <is>
          <t>N01</t>
        </is>
      </c>
      <c r="D146" s="60" t="inlineStr">
        <is>
          <t>Faux plafond couloir</t>
        </is>
      </c>
      <c r="E146" s="60" t="inlineStr">
        <is>
          <t>Soufflage</t>
        </is>
      </c>
      <c r="F146" s="60" t="inlineStr">
        <is>
          <t>HEB01 chambre</t>
        </is>
      </c>
      <c r="G146" s="61" t="n">
        <v>0.876</v>
      </c>
      <c r="H146" s="46" t="n">
        <v>720</v>
      </c>
      <c r="I146" s="62">
        <f>IF(A146="CTA 5",MIN(INDEX(Hypothèses!$C$6:$C$16,MATCH(H146,Hypothèses!$A$6:$A$16,1)),Hypothèses!$B$30),INDEX(Hypothèses!$C$6:$C$16,MATCH(H146,Hypothèses!$A$6:$A$16,1)))</f>
        <v/>
      </c>
      <c r="J146" s="63">
        <f>H146/3600/I146</f>
        <v/>
      </c>
      <c r="K146" s="60">
        <f>IF(A146="CTA 4",Hypothèses!$B$25,IF(AND(A146="CTA 5",H146&gt;4000),Hypothèses!$B$29,IF(H146&lt;=2000,Hypothèses!$B$23,Hypothèses!$B$24)))</f>
        <v/>
      </c>
      <c r="L146" s="60">
        <f>MAX(Hypothèses!$B$26,CEILING(J146/(K146/1000)*1000,Hypothèses!$B$27))</f>
        <v/>
      </c>
      <c r="M146" s="63">
        <f>L146*K146/1000000</f>
        <v/>
      </c>
      <c r="N146" s="64">
        <f>H146/3600/M146</f>
        <v/>
      </c>
      <c r="O146" s="60">
        <f>IF(N146&lt;=I146,"oui","NON")</f>
        <v/>
      </c>
      <c r="P146" s="63">
        <f>1.3*((L146/1000)*(K146/1000))^0.625/((L146/1000)+(K146/1000))^0.25</f>
        <v/>
      </c>
      <c r="Q146" s="65">
        <f>N146*P146/Hypothèses!$B$20</f>
        <v/>
      </c>
      <c r="R146" s="66">
        <f>0.25/(LOG10(Hypothèses!$B$21/(3.7*P146)+5.74/Q146^0.9))^2</f>
        <v/>
      </c>
      <c r="S146" s="64">
        <f>R146/P146*Hypothèses!$B$19*N146^2/2</f>
        <v/>
      </c>
      <c r="T146" s="62">
        <f>S146*G146*(1+Hypothèses!$B$22)</f>
        <v/>
      </c>
      <c r="U146" s="45" t="inlineStr">
        <is>
          <t>X</t>
        </is>
      </c>
      <c r="V146" s="60">
        <f>IF(K146&lt;=Hypothèses!$B$28-100,"oui","NON")</f>
        <v/>
      </c>
    </row>
    <row r="147" ht="15" customHeight="1" s="40">
      <c r="A147" s="60" t="inlineStr">
        <is>
          <t>CTA 3</t>
        </is>
      </c>
      <c r="B147" s="60" t="inlineStr">
        <is>
          <t>CTA3-S09</t>
        </is>
      </c>
      <c r="C147" s="60" t="inlineStr">
        <is>
          <t>N01</t>
        </is>
      </c>
      <c r="D147" s="60" t="inlineStr">
        <is>
          <t>Faux plafond couloir</t>
        </is>
      </c>
      <c r="E147" s="60" t="inlineStr">
        <is>
          <t>Soufflage</t>
        </is>
      </c>
      <c r="F147" s="60" t="inlineStr">
        <is>
          <t>HEB01 chambre</t>
        </is>
      </c>
      <c r="G147" s="61" t="n">
        <v>3.544</v>
      </c>
      <c r="H147" s="46" t="n">
        <v>720</v>
      </c>
      <c r="I147" s="62">
        <f>IF(A147="CTA 5",MIN(INDEX(Hypothèses!$C$6:$C$16,MATCH(H147,Hypothèses!$A$6:$A$16,1)),Hypothèses!$B$30),INDEX(Hypothèses!$C$6:$C$16,MATCH(H147,Hypothèses!$A$6:$A$16,1)))</f>
        <v/>
      </c>
      <c r="J147" s="63">
        <f>H147/3600/I147</f>
        <v/>
      </c>
      <c r="K147" s="60">
        <f>IF(A147="CTA 4",Hypothèses!$B$25,IF(AND(A147="CTA 5",H147&gt;4000),Hypothèses!$B$29,IF(H147&lt;=2000,Hypothèses!$B$23,Hypothèses!$B$24)))</f>
        <v/>
      </c>
      <c r="L147" s="60">
        <f>MAX(Hypothèses!$B$26,CEILING(J147/(K147/1000)*1000,Hypothèses!$B$27))</f>
        <v/>
      </c>
      <c r="M147" s="63">
        <f>L147*K147/1000000</f>
        <v/>
      </c>
      <c r="N147" s="64">
        <f>H147/3600/M147</f>
        <v/>
      </c>
      <c r="O147" s="60">
        <f>IF(N147&lt;=I147,"oui","NON")</f>
        <v/>
      </c>
      <c r="P147" s="63">
        <f>1.3*((L147/1000)*(K147/1000))^0.625/((L147/1000)+(K147/1000))^0.25</f>
        <v/>
      </c>
      <c r="Q147" s="65">
        <f>N147*P147/Hypothèses!$B$20</f>
        <v/>
      </c>
      <c r="R147" s="66">
        <f>0.25/(LOG10(Hypothèses!$B$21/(3.7*P147)+5.74/Q147^0.9))^2</f>
        <v/>
      </c>
      <c r="S147" s="64">
        <f>R147/P147*Hypothèses!$B$19*N147^2/2</f>
        <v/>
      </c>
      <c r="T147" s="62">
        <f>S147*G147*(1+Hypothèses!$B$22)</f>
        <v/>
      </c>
      <c r="U147" s="45" t="inlineStr">
        <is>
          <t>X</t>
        </is>
      </c>
      <c r="V147" s="60">
        <f>IF(K147&lt;=Hypothèses!$B$28-100,"oui","NON")</f>
        <v/>
      </c>
    </row>
    <row r="148" ht="15" customHeight="1" s="40">
      <c r="A148" s="60" t="inlineStr">
        <is>
          <t>CTA 3</t>
        </is>
      </c>
      <c r="B148" s="60" t="inlineStr">
        <is>
          <t>CTA3-S10</t>
        </is>
      </c>
      <c r="C148" s="60" t="inlineStr">
        <is>
          <t>N01</t>
        </is>
      </c>
      <c r="D148" s="60" t="inlineStr">
        <is>
          <t>Faux plafond couloir</t>
        </is>
      </c>
      <c r="E148" s="60" t="inlineStr">
        <is>
          <t>Soufflage</t>
        </is>
      </c>
      <c r="F148" s="60" t="inlineStr">
        <is>
          <t>HEB01 chambre</t>
        </is>
      </c>
      <c r="G148" s="61" t="n">
        <v>0.159</v>
      </c>
      <c r="H148" s="46" t="n">
        <v>630</v>
      </c>
      <c r="I148" s="62">
        <f>IF(A148="CTA 5",MIN(INDEX(Hypothèses!$C$6:$C$16,MATCH(H148,Hypothèses!$A$6:$A$16,1)),Hypothèses!$B$30),INDEX(Hypothèses!$C$6:$C$16,MATCH(H148,Hypothèses!$A$6:$A$16,1)))</f>
        <v/>
      </c>
      <c r="J148" s="63">
        <f>H148/3600/I148</f>
        <v/>
      </c>
      <c r="K148" s="60">
        <f>IF(A148="CTA 4",Hypothèses!$B$25,IF(AND(A148="CTA 5",H148&gt;4000),Hypothèses!$B$29,IF(H148&lt;=2000,Hypothèses!$B$23,Hypothèses!$B$24)))</f>
        <v/>
      </c>
      <c r="L148" s="60">
        <f>MAX(Hypothèses!$B$26,CEILING(J148/(K148/1000)*1000,Hypothèses!$B$27))</f>
        <v/>
      </c>
      <c r="M148" s="63">
        <f>L148*K148/1000000</f>
        <v/>
      </c>
      <c r="N148" s="64">
        <f>H148/3600/M148</f>
        <v/>
      </c>
      <c r="O148" s="60">
        <f>IF(N148&lt;=I148,"oui","NON")</f>
        <v/>
      </c>
      <c r="P148" s="63">
        <f>1.3*((L148/1000)*(K148/1000))^0.625/((L148/1000)+(K148/1000))^0.25</f>
        <v/>
      </c>
      <c r="Q148" s="65">
        <f>N148*P148/Hypothèses!$B$20</f>
        <v/>
      </c>
      <c r="R148" s="66">
        <f>0.25/(LOG10(Hypothèses!$B$21/(3.7*P148)+5.74/Q148^0.9))^2</f>
        <v/>
      </c>
      <c r="S148" s="64">
        <f>R148/P148*Hypothèses!$B$19*N148^2/2</f>
        <v/>
      </c>
      <c r="T148" s="62">
        <f>S148*G148*(1+Hypothèses!$B$22)</f>
        <v/>
      </c>
      <c r="U148" s="45" t="inlineStr">
        <is>
          <t>X</t>
        </is>
      </c>
      <c r="V148" s="60">
        <f>IF(K148&lt;=Hypothèses!$B$28-100,"oui","NON")</f>
        <v/>
      </c>
    </row>
    <row r="149" ht="15" customHeight="1" s="40">
      <c r="A149" s="60" t="inlineStr">
        <is>
          <t>CTA 3</t>
        </is>
      </c>
      <c r="B149" s="60" t="inlineStr">
        <is>
          <t>CTA3-S11</t>
        </is>
      </c>
      <c r="C149" s="60" t="inlineStr">
        <is>
          <t>N01</t>
        </is>
      </c>
      <c r="D149" s="60" t="inlineStr">
        <is>
          <t>Faux plafond couloir</t>
        </is>
      </c>
      <c r="E149" s="60" t="inlineStr">
        <is>
          <t>Soufflage</t>
        </is>
      </c>
      <c r="F149" s="60" t="inlineStr">
        <is>
          <t>HEB01 chambre</t>
        </is>
      </c>
      <c r="G149" s="61" t="n">
        <v>3.621</v>
      </c>
      <c r="H149" s="46" t="n">
        <v>450</v>
      </c>
      <c r="I149" s="62">
        <f>IF(A149="CTA 5",MIN(INDEX(Hypothèses!$C$6:$C$16,MATCH(H149,Hypothèses!$A$6:$A$16,1)),Hypothèses!$B$30),INDEX(Hypothèses!$C$6:$C$16,MATCH(H149,Hypothèses!$A$6:$A$16,1)))</f>
        <v/>
      </c>
      <c r="J149" s="63">
        <f>H149/3600/I149</f>
        <v/>
      </c>
      <c r="K149" s="60">
        <f>IF(A149="CTA 4",Hypothèses!$B$25,IF(AND(A149="CTA 5",H149&gt;4000),Hypothèses!$B$29,IF(H149&lt;=2000,Hypothèses!$B$23,Hypothèses!$B$24)))</f>
        <v/>
      </c>
      <c r="L149" s="60">
        <f>MAX(Hypothèses!$B$26,CEILING(J149/(K149/1000)*1000,Hypothèses!$B$27))</f>
        <v/>
      </c>
      <c r="M149" s="63">
        <f>L149*K149/1000000</f>
        <v/>
      </c>
      <c r="N149" s="64">
        <f>H149/3600/M149</f>
        <v/>
      </c>
      <c r="O149" s="60">
        <f>IF(N149&lt;=I149,"oui","NON")</f>
        <v/>
      </c>
      <c r="P149" s="63">
        <f>1.3*((L149/1000)*(K149/1000))^0.625/((L149/1000)+(K149/1000))^0.25</f>
        <v/>
      </c>
      <c r="Q149" s="65">
        <f>N149*P149/Hypothèses!$B$20</f>
        <v/>
      </c>
      <c r="R149" s="66">
        <f>0.25/(LOG10(Hypothèses!$B$21/(3.7*P149)+5.74/Q149^0.9))^2</f>
        <v/>
      </c>
      <c r="S149" s="64">
        <f>R149/P149*Hypothèses!$B$19*N149^2/2</f>
        <v/>
      </c>
      <c r="T149" s="62">
        <f>S149*G149*(1+Hypothèses!$B$22)</f>
        <v/>
      </c>
      <c r="U149" s="45" t="inlineStr">
        <is>
          <t>X</t>
        </is>
      </c>
      <c r="V149" s="60">
        <f>IF(K149&lt;=Hypothèses!$B$28-100,"oui","NON")</f>
        <v/>
      </c>
    </row>
    <row r="150" ht="15" customHeight="1" s="40">
      <c r="A150" s="60" t="inlineStr">
        <is>
          <t>CTA 3</t>
        </is>
      </c>
      <c r="B150" s="60" t="inlineStr">
        <is>
          <t>CTA3-S12</t>
        </is>
      </c>
      <c r="C150" s="60" t="inlineStr">
        <is>
          <t>N01</t>
        </is>
      </c>
      <c r="D150" s="60" t="inlineStr">
        <is>
          <t>Faux plafond couloir</t>
        </is>
      </c>
      <c r="E150" s="60" t="inlineStr">
        <is>
          <t>Soufflage</t>
        </is>
      </c>
      <c r="F150" s="60" t="inlineStr">
        <is>
          <t>HEB01 chambre</t>
        </is>
      </c>
      <c r="G150" s="61" t="n">
        <v>0.6919999999999999</v>
      </c>
      <c r="H150" s="46" t="n">
        <v>360</v>
      </c>
      <c r="I150" s="62">
        <f>IF(A150="CTA 5",MIN(INDEX(Hypothèses!$C$6:$C$16,MATCH(H150,Hypothèses!$A$6:$A$16,1)),Hypothèses!$B$30),INDEX(Hypothèses!$C$6:$C$16,MATCH(H150,Hypothèses!$A$6:$A$16,1)))</f>
        <v/>
      </c>
      <c r="J150" s="63">
        <f>H150/3600/I150</f>
        <v/>
      </c>
      <c r="K150" s="60">
        <f>IF(A150="CTA 4",Hypothèses!$B$25,IF(AND(A150="CTA 5",H150&gt;4000),Hypothèses!$B$29,IF(H150&lt;=2000,Hypothèses!$B$23,Hypothèses!$B$24)))</f>
        <v/>
      </c>
      <c r="L150" s="60">
        <f>MAX(Hypothèses!$B$26,CEILING(J150/(K150/1000)*1000,Hypothèses!$B$27))</f>
        <v/>
      </c>
      <c r="M150" s="63">
        <f>L150*K150/1000000</f>
        <v/>
      </c>
      <c r="N150" s="64">
        <f>H150/3600/M150</f>
        <v/>
      </c>
      <c r="O150" s="60">
        <f>IF(N150&lt;=I150,"oui","NON")</f>
        <v/>
      </c>
      <c r="P150" s="63">
        <f>1.3*((L150/1000)*(K150/1000))^0.625/((L150/1000)+(K150/1000))^0.25</f>
        <v/>
      </c>
      <c r="Q150" s="65">
        <f>N150*P150/Hypothèses!$B$20</f>
        <v/>
      </c>
      <c r="R150" s="66">
        <f>0.25/(LOG10(Hypothèses!$B$21/(3.7*P150)+5.74/Q150^0.9))^2</f>
        <v/>
      </c>
      <c r="S150" s="64">
        <f>R150/P150*Hypothèses!$B$19*N150^2/2</f>
        <v/>
      </c>
      <c r="T150" s="62">
        <f>S150*G150*(1+Hypothèses!$B$22)</f>
        <v/>
      </c>
      <c r="U150" s="45" t="inlineStr">
        <is>
          <t>X</t>
        </is>
      </c>
      <c r="V150" s="60">
        <f>IF(K150&lt;=Hypothèses!$B$28-100,"oui","NON")</f>
        <v/>
      </c>
    </row>
    <row r="151" ht="15" customHeight="1" s="40">
      <c r="A151" s="60" t="inlineStr">
        <is>
          <t>CTA 3</t>
        </is>
      </c>
      <c r="B151" s="60" t="inlineStr">
        <is>
          <t>CTA3-S13</t>
        </is>
      </c>
      <c r="C151" s="60" t="inlineStr">
        <is>
          <t>N01</t>
        </is>
      </c>
      <c r="D151" s="60" t="inlineStr">
        <is>
          <t>Faux plafond couloir</t>
        </is>
      </c>
      <c r="E151" s="60" t="inlineStr">
        <is>
          <t>Soufflage</t>
        </is>
      </c>
      <c r="F151" s="60" t="inlineStr">
        <is>
          <t>HEB01 chambre</t>
        </is>
      </c>
      <c r="G151" s="61" t="n">
        <v>3.702</v>
      </c>
      <c r="H151" s="46" t="n">
        <v>360</v>
      </c>
      <c r="I151" s="62">
        <f>IF(A151="CTA 5",MIN(INDEX(Hypothèses!$C$6:$C$16,MATCH(H151,Hypothèses!$A$6:$A$16,1)),Hypothèses!$B$30),INDEX(Hypothèses!$C$6:$C$16,MATCH(H151,Hypothèses!$A$6:$A$16,1)))</f>
        <v/>
      </c>
      <c r="J151" s="63">
        <f>H151/3600/I151</f>
        <v/>
      </c>
      <c r="K151" s="60">
        <f>IF(A151="CTA 4",Hypothèses!$B$25,IF(AND(A151="CTA 5",H151&gt;4000),Hypothèses!$B$29,IF(H151&lt;=2000,Hypothèses!$B$23,Hypothèses!$B$24)))</f>
        <v/>
      </c>
      <c r="L151" s="60">
        <f>MAX(Hypothèses!$B$26,CEILING(J151/(K151/1000)*1000,Hypothèses!$B$27))</f>
        <v/>
      </c>
      <c r="M151" s="63">
        <f>L151*K151/1000000</f>
        <v/>
      </c>
      <c r="N151" s="64">
        <f>H151/3600/M151</f>
        <v/>
      </c>
      <c r="O151" s="60">
        <f>IF(N151&lt;=I151,"oui","NON")</f>
        <v/>
      </c>
      <c r="P151" s="63">
        <f>1.3*((L151/1000)*(K151/1000))^0.625/((L151/1000)+(K151/1000))^0.25</f>
        <v/>
      </c>
      <c r="Q151" s="65">
        <f>N151*P151/Hypothèses!$B$20</f>
        <v/>
      </c>
      <c r="R151" s="66">
        <f>0.25/(LOG10(Hypothèses!$B$21/(3.7*P151)+5.74/Q151^0.9))^2</f>
        <v/>
      </c>
      <c r="S151" s="64">
        <f>R151/P151*Hypothèses!$B$19*N151^2/2</f>
        <v/>
      </c>
      <c r="T151" s="62">
        <f>S151*G151*(1+Hypothèses!$B$22)</f>
        <v/>
      </c>
      <c r="U151" s="45" t="inlineStr">
        <is>
          <t>X</t>
        </is>
      </c>
      <c r="V151" s="60">
        <f>IF(K151&lt;=Hypothèses!$B$28-100,"oui","NON")</f>
        <v/>
      </c>
    </row>
    <row r="152" ht="15" customHeight="1" s="40">
      <c r="A152" s="60" t="inlineStr">
        <is>
          <t>CTA 3</t>
        </is>
      </c>
      <c r="B152" s="60" t="inlineStr">
        <is>
          <t>CTA3-S14</t>
        </is>
      </c>
      <c r="C152" s="60" t="inlineStr">
        <is>
          <t>N01</t>
        </is>
      </c>
      <c r="D152" s="60" t="inlineStr">
        <is>
          <t>Faux plafond couloir</t>
        </is>
      </c>
      <c r="E152" s="60" t="inlineStr">
        <is>
          <t>Soufflage</t>
        </is>
      </c>
      <c r="F152" s="60" t="inlineStr">
        <is>
          <t>HEB01 chambre</t>
        </is>
      </c>
      <c r="G152" s="61" t="n">
        <v>0.032</v>
      </c>
      <c r="H152" s="46" t="n">
        <v>180</v>
      </c>
      <c r="I152" s="62">
        <f>IF(A152="CTA 5",MIN(INDEX(Hypothèses!$C$6:$C$16,MATCH(H152,Hypothèses!$A$6:$A$16,1)),Hypothèses!$B$30),INDEX(Hypothèses!$C$6:$C$16,MATCH(H152,Hypothèses!$A$6:$A$16,1)))</f>
        <v/>
      </c>
      <c r="J152" s="63">
        <f>H152/3600/I152</f>
        <v/>
      </c>
      <c r="K152" s="60">
        <f>IF(A152="CTA 4",Hypothèses!$B$25,IF(AND(A152="CTA 5",H152&gt;4000),Hypothèses!$B$29,IF(H152&lt;=2000,Hypothèses!$B$23,Hypothèses!$B$24)))</f>
        <v/>
      </c>
      <c r="L152" s="60">
        <f>MAX(Hypothèses!$B$26,CEILING(J152/(K152/1000)*1000,Hypothèses!$B$27))</f>
        <v/>
      </c>
      <c r="M152" s="63">
        <f>L152*K152/1000000</f>
        <v/>
      </c>
      <c r="N152" s="64">
        <f>H152/3600/M152</f>
        <v/>
      </c>
      <c r="O152" s="60">
        <f>IF(N152&lt;=I152,"oui","NON")</f>
        <v/>
      </c>
      <c r="P152" s="63">
        <f>1.3*((L152/1000)*(K152/1000))^0.625/((L152/1000)+(K152/1000))^0.25</f>
        <v/>
      </c>
      <c r="Q152" s="65">
        <f>N152*P152/Hypothèses!$B$20</f>
        <v/>
      </c>
      <c r="R152" s="66">
        <f>0.25/(LOG10(Hypothèses!$B$21/(3.7*P152)+5.74/Q152^0.9))^2</f>
        <v/>
      </c>
      <c r="S152" s="64">
        <f>R152/P152*Hypothèses!$B$19*N152^2/2</f>
        <v/>
      </c>
      <c r="T152" s="62">
        <f>S152*G152*(1+Hypothèses!$B$22)</f>
        <v/>
      </c>
      <c r="U152" s="45" t="inlineStr">
        <is>
          <t>X</t>
        </is>
      </c>
      <c r="V152" s="60">
        <f>IF(K152&lt;=Hypothèses!$B$28-100,"oui","NON")</f>
        <v/>
      </c>
    </row>
    <row r="153" ht="15" customHeight="1" s="40">
      <c r="A153" s="60" t="inlineStr">
        <is>
          <t>CTA 3</t>
        </is>
      </c>
      <c r="B153" s="60" t="inlineStr">
        <is>
          <t>CTA3-S15</t>
        </is>
      </c>
      <c r="C153" s="60" t="inlineStr">
        <is>
          <t>N01</t>
        </is>
      </c>
      <c r="D153" s="60" t="inlineStr">
        <is>
          <t>Faux plafond couloir</t>
        </is>
      </c>
      <c r="E153" s="60" t="inlineStr">
        <is>
          <t>Soufflage</t>
        </is>
      </c>
      <c r="F153" s="60" t="inlineStr">
        <is>
          <t>HEB01 chambre</t>
        </is>
      </c>
      <c r="G153" s="61" t="n">
        <v>2.604</v>
      </c>
      <c r="H153" s="46" t="n">
        <v>90</v>
      </c>
      <c r="I153" s="62">
        <f>IF(A153="CTA 5",MIN(INDEX(Hypothèses!$C$6:$C$16,MATCH(H153,Hypothèses!$A$6:$A$16,1)),Hypothèses!$B$30),INDEX(Hypothèses!$C$6:$C$16,MATCH(H153,Hypothèses!$A$6:$A$16,1)))</f>
        <v/>
      </c>
      <c r="J153" s="63">
        <f>H153/3600/I153</f>
        <v/>
      </c>
      <c r="K153" s="60">
        <f>IF(A153="CTA 4",Hypothèses!$B$25,IF(AND(A153="CTA 5",H153&gt;4000),Hypothèses!$B$29,IF(H153&lt;=2000,Hypothèses!$B$23,Hypothèses!$B$24)))</f>
        <v/>
      </c>
      <c r="L153" s="60">
        <f>MAX(Hypothèses!$B$26,CEILING(J153/(K153/1000)*1000,Hypothèses!$B$27))</f>
        <v/>
      </c>
      <c r="M153" s="63">
        <f>L153*K153/1000000</f>
        <v/>
      </c>
      <c r="N153" s="64">
        <f>H153/3600/M153</f>
        <v/>
      </c>
      <c r="O153" s="60">
        <f>IF(N153&lt;=I153,"oui","NON")</f>
        <v/>
      </c>
      <c r="P153" s="63">
        <f>1.3*((L153/1000)*(K153/1000))^0.625/((L153/1000)+(K153/1000))^0.25</f>
        <v/>
      </c>
      <c r="Q153" s="65">
        <f>N153*P153/Hypothèses!$B$20</f>
        <v/>
      </c>
      <c r="R153" s="66">
        <f>0.25/(LOG10(Hypothèses!$B$21/(3.7*P153)+5.74/Q153^0.9))^2</f>
        <v/>
      </c>
      <c r="S153" s="64">
        <f>R153/P153*Hypothèses!$B$19*N153^2/2</f>
        <v/>
      </c>
      <c r="T153" s="62">
        <f>S153*G153*(1+Hypothèses!$B$22)</f>
        <v/>
      </c>
      <c r="U153" s="45" t="inlineStr">
        <is>
          <t>X</t>
        </is>
      </c>
      <c r="V153" s="60">
        <f>IF(K153&lt;=Hypothèses!$B$28-100,"oui","NON")</f>
        <v/>
      </c>
    </row>
    <row r="154" ht="15" customHeight="1" s="40">
      <c r="A154" s="60" t="inlineStr">
        <is>
          <t>CTA 3</t>
        </is>
      </c>
      <c r="B154" s="60" t="inlineStr">
        <is>
          <t>CTA3-R16</t>
        </is>
      </c>
      <c r="C154" s="60" t="inlineStr">
        <is>
          <t>Toiture</t>
        </is>
      </c>
      <c r="D154" s="60" t="inlineStr">
        <is>
          <t>Toiture (CTA → descente)</t>
        </is>
      </c>
      <c r="E154" s="60" t="inlineStr">
        <is>
          <t>Reprise</t>
        </is>
      </c>
      <c r="F154" s="60" t="inlineStr">
        <is>
          <t>Sortie CTA → descente (trémie en toiture)</t>
        </is>
      </c>
      <c r="G154" s="61" t="n">
        <v>2.95</v>
      </c>
      <c r="H154" s="46" t="n">
        <v>1170</v>
      </c>
      <c r="I154" s="62">
        <f>IF(A154="CTA 5",MIN(INDEX(Hypothèses!$C$6:$C$16,MATCH(H154,Hypothèses!$A$6:$A$16,1)),Hypothèses!$B$30),INDEX(Hypothèses!$C$6:$C$16,MATCH(H154,Hypothèses!$A$6:$A$16,1)))</f>
        <v/>
      </c>
      <c r="J154" s="63">
        <f>H154/3600/I154</f>
        <v/>
      </c>
      <c r="K154" s="60">
        <f>IF(A154="CTA 4",Hypothèses!$B$25,IF(AND(A154="CTA 5",H154&gt;4000),Hypothèses!$B$29,IF(H154&lt;=2000,Hypothèses!$B$23,Hypothèses!$B$24)))</f>
        <v/>
      </c>
      <c r="L154" s="60">
        <f>MAX(Hypothèses!$B$26,CEILING(J154/(K154/1000)*1000,Hypothèses!$B$27))</f>
        <v/>
      </c>
      <c r="M154" s="63">
        <f>L154*K154/1000000</f>
        <v/>
      </c>
      <c r="N154" s="64">
        <f>H154/3600/M154</f>
        <v/>
      </c>
      <c r="O154" s="60">
        <f>IF(N154&lt;=I154,"oui","NON")</f>
        <v/>
      </c>
      <c r="P154" s="63">
        <f>1.3*((L154/1000)*(K154/1000))^0.625/((L154/1000)+(K154/1000))^0.25</f>
        <v/>
      </c>
      <c r="Q154" s="65">
        <f>N154*P154/Hypothèses!$B$20</f>
        <v/>
      </c>
      <c r="R154" s="66">
        <f>0.25/(LOG10(Hypothèses!$B$21/(3.7*P154)+5.74/Q154^0.9))^2</f>
        <v/>
      </c>
      <c r="S154" s="64">
        <f>R154/P154*Hypothèses!$B$19*N154^2/2</f>
        <v/>
      </c>
      <c r="T154" s="62">
        <f>S154*G154*(1+Hypothèses!$B$22)</f>
        <v/>
      </c>
      <c r="U154" s="45" t="inlineStr">
        <is>
          <t>X</t>
        </is>
      </c>
      <c r="V154" s="60" t="inlineStr">
        <is>
          <t>–</t>
        </is>
      </c>
    </row>
    <row r="155" ht="15" customHeight="1" s="40">
      <c r="A155" s="60" t="inlineStr">
        <is>
          <t>CTA 3</t>
        </is>
      </c>
      <c r="B155" s="60" t="inlineStr">
        <is>
          <t>CTA3-R17</t>
        </is>
      </c>
      <c r="C155" s="60" t="inlineStr">
        <is>
          <t>N01</t>
        </is>
      </c>
      <c r="D155" s="60" t="inlineStr">
        <is>
          <t>Descente verticale</t>
        </is>
      </c>
      <c r="E155" s="60" t="inlineStr">
        <is>
          <t>Reprise</t>
        </is>
      </c>
      <c r="F155" s="60" t="inlineStr">
        <is>
          <t>Gaine verticale : toiture → plénum étage</t>
        </is>
      </c>
      <c r="G155" s="61" t="n">
        <v>1.06</v>
      </c>
      <c r="H155" s="46" t="n">
        <v>1170</v>
      </c>
      <c r="I155" s="62">
        <f>IF(A155="CTA 5",MIN(INDEX(Hypothèses!$C$6:$C$16,MATCH(H155,Hypothèses!$A$6:$A$16,1)),Hypothèses!$B$30),INDEX(Hypothèses!$C$6:$C$16,MATCH(H155,Hypothèses!$A$6:$A$16,1)))</f>
        <v/>
      </c>
      <c r="J155" s="63">
        <f>H155/3600/I155</f>
        <v/>
      </c>
      <c r="K155" s="60">
        <f>IF(A155="CTA 4",Hypothèses!$B$25,IF(AND(A155="CTA 5",H155&gt;4000),Hypothèses!$B$29,IF(H155&lt;=2000,Hypothèses!$B$23,Hypothèses!$B$24)))</f>
        <v/>
      </c>
      <c r="L155" s="60">
        <f>MAX(Hypothèses!$B$26,CEILING(J155/(K155/1000)*1000,Hypothèses!$B$27))</f>
        <v/>
      </c>
      <c r="M155" s="63">
        <f>L155*K155/1000000</f>
        <v/>
      </c>
      <c r="N155" s="64">
        <f>H155/3600/M155</f>
        <v/>
      </c>
      <c r="O155" s="60">
        <f>IF(N155&lt;=I155,"oui","NON")</f>
        <v/>
      </c>
      <c r="P155" s="63">
        <f>1.3*((L155/1000)*(K155/1000))^0.625/((L155/1000)+(K155/1000))^0.25</f>
        <v/>
      </c>
      <c r="Q155" s="65">
        <f>N155*P155/Hypothèses!$B$20</f>
        <v/>
      </c>
      <c r="R155" s="66">
        <f>0.25/(LOG10(Hypothèses!$B$21/(3.7*P155)+5.74/Q155^0.9))^2</f>
        <v/>
      </c>
      <c r="S155" s="64">
        <f>R155/P155*Hypothèses!$B$19*N155^2/2</f>
        <v/>
      </c>
      <c r="T155" s="62">
        <f>S155*G155*(1+Hypothèses!$B$22)</f>
        <v/>
      </c>
      <c r="U155" s="45" t="inlineStr">
        <is>
          <t>X</t>
        </is>
      </c>
      <c r="V155" s="60" t="inlineStr">
        <is>
          <t>–</t>
        </is>
      </c>
    </row>
    <row r="156" ht="15" customHeight="1" s="40">
      <c r="A156" s="60" t="inlineStr">
        <is>
          <t>CTA 3</t>
        </is>
      </c>
      <c r="B156" s="60" t="inlineStr">
        <is>
          <t>CTA3-R18</t>
        </is>
      </c>
      <c r="C156" s="60" t="inlineStr">
        <is>
          <t>N01</t>
        </is>
      </c>
      <c r="D156" s="60" t="inlineStr">
        <is>
          <t>Faux plafond couloir</t>
        </is>
      </c>
      <c r="E156" s="60" t="inlineStr">
        <is>
          <t>Reprise</t>
        </is>
      </c>
      <c r="F156" s="60" t="inlineStr">
        <is>
          <t>HEB01 chambre</t>
        </is>
      </c>
      <c r="G156" s="61" t="n">
        <v>3.184</v>
      </c>
      <c r="H156" s="46" t="n">
        <v>1170</v>
      </c>
      <c r="I156" s="62">
        <f>IF(A156="CTA 5",MIN(INDEX(Hypothèses!$C$6:$C$16,MATCH(H156,Hypothèses!$A$6:$A$16,1)),Hypothèses!$B$30),INDEX(Hypothèses!$C$6:$C$16,MATCH(H156,Hypothèses!$A$6:$A$16,1)))</f>
        <v/>
      </c>
      <c r="J156" s="63">
        <f>H156/3600/I156</f>
        <v/>
      </c>
      <c r="K156" s="60">
        <f>IF(A156="CTA 4",Hypothèses!$B$25,IF(AND(A156="CTA 5",H156&gt;4000),Hypothèses!$B$29,IF(H156&lt;=2000,Hypothèses!$B$23,Hypothèses!$B$24)))</f>
        <v/>
      </c>
      <c r="L156" s="60">
        <f>MAX(Hypothèses!$B$26,CEILING(J156/(K156/1000)*1000,Hypothèses!$B$27))</f>
        <v/>
      </c>
      <c r="M156" s="63">
        <f>L156*K156/1000000</f>
        <v/>
      </c>
      <c r="N156" s="64">
        <f>H156/3600/M156</f>
        <v/>
      </c>
      <c r="O156" s="60">
        <f>IF(N156&lt;=I156,"oui","NON")</f>
        <v/>
      </c>
      <c r="P156" s="63">
        <f>1.3*((L156/1000)*(K156/1000))^0.625/((L156/1000)+(K156/1000))^0.25</f>
        <v/>
      </c>
      <c r="Q156" s="65">
        <f>N156*P156/Hypothèses!$B$20</f>
        <v/>
      </c>
      <c r="R156" s="66">
        <f>0.25/(LOG10(Hypothèses!$B$21/(3.7*P156)+5.74/Q156^0.9))^2</f>
        <v/>
      </c>
      <c r="S156" s="64">
        <f>R156/P156*Hypothèses!$B$19*N156^2/2</f>
        <v/>
      </c>
      <c r="T156" s="62">
        <f>S156*G156*(1+Hypothèses!$B$22)</f>
        <v/>
      </c>
      <c r="U156" s="45" t="inlineStr">
        <is>
          <t>X</t>
        </is>
      </c>
      <c r="V156" s="60">
        <f>IF(K156&lt;=Hypothèses!$B$28-100,"oui","NON")</f>
        <v/>
      </c>
    </row>
    <row r="157" ht="15" customHeight="1" s="40">
      <c r="A157" s="60" t="inlineStr">
        <is>
          <t>CTA 3</t>
        </is>
      </c>
      <c r="B157" s="60" t="inlineStr">
        <is>
          <t>CTA3-R19</t>
        </is>
      </c>
      <c r="C157" s="60" t="inlineStr">
        <is>
          <t>N01</t>
        </is>
      </c>
      <c r="D157" s="60" t="inlineStr">
        <is>
          <t>Faux plafond couloir</t>
        </is>
      </c>
      <c r="E157" s="60" t="inlineStr">
        <is>
          <t>Reprise</t>
        </is>
      </c>
      <c r="F157" s="60" t="inlineStr">
        <is>
          <t>HEB01 chambre</t>
        </is>
      </c>
      <c r="G157" s="61" t="n">
        <v>4.299</v>
      </c>
      <c r="H157" s="46" t="n">
        <v>1080</v>
      </c>
      <c r="I157" s="62">
        <f>IF(A157="CTA 5",MIN(INDEX(Hypothèses!$C$6:$C$16,MATCH(H157,Hypothèses!$A$6:$A$16,1)),Hypothèses!$B$30),INDEX(Hypothèses!$C$6:$C$16,MATCH(H157,Hypothèses!$A$6:$A$16,1)))</f>
        <v/>
      </c>
      <c r="J157" s="63">
        <f>H157/3600/I157</f>
        <v/>
      </c>
      <c r="K157" s="60">
        <f>IF(A157="CTA 4",Hypothèses!$B$25,IF(AND(A157="CTA 5",H157&gt;4000),Hypothèses!$B$29,IF(H157&lt;=2000,Hypothèses!$B$23,Hypothèses!$B$24)))</f>
        <v/>
      </c>
      <c r="L157" s="60">
        <f>MAX(Hypothèses!$B$26,CEILING(J157/(K157/1000)*1000,Hypothèses!$B$27))</f>
        <v/>
      </c>
      <c r="M157" s="63">
        <f>L157*K157/1000000</f>
        <v/>
      </c>
      <c r="N157" s="64">
        <f>H157/3600/M157</f>
        <v/>
      </c>
      <c r="O157" s="60">
        <f>IF(N157&lt;=I157,"oui","NON")</f>
        <v/>
      </c>
      <c r="P157" s="63">
        <f>1.3*((L157/1000)*(K157/1000))^0.625/((L157/1000)+(K157/1000))^0.25</f>
        <v/>
      </c>
      <c r="Q157" s="65">
        <f>N157*P157/Hypothèses!$B$20</f>
        <v/>
      </c>
      <c r="R157" s="66">
        <f>0.25/(LOG10(Hypothèses!$B$21/(3.7*P157)+5.74/Q157^0.9))^2</f>
        <v/>
      </c>
      <c r="S157" s="64">
        <f>R157/P157*Hypothèses!$B$19*N157^2/2</f>
        <v/>
      </c>
      <c r="T157" s="62">
        <f>S157*G157*(1+Hypothèses!$B$22)</f>
        <v/>
      </c>
      <c r="U157" s="45" t="inlineStr">
        <is>
          <t>X</t>
        </is>
      </c>
      <c r="V157" s="60">
        <f>IF(K157&lt;=Hypothèses!$B$28-100,"oui","NON")</f>
        <v/>
      </c>
    </row>
    <row r="158" ht="15" customHeight="1" s="40">
      <c r="A158" s="60" t="inlineStr">
        <is>
          <t>CTA 3</t>
        </is>
      </c>
      <c r="B158" s="60" t="inlineStr">
        <is>
          <t>CTA3-R20</t>
        </is>
      </c>
      <c r="C158" s="60" t="inlineStr">
        <is>
          <t>N01</t>
        </is>
      </c>
      <c r="D158" s="60" t="inlineStr">
        <is>
          <t>Faux plafond couloir</t>
        </is>
      </c>
      <c r="E158" s="60" t="inlineStr">
        <is>
          <t>Reprise</t>
        </is>
      </c>
      <c r="F158" s="60" t="inlineStr">
        <is>
          <t>HEB01 chambre</t>
        </is>
      </c>
      <c r="G158" s="61" t="n">
        <v>3.357</v>
      </c>
      <c r="H158" s="46" t="n">
        <v>1080</v>
      </c>
      <c r="I158" s="62">
        <f>IF(A158="CTA 5",MIN(INDEX(Hypothèses!$C$6:$C$16,MATCH(H158,Hypothèses!$A$6:$A$16,1)),Hypothèses!$B$30),INDEX(Hypothèses!$C$6:$C$16,MATCH(H158,Hypothèses!$A$6:$A$16,1)))</f>
        <v/>
      </c>
      <c r="J158" s="63">
        <f>H158/3600/I158</f>
        <v/>
      </c>
      <c r="K158" s="60">
        <f>IF(A158="CTA 4",Hypothèses!$B$25,IF(AND(A158="CTA 5",H158&gt;4000),Hypothèses!$B$29,IF(H158&lt;=2000,Hypothèses!$B$23,Hypothèses!$B$24)))</f>
        <v/>
      </c>
      <c r="L158" s="60">
        <f>MAX(Hypothèses!$B$26,CEILING(J158/(K158/1000)*1000,Hypothèses!$B$27))</f>
        <v/>
      </c>
      <c r="M158" s="63">
        <f>L158*K158/1000000</f>
        <v/>
      </c>
      <c r="N158" s="64">
        <f>H158/3600/M158</f>
        <v/>
      </c>
      <c r="O158" s="60">
        <f>IF(N158&lt;=I158,"oui","NON")</f>
        <v/>
      </c>
      <c r="P158" s="63">
        <f>1.3*((L158/1000)*(K158/1000))^0.625/((L158/1000)+(K158/1000))^0.25</f>
        <v/>
      </c>
      <c r="Q158" s="65">
        <f>N158*P158/Hypothèses!$B$20</f>
        <v/>
      </c>
      <c r="R158" s="66">
        <f>0.25/(LOG10(Hypothèses!$B$21/(3.7*P158)+5.74/Q158^0.9))^2</f>
        <v/>
      </c>
      <c r="S158" s="64">
        <f>R158/P158*Hypothèses!$B$19*N158^2/2</f>
        <v/>
      </c>
      <c r="T158" s="62">
        <f>S158*G158*(1+Hypothèses!$B$22)</f>
        <v/>
      </c>
      <c r="U158" s="45" t="inlineStr">
        <is>
          <t>X</t>
        </is>
      </c>
      <c r="V158" s="60">
        <f>IF(K158&lt;=Hypothèses!$B$28-100,"oui","NON")</f>
        <v/>
      </c>
    </row>
    <row r="159" ht="15" customHeight="1" s="40">
      <c r="A159" s="60" t="inlineStr">
        <is>
          <t>CTA 3</t>
        </is>
      </c>
      <c r="B159" s="60" t="inlineStr">
        <is>
          <t>CTA3-R21</t>
        </is>
      </c>
      <c r="C159" s="60" t="inlineStr">
        <is>
          <t>N01</t>
        </is>
      </c>
      <c r="D159" s="60" t="inlineStr">
        <is>
          <t>Faux plafond couloir</t>
        </is>
      </c>
      <c r="E159" s="60" t="inlineStr">
        <is>
          <t>Reprise</t>
        </is>
      </c>
      <c r="F159" s="60" t="inlineStr">
        <is>
          <t>HEB01 chambre</t>
        </is>
      </c>
      <c r="G159" s="61" t="n">
        <v>0.351</v>
      </c>
      <c r="H159" s="46" t="n">
        <v>990</v>
      </c>
      <c r="I159" s="62">
        <f>IF(A159="CTA 5",MIN(INDEX(Hypothèses!$C$6:$C$16,MATCH(H159,Hypothèses!$A$6:$A$16,1)),Hypothèses!$B$30),INDEX(Hypothèses!$C$6:$C$16,MATCH(H159,Hypothèses!$A$6:$A$16,1)))</f>
        <v/>
      </c>
      <c r="J159" s="63">
        <f>H159/3600/I159</f>
        <v/>
      </c>
      <c r="K159" s="60">
        <f>IF(A159="CTA 4",Hypothèses!$B$25,IF(AND(A159="CTA 5",H159&gt;4000),Hypothèses!$B$29,IF(H159&lt;=2000,Hypothèses!$B$23,Hypothèses!$B$24)))</f>
        <v/>
      </c>
      <c r="L159" s="60">
        <f>MAX(Hypothèses!$B$26,CEILING(J159/(K159/1000)*1000,Hypothèses!$B$27))</f>
        <v/>
      </c>
      <c r="M159" s="63">
        <f>L159*K159/1000000</f>
        <v/>
      </c>
      <c r="N159" s="64">
        <f>H159/3600/M159</f>
        <v/>
      </c>
      <c r="O159" s="60">
        <f>IF(N159&lt;=I159,"oui","NON")</f>
        <v/>
      </c>
      <c r="P159" s="63">
        <f>1.3*((L159/1000)*(K159/1000))^0.625/((L159/1000)+(K159/1000))^0.25</f>
        <v/>
      </c>
      <c r="Q159" s="65">
        <f>N159*P159/Hypothèses!$B$20</f>
        <v/>
      </c>
      <c r="R159" s="66">
        <f>0.25/(LOG10(Hypothèses!$B$21/(3.7*P159)+5.74/Q159^0.9))^2</f>
        <v/>
      </c>
      <c r="S159" s="64">
        <f>R159/P159*Hypothèses!$B$19*N159^2/2</f>
        <v/>
      </c>
      <c r="T159" s="62">
        <f>S159*G159*(1+Hypothèses!$B$22)</f>
        <v/>
      </c>
      <c r="U159" s="45" t="inlineStr">
        <is>
          <t>X</t>
        </is>
      </c>
      <c r="V159" s="60">
        <f>IF(K159&lt;=Hypothèses!$B$28-100,"oui","NON")</f>
        <v/>
      </c>
    </row>
    <row r="160" ht="15" customHeight="1" s="40">
      <c r="A160" s="60" t="inlineStr">
        <is>
          <t>CTA 3</t>
        </is>
      </c>
      <c r="B160" s="60" t="inlineStr">
        <is>
          <t>CTA3-R22</t>
        </is>
      </c>
      <c r="C160" s="60" t="inlineStr">
        <is>
          <t>N01</t>
        </is>
      </c>
      <c r="D160" s="60" t="inlineStr">
        <is>
          <t>Faux plafond couloir</t>
        </is>
      </c>
      <c r="E160" s="60" t="inlineStr">
        <is>
          <t>Reprise</t>
        </is>
      </c>
      <c r="F160" s="60" t="inlineStr">
        <is>
          <t>HEB01 chambre</t>
        </is>
      </c>
      <c r="G160" s="61" t="n">
        <v>3.429</v>
      </c>
      <c r="H160" s="46" t="n">
        <v>900</v>
      </c>
      <c r="I160" s="62">
        <f>IF(A160="CTA 5",MIN(INDEX(Hypothèses!$C$6:$C$16,MATCH(H160,Hypothèses!$A$6:$A$16,1)),Hypothèses!$B$30),INDEX(Hypothèses!$C$6:$C$16,MATCH(H160,Hypothèses!$A$6:$A$16,1)))</f>
        <v/>
      </c>
      <c r="J160" s="63">
        <f>H160/3600/I160</f>
        <v/>
      </c>
      <c r="K160" s="60">
        <f>IF(A160="CTA 4",Hypothèses!$B$25,IF(AND(A160="CTA 5",H160&gt;4000),Hypothèses!$B$29,IF(H160&lt;=2000,Hypothèses!$B$23,Hypothèses!$B$24)))</f>
        <v/>
      </c>
      <c r="L160" s="60">
        <f>MAX(Hypothèses!$B$26,CEILING(J160/(K160/1000)*1000,Hypothèses!$B$27))</f>
        <v/>
      </c>
      <c r="M160" s="63">
        <f>L160*K160/1000000</f>
        <v/>
      </c>
      <c r="N160" s="64">
        <f>H160/3600/M160</f>
        <v/>
      </c>
      <c r="O160" s="60">
        <f>IF(N160&lt;=I160,"oui","NON")</f>
        <v/>
      </c>
      <c r="P160" s="63">
        <f>1.3*((L160/1000)*(K160/1000))^0.625/((L160/1000)+(K160/1000))^0.25</f>
        <v/>
      </c>
      <c r="Q160" s="65">
        <f>N160*P160/Hypothèses!$B$20</f>
        <v/>
      </c>
      <c r="R160" s="66">
        <f>0.25/(LOG10(Hypothèses!$B$21/(3.7*P160)+5.74/Q160^0.9))^2</f>
        <v/>
      </c>
      <c r="S160" s="64">
        <f>R160/P160*Hypothèses!$B$19*N160^2/2</f>
        <v/>
      </c>
      <c r="T160" s="62">
        <f>S160*G160*(1+Hypothèses!$B$22)</f>
        <v/>
      </c>
      <c r="U160" s="45" t="inlineStr">
        <is>
          <t>X</t>
        </is>
      </c>
      <c r="V160" s="60">
        <f>IF(K160&lt;=Hypothèses!$B$28-100,"oui","NON")</f>
        <v/>
      </c>
    </row>
    <row r="161" ht="15" customHeight="1" s="40">
      <c r="A161" s="60" t="inlineStr">
        <is>
          <t>CTA 3</t>
        </is>
      </c>
      <c r="B161" s="60" t="inlineStr">
        <is>
          <t>CTA3-R23</t>
        </is>
      </c>
      <c r="C161" s="60" t="inlineStr">
        <is>
          <t>N01</t>
        </is>
      </c>
      <c r="D161" s="60" t="inlineStr">
        <is>
          <t>Faux plafond couloir</t>
        </is>
      </c>
      <c r="E161" s="60" t="inlineStr">
        <is>
          <t>Reprise</t>
        </is>
      </c>
      <c r="F161" s="60" t="inlineStr">
        <is>
          <t>HEB01 chambre</t>
        </is>
      </c>
      <c r="G161" s="61" t="n">
        <v>0.876</v>
      </c>
      <c r="H161" s="46" t="n">
        <v>720</v>
      </c>
      <c r="I161" s="62">
        <f>IF(A161="CTA 5",MIN(INDEX(Hypothèses!$C$6:$C$16,MATCH(H161,Hypothèses!$A$6:$A$16,1)),Hypothèses!$B$30),INDEX(Hypothèses!$C$6:$C$16,MATCH(H161,Hypothèses!$A$6:$A$16,1)))</f>
        <v/>
      </c>
      <c r="J161" s="63">
        <f>H161/3600/I161</f>
        <v/>
      </c>
      <c r="K161" s="60">
        <f>IF(A161="CTA 4",Hypothèses!$B$25,IF(AND(A161="CTA 5",H161&gt;4000),Hypothèses!$B$29,IF(H161&lt;=2000,Hypothèses!$B$23,Hypothèses!$B$24)))</f>
        <v/>
      </c>
      <c r="L161" s="60">
        <f>MAX(Hypothèses!$B$26,CEILING(J161/(K161/1000)*1000,Hypothèses!$B$27))</f>
        <v/>
      </c>
      <c r="M161" s="63">
        <f>L161*K161/1000000</f>
        <v/>
      </c>
      <c r="N161" s="64">
        <f>H161/3600/M161</f>
        <v/>
      </c>
      <c r="O161" s="60">
        <f>IF(N161&lt;=I161,"oui","NON")</f>
        <v/>
      </c>
      <c r="P161" s="63">
        <f>1.3*((L161/1000)*(K161/1000))^0.625/((L161/1000)+(K161/1000))^0.25</f>
        <v/>
      </c>
      <c r="Q161" s="65">
        <f>N161*P161/Hypothèses!$B$20</f>
        <v/>
      </c>
      <c r="R161" s="66">
        <f>0.25/(LOG10(Hypothèses!$B$21/(3.7*P161)+5.74/Q161^0.9))^2</f>
        <v/>
      </c>
      <c r="S161" s="64">
        <f>R161/P161*Hypothèses!$B$19*N161^2/2</f>
        <v/>
      </c>
      <c r="T161" s="62">
        <f>S161*G161*(1+Hypothèses!$B$22)</f>
        <v/>
      </c>
      <c r="U161" s="45" t="inlineStr">
        <is>
          <t>X</t>
        </is>
      </c>
      <c r="V161" s="60">
        <f>IF(K161&lt;=Hypothèses!$B$28-100,"oui","NON")</f>
        <v/>
      </c>
    </row>
    <row r="162" ht="15" customHeight="1" s="40">
      <c r="A162" s="60" t="inlineStr">
        <is>
          <t>CTA 3</t>
        </is>
      </c>
      <c r="B162" s="60" t="inlineStr">
        <is>
          <t>CTA3-R24</t>
        </is>
      </c>
      <c r="C162" s="60" t="inlineStr">
        <is>
          <t>N01</t>
        </is>
      </c>
      <c r="D162" s="60" t="inlineStr">
        <is>
          <t>Faux plafond couloir</t>
        </is>
      </c>
      <c r="E162" s="60" t="inlineStr">
        <is>
          <t>Reprise</t>
        </is>
      </c>
      <c r="F162" s="60" t="inlineStr">
        <is>
          <t>HEB01 chambre</t>
        </is>
      </c>
      <c r="G162" s="61" t="n">
        <v>3.544</v>
      </c>
      <c r="H162" s="46" t="n">
        <v>720</v>
      </c>
      <c r="I162" s="62">
        <f>IF(A162="CTA 5",MIN(INDEX(Hypothèses!$C$6:$C$16,MATCH(H162,Hypothèses!$A$6:$A$16,1)),Hypothèses!$B$30),INDEX(Hypothèses!$C$6:$C$16,MATCH(H162,Hypothèses!$A$6:$A$16,1)))</f>
        <v/>
      </c>
      <c r="J162" s="63">
        <f>H162/3600/I162</f>
        <v/>
      </c>
      <c r="K162" s="60">
        <f>IF(A162="CTA 4",Hypothèses!$B$25,IF(AND(A162="CTA 5",H162&gt;4000),Hypothèses!$B$29,IF(H162&lt;=2000,Hypothèses!$B$23,Hypothèses!$B$24)))</f>
        <v/>
      </c>
      <c r="L162" s="60">
        <f>MAX(Hypothèses!$B$26,CEILING(J162/(K162/1000)*1000,Hypothèses!$B$27))</f>
        <v/>
      </c>
      <c r="M162" s="63">
        <f>L162*K162/1000000</f>
        <v/>
      </c>
      <c r="N162" s="64">
        <f>H162/3600/M162</f>
        <v/>
      </c>
      <c r="O162" s="60">
        <f>IF(N162&lt;=I162,"oui","NON")</f>
        <v/>
      </c>
      <c r="P162" s="63">
        <f>1.3*((L162/1000)*(K162/1000))^0.625/((L162/1000)+(K162/1000))^0.25</f>
        <v/>
      </c>
      <c r="Q162" s="65">
        <f>N162*P162/Hypothèses!$B$20</f>
        <v/>
      </c>
      <c r="R162" s="66">
        <f>0.25/(LOG10(Hypothèses!$B$21/(3.7*P162)+5.74/Q162^0.9))^2</f>
        <v/>
      </c>
      <c r="S162" s="64">
        <f>R162/P162*Hypothèses!$B$19*N162^2/2</f>
        <v/>
      </c>
      <c r="T162" s="62">
        <f>S162*G162*(1+Hypothèses!$B$22)</f>
        <v/>
      </c>
      <c r="U162" s="45" t="inlineStr">
        <is>
          <t>X</t>
        </is>
      </c>
      <c r="V162" s="60">
        <f>IF(K162&lt;=Hypothèses!$B$28-100,"oui","NON")</f>
        <v/>
      </c>
    </row>
    <row r="163" ht="15" customHeight="1" s="40">
      <c r="A163" s="60" t="inlineStr">
        <is>
          <t>CTA 3</t>
        </is>
      </c>
      <c r="B163" s="60" t="inlineStr">
        <is>
          <t>CTA3-R25</t>
        </is>
      </c>
      <c r="C163" s="60" t="inlineStr">
        <is>
          <t>N01</t>
        </is>
      </c>
      <c r="D163" s="60" t="inlineStr">
        <is>
          <t>Faux plafond couloir</t>
        </is>
      </c>
      <c r="E163" s="60" t="inlineStr">
        <is>
          <t>Reprise</t>
        </is>
      </c>
      <c r="F163" s="60" t="inlineStr">
        <is>
          <t>HEB01 chambre</t>
        </is>
      </c>
      <c r="G163" s="61" t="n">
        <v>0.159</v>
      </c>
      <c r="H163" s="46" t="n">
        <v>630</v>
      </c>
      <c r="I163" s="62">
        <f>IF(A163="CTA 5",MIN(INDEX(Hypothèses!$C$6:$C$16,MATCH(H163,Hypothèses!$A$6:$A$16,1)),Hypothèses!$B$30),INDEX(Hypothèses!$C$6:$C$16,MATCH(H163,Hypothèses!$A$6:$A$16,1)))</f>
        <v/>
      </c>
      <c r="J163" s="63">
        <f>H163/3600/I163</f>
        <v/>
      </c>
      <c r="K163" s="60">
        <f>IF(A163="CTA 4",Hypothèses!$B$25,IF(AND(A163="CTA 5",H163&gt;4000),Hypothèses!$B$29,IF(H163&lt;=2000,Hypothèses!$B$23,Hypothèses!$B$24)))</f>
        <v/>
      </c>
      <c r="L163" s="60">
        <f>MAX(Hypothèses!$B$26,CEILING(J163/(K163/1000)*1000,Hypothèses!$B$27))</f>
        <v/>
      </c>
      <c r="M163" s="63">
        <f>L163*K163/1000000</f>
        <v/>
      </c>
      <c r="N163" s="64">
        <f>H163/3600/M163</f>
        <v/>
      </c>
      <c r="O163" s="60">
        <f>IF(N163&lt;=I163,"oui","NON")</f>
        <v/>
      </c>
      <c r="P163" s="63">
        <f>1.3*((L163/1000)*(K163/1000))^0.625/((L163/1000)+(K163/1000))^0.25</f>
        <v/>
      </c>
      <c r="Q163" s="65">
        <f>N163*P163/Hypothèses!$B$20</f>
        <v/>
      </c>
      <c r="R163" s="66">
        <f>0.25/(LOG10(Hypothèses!$B$21/(3.7*P163)+5.74/Q163^0.9))^2</f>
        <v/>
      </c>
      <c r="S163" s="64">
        <f>R163/P163*Hypothèses!$B$19*N163^2/2</f>
        <v/>
      </c>
      <c r="T163" s="62">
        <f>S163*G163*(1+Hypothèses!$B$22)</f>
        <v/>
      </c>
      <c r="U163" s="45" t="inlineStr">
        <is>
          <t>X</t>
        </is>
      </c>
      <c r="V163" s="60">
        <f>IF(K163&lt;=Hypothèses!$B$28-100,"oui","NON")</f>
        <v/>
      </c>
    </row>
    <row r="164" ht="15" customHeight="1" s="40">
      <c r="A164" s="60" t="inlineStr">
        <is>
          <t>CTA 3</t>
        </is>
      </c>
      <c r="B164" s="60" t="inlineStr">
        <is>
          <t>CTA3-R26</t>
        </is>
      </c>
      <c r="C164" s="60" t="inlineStr">
        <is>
          <t>N01</t>
        </is>
      </c>
      <c r="D164" s="60" t="inlineStr">
        <is>
          <t>Faux plafond couloir</t>
        </is>
      </c>
      <c r="E164" s="60" t="inlineStr">
        <is>
          <t>Reprise</t>
        </is>
      </c>
      <c r="F164" s="60" t="inlineStr">
        <is>
          <t>HEB01 chambre</t>
        </is>
      </c>
      <c r="G164" s="61" t="n">
        <v>3.621</v>
      </c>
      <c r="H164" s="46" t="n">
        <v>450</v>
      </c>
      <c r="I164" s="62">
        <f>IF(A164="CTA 5",MIN(INDEX(Hypothèses!$C$6:$C$16,MATCH(H164,Hypothèses!$A$6:$A$16,1)),Hypothèses!$B$30),INDEX(Hypothèses!$C$6:$C$16,MATCH(H164,Hypothèses!$A$6:$A$16,1)))</f>
        <v/>
      </c>
      <c r="J164" s="63">
        <f>H164/3600/I164</f>
        <v/>
      </c>
      <c r="K164" s="60">
        <f>IF(A164="CTA 4",Hypothèses!$B$25,IF(AND(A164="CTA 5",H164&gt;4000),Hypothèses!$B$29,IF(H164&lt;=2000,Hypothèses!$B$23,Hypothèses!$B$24)))</f>
        <v/>
      </c>
      <c r="L164" s="60">
        <f>MAX(Hypothèses!$B$26,CEILING(J164/(K164/1000)*1000,Hypothèses!$B$27))</f>
        <v/>
      </c>
      <c r="M164" s="63">
        <f>L164*K164/1000000</f>
        <v/>
      </c>
      <c r="N164" s="64">
        <f>H164/3600/M164</f>
        <v/>
      </c>
      <c r="O164" s="60">
        <f>IF(N164&lt;=I164,"oui","NON")</f>
        <v/>
      </c>
      <c r="P164" s="63">
        <f>1.3*((L164/1000)*(K164/1000))^0.625/((L164/1000)+(K164/1000))^0.25</f>
        <v/>
      </c>
      <c r="Q164" s="65">
        <f>N164*P164/Hypothèses!$B$20</f>
        <v/>
      </c>
      <c r="R164" s="66">
        <f>0.25/(LOG10(Hypothèses!$B$21/(3.7*P164)+5.74/Q164^0.9))^2</f>
        <v/>
      </c>
      <c r="S164" s="64">
        <f>R164/P164*Hypothèses!$B$19*N164^2/2</f>
        <v/>
      </c>
      <c r="T164" s="62">
        <f>S164*G164*(1+Hypothèses!$B$22)</f>
        <v/>
      </c>
      <c r="U164" s="45" t="inlineStr">
        <is>
          <t>X</t>
        </is>
      </c>
      <c r="V164" s="60">
        <f>IF(K164&lt;=Hypothèses!$B$28-100,"oui","NON")</f>
        <v/>
      </c>
    </row>
    <row r="165" ht="15" customHeight="1" s="40">
      <c r="A165" s="60" t="inlineStr">
        <is>
          <t>CTA 3</t>
        </is>
      </c>
      <c r="B165" s="60" t="inlineStr">
        <is>
          <t>CTA3-R27</t>
        </is>
      </c>
      <c r="C165" s="60" t="inlineStr">
        <is>
          <t>N01</t>
        </is>
      </c>
      <c r="D165" s="60" t="inlineStr">
        <is>
          <t>Faux plafond couloir</t>
        </is>
      </c>
      <c r="E165" s="60" t="inlineStr">
        <is>
          <t>Reprise</t>
        </is>
      </c>
      <c r="F165" s="60" t="inlineStr">
        <is>
          <t>HEB01 chambre</t>
        </is>
      </c>
      <c r="G165" s="61" t="n">
        <v>0.6919999999999999</v>
      </c>
      <c r="H165" s="46" t="n">
        <v>360</v>
      </c>
      <c r="I165" s="62">
        <f>IF(A165="CTA 5",MIN(INDEX(Hypothèses!$C$6:$C$16,MATCH(H165,Hypothèses!$A$6:$A$16,1)),Hypothèses!$B$30),INDEX(Hypothèses!$C$6:$C$16,MATCH(H165,Hypothèses!$A$6:$A$16,1)))</f>
        <v/>
      </c>
      <c r="J165" s="63">
        <f>H165/3600/I165</f>
        <v/>
      </c>
      <c r="K165" s="60">
        <f>IF(A165="CTA 4",Hypothèses!$B$25,IF(AND(A165="CTA 5",H165&gt;4000),Hypothèses!$B$29,IF(H165&lt;=2000,Hypothèses!$B$23,Hypothèses!$B$24)))</f>
        <v/>
      </c>
      <c r="L165" s="60">
        <f>MAX(Hypothèses!$B$26,CEILING(J165/(K165/1000)*1000,Hypothèses!$B$27))</f>
        <v/>
      </c>
      <c r="M165" s="63">
        <f>L165*K165/1000000</f>
        <v/>
      </c>
      <c r="N165" s="64">
        <f>H165/3600/M165</f>
        <v/>
      </c>
      <c r="O165" s="60">
        <f>IF(N165&lt;=I165,"oui","NON")</f>
        <v/>
      </c>
      <c r="P165" s="63">
        <f>1.3*((L165/1000)*(K165/1000))^0.625/((L165/1000)+(K165/1000))^0.25</f>
        <v/>
      </c>
      <c r="Q165" s="65">
        <f>N165*P165/Hypothèses!$B$20</f>
        <v/>
      </c>
      <c r="R165" s="66">
        <f>0.25/(LOG10(Hypothèses!$B$21/(3.7*P165)+5.74/Q165^0.9))^2</f>
        <v/>
      </c>
      <c r="S165" s="64">
        <f>R165/P165*Hypothèses!$B$19*N165^2/2</f>
        <v/>
      </c>
      <c r="T165" s="62">
        <f>S165*G165*(1+Hypothèses!$B$22)</f>
        <v/>
      </c>
      <c r="U165" s="45" t="inlineStr">
        <is>
          <t>X</t>
        </is>
      </c>
      <c r="V165" s="60">
        <f>IF(K165&lt;=Hypothèses!$B$28-100,"oui","NON")</f>
        <v/>
      </c>
    </row>
    <row r="166" ht="15" customHeight="1" s="40">
      <c r="A166" s="60" t="inlineStr">
        <is>
          <t>CTA 3</t>
        </is>
      </c>
      <c r="B166" s="60" t="inlineStr">
        <is>
          <t>CTA3-R28</t>
        </is>
      </c>
      <c r="C166" s="60" t="inlineStr">
        <is>
          <t>N01</t>
        </is>
      </c>
      <c r="D166" s="60" t="inlineStr">
        <is>
          <t>Faux plafond couloir</t>
        </is>
      </c>
      <c r="E166" s="60" t="inlineStr">
        <is>
          <t>Reprise</t>
        </is>
      </c>
      <c r="F166" s="60" t="inlineStr">
        <is>
          <t>HEB01 chambre</t>
        </is>
      </c>
      <c r="G166" s="61" t="n">
        <v>3.702</v>
      </c>
      <c r="H166" s="46" t="n">
        <v>360</v>
      </c>
      <c r="I166" s="62">
        <f>IF(A166="CTA 5",MIN(INDEX(Hypothèses!$C$6:$C$16,MATCH(H166,Hypothèses!$A$6:$A$16,1)),Hypothèses!$B$30),INDEX(Hypothèses!$C$6:$C$16,MATCH(H166,Hypothèses!$A$6:$A$16,1)))</f>
        <v/>
      </c>
      <c r="J166" s="63">
        <f>H166/3600/I166</f>
        <v/>
      </c>
      <c r="K166" s="60">
        <f>IF(A166="CTA 4",Hypothèses!$B$25,IF(AND(A166="CTA 5",H166&gt;4000),Hypothèses!$B$29,IF(H166&lt;=2000,Hypothèses!$B$23,Hypothèses!$B$24)))</f>
        <v/>
      </c>
      <c r="L166" s="60">
        <f>MAX(Hypothèses!$B$26,CEILING(J166/(K166/1000)*1000,Hypothèses!$B$27))</f>
        <v/>
      </c>
      <c r="M166" s="63">
        <f>L166*K166/1000000</f>
        <v/>
      </c>
      <c r="N166" s="64">
        <f>H166/3600/M166</f>
        <v/>
      </c>
      <c r="O166" s="60">
        <f>IF(N166&lt;=I166,"oui","NON")</f>
        <v/>
      </c>
      <c r="P166" s="63">
        <f>1.3*((L166/1000)*(K166/1000))^0.625/((L166/1000)+(K166/1000))^0.25</f>
        <v/>
      </c>
      <c r="Q166" s="65">
        <f>N166*P166/Hypothèses!$B$20</f>
        <v/>
      </c>
      <c r="R166" s="66">
        <f>0.25/(LOG10(Hypothèses!$B$21/(3.7*P166)+5.74/Q166^0.9))^2</f>
        <v/>
      </c>
      <c r="S166" s="64">
        <f>R166/P166*Hypothèses!$B$19*N166^2/2</f>
        <v/>
      </c>
      <c r="T166" s="62">
        <f>S166*G166*(1+Hypothèses!$B$22)</f>
        <v/>
      </c>
      <c r="U166" s="45" t="inlineStr">
        <is>
          <t>X</t>
        </is>
      </c>
      <c r="V166" s="60">
        <f>IF(K166&lt;=Hypothèses!$B$28-100,"oui","NON")</f>
        <v/>
      </c>
    </row>
    <row r="167" ht="15" customHeight="1" s="40">
      <c r="A167" s="60" t="inlineStr">
        <is>
          <t>CTA 3</t>
        </is>
      </c>
      <c r="B167" s="60" t="inlineStr">
        <is>
          <t>CTA3-R29</t>
        </is>
      </c>
      <c r="C167" s="60" t="inlineStr">
        <is>
          <t>N01</t>
        </is>
      </c>
      <c r="D167" s="60" t="inlineStr">
        <is>
          <t>Faux plafond couloir</t>
        </is>
      </c>
      <c r="E167" s="60" t="inlineStr">
        <is>
          <t>Reprise</t>
        </is>
      </c>
      <c r="F167" s="60" t="inlineStr">
        <is>
          <t>HEB01 chambre</t>
        </is>
      </c>
      <c r="G167" s="61" t="n">
        <v>0.032</v>
      </c>
      <c r="H167" s="46" t="n">
        <v>180</v>
      </c>
      <c r="I167" s="62">
        <f>IF(A167="CTA 5",MIN(INDEX(Hypothèses!$C$6:$C$16,MATCH(H167,Hypothèses!$A$6:$A$16,1)),Hypothèses!$B$30),INDEX(Hypothèses!$C$6:$C$16,MATCH(H167,Hypothèses!$A$6:$A$16,1)))</f>
        <v/>
      </c>
      <c r="J167" s="63">
        <f>H167/3600/I167</f>
        <v/>
      </c>
      <c r="K167" s="60">
        <f>IF(A167="CTA 4",Hypothèses!$B$25,IF(AND(A167="CTA 5",H167&gt;4000),Hypothèses!$B$29,IF(H167&lt;=2000,Hypothèses!$B$23,Hypothèses!$B$24)))</f>
        <v/>
      </c>
      <c r="L167" s="60">
        <f>MAX(Hypothèses!$B$26,CEILING(J167/(K167/1000)*1000,Hypothèses!$B$27))</f>
        <v/>
      </c>
      <c r="M167" s="63">
        <f>L167*K167/1000000</f>
        <v/>
      </c>
      <c r="N167" s="64">
        <f>H167/3600/M167</f>
        <v/>
      </c>
      <c r="O167" s="60">
        <f>IF(N167&lt;=I167,"oui","NON")</f>
        <v/>
      </c>
      <c r="P167" s="63">
        <f>1.3*((L167/1000)*(K167/1000))^0.625/((L167/1000)+(K167/1000))^0.25</f>
        <v/>
      </c>
      <c r="Q167" s="65">
        <f>N167*P167/Hypothèses!$B$20</f>
        <v/>
      </c>
      <c r="R167" s="66">
        <f>0.25/(LOG10(Hypothèses!$B$21/(3.7*P167)+5.74/Q167^0.9))^2</f>
        <v/>
      </c>
      <c r="S167" s="64">
        <f>R167/P167*Hypothèses!$B$19*N167^2/2</f>
        <v/>
      </c>
      <c r="T167" s="62">
        <f>S167*G167*(1+Hypothèses!$B$22)</f>
        <v/>
      </c>
      <c r="U167" s="45" t="inlineStr">
        <is>
          <t>X</t>
        </is>
      </c>
      <c r="V167" s="60">
        <f>IF(K167&lt;=Hypothèses!$B$28-100,"oui","NON")</f>
        <v/>
      </c>
    </row>
    <row r="168" ht="15" customHeight="1" s="40">
      <c r="A168" s="60" t="inlineStr">
        <is>
          <t>CTA 3</t>
        </is>
      </c>
      <c r="B168" s="60" t="inlineStr">
        <is>
          <t>CTA3-R30</t>
        </is>
      </c>
      <c r="C168" s="60" t="inlineStr">
        <is>
          <t>N01</t>
        </is>
      </c>
      <c r="D168" s="60" t="inlineStr">
        <is>
          <t>Faux plafond couloir</t>
        </is>
      </c>
      <c r="E168" s="60" t="inlineStr">
        <is>
          <t>Reprise</t>
        </is>
      </c>
      <c r="F168" s="60" t="inlineStr">
        <is>
          <t>HEB01 chambre</t>
        </is>
      </c>
      <c r="G168" s="61" t="n">
        <v>2.604</v>
      </c>
      <c r="H168" s="46" t="n">
        <v>90</v>
      </c>
      <c r="I168" s="62">
        <f>IF(A168="CTA 5",MIN(INDEX(Hypothèses!$C$6:$C$16,MATCH(H168,Hypothèses!$A$6:$A$16,1)),Hypothèses!$B$30),INDEX(Hypothèses!$C$6:$C$16,MATCH(H168,Hypothèses!$A$6:$A$16,1)))</f>
        <v/>
      </c>
      <c r="J168" s="63">
        <f>H168/3600/I168</f>
        <v/>
      </c>
      <c r="K168" s="60">
        <f>IF(A168="CTA 4",Hypothèses!$B$25,IF(AND(A168="CTA 5",H168&gt;4000),Hypothèses!$B$29,IF(H168&lt;=2000,Hypothèses!$B$23,Hypothèses!$B$24)))</f>
        <v/>
      </c>
      <c r="L168" s="60">
        <f>MAX(Hypothèses!$B$26,CEILING(J168/(K168/1000)*1000,Hypothèses!$B$27))</f>
        <v/>
      </c>
      <c r="M168" s="63">
        <f>L168*K168/1000000</f>
        <v/>
      </c>
      <c r="N168" s="64">
        <f>H168/3600/M168</f>
        <v/>
      </c>
      <c r="O168" s="60">
        <f>IF(N168&lt;=I168,"oui","NON")</f>
        <v/>
      </c>
      <c r="P168" s="63">
        <f>1.3*((L168/1000)*(K168/1000))^0.625/((L168/1000)+(K168/1000))^0.25</f>
        <v/>
      </c>
      <c r="Q168" s="65">
        <f>N168*P168/Hypothèses!$B$20</f>
        <v/>
      </c>
      <c r="R168" s="66">
        <f>0.25/(LOG10(Hypothèses!$B$21/(3.7*P168)+5.74/Q168^0.9))^2</f>
        <v/>
      </c>
      <c r="S168" s="64">
        <f>R168/P168*Hypothèses!$B$19*N168^2/2</f>
        <v/>
      </c>
      <c r="T168" s="62">
        <f>S168*G168*(1+Hypothèses!$B$22)</f>
        <v/>
      </c>
      <c r="U168" s="45" t="inlineStr">
        <is>
          <t>X</t>
        </is>
      </c>
      <c r="V168" s="60">
        <f>IF(K168&lt;=Hypothèses!$B$28-100,"oui","NON")</f>
        <v/>
      </c>
    </row>
    <row r="169" ht="15" customHeight="1" s="40">
      <c r="A169" s="60" t="inlineStr">
        <is>
          <t>CTA 4</t>
        </is>
      </c>
      <c r="B169" s="60" t="inlineStr">
        <is>
          <t>CTA4-S01</t>
        </is>
      </c>
      <c r="C169" s="60" t="inlineStr">
        <is>
          <t>Toiture</t>
        </is>
      </c>
      <c r="D169" s="60" t="inlineStr">
        <is>
          <t>Toiture (CTA → descente)</t>
        </is>
      </c>
      <c r="E169" s="60" t="inlineStr">
        <is>
          <t>Soufflage</t>
        </is>
      </c>
      <c r="F169" s="60" t="inlineStr">
        <is>
          <t>Sortie CTA → descente (trémie en toiture)</t>
        </is>
      </c>
      <c r="G169" s="61" t="n">
        <v>2.15</v>
      </c>
      <c r="H169" s="46" t="n">
        <v>1170</v>
      </c>
      <c r="I169" s="62">
        <f>IF(A169="CTA 5",MIN(INDEX(Hypothèses!$C$6:$C$16,MATCH(H169,Hypothèses!$A$6:$A$16,1)),Hypothèses!$B$30),INDEX(Hypothèses!$C$6:$C$16,MATCH(H169,Hypothèses!$A$6:$A$16,1)))</f>
        <v/>
      </c>
      <c r="J169" s="63">
        <f>H169/3600/I169</f>
        <v/>
      </c>
      <c r="K169" s="60">
        <f>IF(A169="CTA 4",Hypothèses!$B$25,IF(AND(A169="CTA 5",H169&gt;4000),Hypothèses!$B$29,IF(H169&lt;=2000,Hypothèses!$B$23,Hypothèses!$B$24)))</f>
        <v/>
      </c>
      <c r="L169" s="60">
        <f>MAX(Hypothèses!$B$26,CEILING(J169/(K169/1000)*1000,Hypothèses!$B$27))</f>
        <v/>
      </c>
      <c r="M169" s="63">
        <f>L169*K169/1000000</f>
        <v/>
      </c>
      <c r="N169" s="64">
        <f>H169/3600/M169</f>
        <v/>
      </c>
      <c r="O169" s="60">
        <f>IF(N169&lt;=I169,"oui","NON")</f>
        <v/>
      </c>
      <c r="P169" s="63">
        <f>1.3*((L169/1000)*(K169/1000))^0.625/((L169/1000)+(K169/1000))^0.25</f>
        <v/>
      </c>
      <c r="Q169" s="65">
        <f>N169*P169/Hypothèses!$B$20</f>
        <v/>
      </c>
      <c r="R169" s="66">
        <f>0.25/(LOG10(Hypothèses!$B$21/(3.7*P169)+5.74/Q169^0.9))^2</f>
        <v/>
      </c>
      <c r="S169" s="64">
        <f>R169/P169*Hypothèses!$B$19*N169^2/2</f>
        <v/>
      </c>
      <c r="T169" s="62">
        <f>S169*G169*(1+Hypothèses!$B$22)</f>
        <v/>
      </c>
      <c r="U169" s="45" t="inlineStr">
        <is>
          <t>X</t>
        </is>
      </c>
      <c r="V169" s="60" t="inlineStr">
        <is>
          <t>–</t>
        </is>
      </c>
    </row>
    <row r="170" ht="15" customHeight="1" s="40">
      <c r="A170" s="60" t="inlineStr">
        <is>
          <t>CTA 4</t>
        </is>
      </c>
      <c r="B170" s="60" t="inlineStr">
        <is>
          <t>CTA4-S02</t>
        </is>
      </c>
      <c r="C170" s="60" t="inlineStr">
        <is>
          <t>N01</t>
        </is>
      </c>
      <c r="D170" s="60" t="inlineStr">
        <is>
          <t>Descente verticale</t>
        </is>
      </c>
      <c r="E170" s="60" t="inlineStr">
        <is>
          <t>Soufflage</t>
        </is>
      </c>
      <c r="F170" s="60" t="inlineStr">
        <is>
          <t>Gaine verticale : toiture → plénum étage</t>
        </is>
      </c>
      <c r="G170" s="61" t="n">
        <v>1.53</v>
      </c>
      <c r="H170" s="46" t="n">
        <v>1170</v>
      </c>
      <c r="I170" s="62">
        <f>IF(A170="CTA 5",MIN(INDEX(Hypothèses!$C$6:$C$16,MATCH(H170,Hypothèses!$A$6:$A$16,1)),Hypothèses!$B$30),INDEX(Hypothèses!$C$6:$C$16,MATCH(H170,Hypothèses!$A$6:$A$16,1)))</f>
        <v/>
      </c>
      <c r="J170" s="63">
        <f>H170/3600/I170</f>
        <v/>
      </c>
      <c r="K170" s="60">
        <f>IF(A170="CTA 4",Hypothèses!$B$25,IF(AND(A170="CTA 5",H170&gt;4000),Hypothèses!$B$29,IF(H170&lt;=2000,Hypothèses!$B$23,Hypothèses!$B$24)))</f>
        <v/>
      </c>
      <c r="L170" s="60">
        <f>MAX(Hypothèses!$B$26,CEILING(J170/(K170/1000)*1000,Hypothèses!$B$27))</f>
        <v/>
      </c>
      <c r="M170" s="63">
        <f>L170*K170/1000000</f>
        <v/>
      </c>
      <c r="N170" s="64">
        <f>H170/3600/M170</f>
        <v/>
      </c>
      <c r="O170" s="60">
        <f>IF(N170&lt;=I170,"oui","NON")</f>
        <v/>
      </c>
      <c r="P170" s="63">
        <f>1.3*((L170/1000)*(K170/1000))^0.625/((L170/1000)+(K170/1000))^0.25</f>
        <v/>
      </c>
      <c r="Q170" s="65">
        <f>N170*P170/Hypothèses!$B$20</f>
        <v/>
      </c>
      <c r="R170" s="66">
        <f>0.25/(LOG10(Hypothèses!$B$21/(3.7*P170)+5.74/Q170^0.9))^2</f>
        <v/>
      </c>
      <c r="S170" s="64">
        <f>R170/P170*Hypothèses!$B$19*N170^2/2</f>
        <v/>
      </c>
      <c r="T170" s="62">
        <f>S170*G170*(1+Hypothèses!$B$22)</f>
        <v/>
      </c>
      <c r="U170" s="45" t="inlineStr">
        <is>
          <t>X</t>
        </is>
      </c>
      <c r="V170" s="60" t="inlineStr">
        <is>
          <t>–</t>
        </is>
      </c>
    </row>
    <row r="171" ht="15" customHeight="1" s="40">
      <c r="A171" s="60" t="inlineStr">
        <is>
          <t>CTA 4</t>
        </is>
      </c>
      <c r="B171" s="60" t="inlineStr">
        <is>
          <t>CTA4-S03</t>
        </is>
      </c>
      <c r="C171" s="60" t="inlineStr">
        <is>
          <t>N01</t>
        </is>
      </c>
      <c r="D171" s="60" t="inlineStr">
        <is>
          <t>Faux plafond couloir</t>
        </is>
      </c>
      <c r="E171" s="60" t="inlineStr">
        <is>
          <t>Soufflage</t>
        </is>
      </c>
      <c r="F171" s="60" t="inlineStr">
        <is>
          <t>HEB01 chambre</t>
        </is>
      </c>
      <c r="G171" s="61" t="n">
        <v>1.983</v>
      </c>
      <c r="H171" s="46" t="n">
        <v>1170</v>
      </c>
      <c r="I171" s="62">
        <f>IF(A171="CTA 5",MIN(INDEX(Hypothèses!$C$6:$C$16,MATCH(H171,Hypothèses!$A$6:$A$16,1)),Hypothèses!$B$30),INDEX(Hypothèses!$C$6:$C$16,MATCH(H171,Hypothèses!$A$6:$A$16,1)))</f>
        <v/>
      </c>
      <c r="J171" s="63">
        <f>H171/3600/I171</f>
        <v/>
      </c>
      <c r="K171" s="60">
        <f>IF(A171="CTA 4",Hypothèses!$B$25,IF(AND(A171="CTA 5",H171&gt;4000),Hypothèses!$B$29,IF(H171&lt;=2000,Hypothèses!$B$23,Hypothèses!$B$24)))</f>
        <v/>
      </c>
      <c r="L171" s="60">
        <f>MAX(Hypothèses!$B$26,CEILING(J171/(K171/1000)*1000,Hypothèses!$B$27))</f>
        <v/>
      </c>
      <c r="M171" s="63">
        <f>L171*K171/1000000</f>
        <v/>
      </c>
      <c r="N171" s="64">
        <f>H171/3600/M171</f>
        <v/>
      </c>
      <c r="O171" s="60">
        <f>IF(N171&lt;=I171,"oui","NON")</f>
        <v/>
      </c>
      <c r="P171" s="63">
        <f>1.3*((L171/1000)*(K171/1000))^0.625/((L171/1000)+(K171/1000))^0.25</f>
        <v/>
      </c>
      <c r="Q171" s="65">
        <f>N171*P171/Hypothèses!$B$20</f>
        <v/>
      </c>
      <c r="R171" s="66">
        <f>0.25/(LOG10(Hypothèses!$B$21/(3.7*P171)+5.74/Q171^0.9))^2</f>
        <v/>
      </c>
      <c r="S171" s="64">
        <f>R171/P171*Hypothèses!$B$19*N171^2/2</f>
        <v/>
      </c>
      <c r="T171" s="62">
        <f>S171*G171*(1+Hypothèses!$B$22)</f>
        <v/>
      </c>
      <c r="U171" s="45" t="inlineStr">
        <is>
          <t>X</t>
        </is>
      </c>
      <c r="V171" s="60">
        <f>IF(K171&lt;=Hypothèses!$B$28-100,"oui","NON")</f>
        <v/>
      </c>
    </row>
    <row r="172" ht="15" customHeight="1" s="40">
      <c r="A172" s="60" t="inlineStr">
        <is>
          <t>CTA 4</t>
        </is>
      </c>
      <c r="B172" s="60" t="inlineStr">
        <is>
          <t>CTA4-S04</t>
        </is>
      </c>
      <c r="C172" s="60" t="inlineStr">
        <is>
          <t>N01</t>
        </is>
      </c>
      <c r="D172" s="60" t="inlineStr">
        <is>
          <t>Faux plafond couloir</t>
        </is>
      </c>
      <c r="E172" s="60" t="inlineStr">
        <is>
          <t>Soufflage</t>
        </is>
      </c>
      <c r="F172" s="60" t="inlineStr">
        <is>
          <t>HEB01 chambre</t>
        </is>
      </c>
      <c r="G172" s="61" t="n">
        <v>4.08</v>
      </c>
      <c r="H172" s="46" t="n">
        <v>1170</v>
      </c>
      <c r="I172" s="62">
        <f>IF(A172="CTA 5",MIN(INDEX(Hypothèses!$C$6:$C$16,MATCH(H172,Hypothèses!$A$6:$A$16,1)),Hypothèses!$B$30),INDEX(Hypothèses!$C$6:$C$16,MATCH(H172,Hypothèses!$A$6:$A$16,1)))</f>
        <v/>
      </c>
      <c r="J172" s="63">
        <f>H172/3600/I172</f>
        <v/>
      </c>
      <c r="K172" s="60">
        <f>IF(A172="CTA 4",Hypothèses!$B$25,IF(AND(A172="CTA 5",H172&gt;4000),Hypothèses!$B$29,IF(H172&lt;=2000,Hypothèses!$B$23,Hypothèses!$B$24)))</f>
        <v/>
      </c>
      <c r="L172" s="60">
        <f>MAX(Hypothèses!$B$26,CEILING(J172/(K172/1000)*1000,Hypothèses!$B$27))</f>
        <v/>
      </c>
      <c r="M172" s="63">
        <f>L172*K172/1000000</f>
        <v/>
      </c>
      <c r="N172" s="64">
        <f>H172/3600/M172</f>
        <v/>
      </c>
      <c r="O172" s="60">
        <f>IF(N172&lt;=I172,"oui","NON")</f>
        <v/>
      </c>
      <c r="P172" s="63">
        <f>1.3*((L172/1000)*(K172/1000))^0.625/((L172/1000)+(K172/1000))^0.25</f>
        <v/>
      </c>
      <c r="Q172" s="65">
        <f>N172*P172/Hypothèses!$B$20</f>
        <v/>
      </c>
      <c r="R172" s="66">
        <f>0.25/(LOG10(Hypothèses!$B$21/(3.7*P172)+5.74/Q172^0.9))^2</f>
        <v/>
      </c>
      <c r="S172" s="64">
        <f>R172/P172*Hypothèses!$B$19*N172^2/2</f>
        <v/>
      </c>
      <c r="T172" s="62">
        <f>S172*G172*(1+Hypothèses!$B$22)</f>
        <v/>
      </c>
      <c r="U172" s="45" t="inlineStr">
        <is>
          <t>X</t>
        </is>
      </c>
      <c r="V172" s="60">
        <f>IF(K172&lt;=Hypothèses!$B$28-100,"oui","NON")</f>
        <v/>
      </c>
    </row>
    <row r="173" ht="15" customHeight="1" s="40">
      <c r="A173" s="60" t="inlineStr">
        <is>
          <t>CTA 4</t>
        </is>
      </c>
      <c r="B173" s="60" t="inlineStr">
        <is>
          <t>CTA4-S05</t>
        </is>
      </c>
      <c r="C173" s="60" t="inlineStr">
        <is>
          <t>N01</t>
        </is>
      </c>
      <c r="D173" s="60" t="inlineStr">
        <is>
          <t>Faux plafond couloir</t>
        </is>
      </c>
      <c r="E173" s="60" t="inlineStr">
        <is>
          <t>Soufflage</t>
        </is>
      </c>
      <c r="F173" s="60" t="inlineStr">
        <is>
          <t>HEB01 chambre</t>
        </is>
      </c>
      <c r="G173" s="61" t="n">
        <v>3.74</v>
      </c>
      <c r="H173" s="46" t="n">
        <v>990</v>
      </c>
      <c r="I173" s="62">
        <f>IF(A173="CTA 5",MIN(INDEX(Hypothèses!$C$6:$C$16,MATCH(H173,Hypothèses!$A$6:$A$16,1)),Hypothèses!$B$30),INDEX(Hypothèses!$C$6:$C$16,MATCH(H173,Hypothèses!$A$6:$A$16,1)))</f>
        <v/>
      </c>
      <c r="J173" s="63">
        <f>H173/3600/I173</f>
        <v/>
      </c>
      <c r="K173" s="60">
        <f>IF(A173="CTA 4",Hypothèses!$B$25,IF(AND(A173="CTA 5",H173&gt;4000),Hypothèses!$B$29,IF(H173&lt;=2000,Hypothèses!$B$23,Hypothèses!$B$24)))</f>
        <v/>
      </c>
      <c r="L173" s="60">
        <f>MAX(Hypothèses!$B$26,CEILING(J173/(K173/1000)*1000,Hypothèses!$B$27))</f>
        <v/>
      </c>
      <c r="M173" s="63">
        <f>L173*K173/1000000</f>
        <v/>
      </c>
      <c r="N173" s="64">
        <f>H173/3600/M173</f>
        <v/>
      </c>
      <c r="O173" s="60">
        <f>IF(N173&lt;=I173,"oui","NON")</f>
        <v/>
      </c>
      <c r="P173" s="63">
        <f>1.3*((L173/1000)*(K173/1000))^0.625/((L173/1000)+(K173/1000))^0.25</f>
        <v/>
      </c>
      <c r="Q173" s="65">
        <f>N173*P173/Hypothèses!$B$20</f>
        <v/>
      </c>
      <c r="R173" s="66">
        <f>0.25/(LOG10(Hypothèses!$B$21/(3.7*P173)+5.74/Q173^0.9))^2</f>
        <v/>
      </c>
      <c r="S173" s="64">
        <f>R173/P173*Hypothèses!$B$19*N173^2/2</f>
        <v/>
      </c>
      <c r="T173" s="62">
        <f>S173*G173*(1+Hypothèses!$B$22)</f>
        <v/>
      </c>
      <c r="U173" s="45" t="inlineStr">
        <is>
          <t>X</t>
        </is>
      </c>
      <c r="V173" s="60">
        <f>IF(K173&lt;=Hypothèses!$B$28-100,"oui","NON")</f>
        <v/>
      </c>
    </row>
    <row r="174" ht="15" customHeight="1" s="40">
      <c r="A174" s="60" t="inlineStr">
        <is>
          <t>CTA 4</t>
        </is>
      </c>
      <c r="B174" s="60" t="inlineStr">
        <is>
          <t>CTA4-S06</t>
        </is>
      </c>
      <c r="C174" s="60" t="inlineStr">
        <is>
          <t>N01</t>
        </is>
      </c>
      <c r="D174" s="60" t="inlineStr">
        <is>
          <t>Faux plafond couloir</t>
        </is>
      </c>
      <c r="E174" s="60" t="inlineStr">
        <is>
          <t>Soufflage</t>
        </is>
      </c>
      <c r="F174" s="60" t="inlineStr">
        <is>
          <t>HEB01 chambre</t>
        </is>
      </c>
      <c r="G174" s="61" t="n">
        <v>1.448</v>
      </c>
      <c r="H174" s="46" t="n">
        <v>990</v>
      </c>
      <c r="I174" s="62">
        <f>IF(A174="CTA 5",MIN(INDEX(Hypothèses!$C$6:$C$16,MATCH(H174,Hypothèses!$A$6:$A$16,1)),Hypothèses!$B$30),INDEX(Hypothèses!$C$6:$C$16,MATCH(H174,Hypothèses!$A$6:$A$16,1)))</f>
        <v/>
      </c>
      <c r="J174" s="63">
        <f>H174/3600/I174</f>
        <v/>
      </c>
      <c r="K174" s="60">
        <f>IF(A174="CTA 4",Hypothèses!$B$25,IF(AND(A174="CTA 5",H174&gt;4000),Hypothèses!$B$29,IF(H174&lt;=2000,Hypothèses!$B$23,Hypothèses!$B$24)))</f>
        <v/>
      </c>
      <c r="L174" s="60">
        <f>MAX(Hypothèses!$B$26,CEILING(J174/(K174/1000)*1000,Hypothèses!$B$27))</f>
        <v/>
      </c>
      <c r="M174" s="63">
        <f>L174*K174/1000000</f>
        <v/>
      </c>
      <c r="N174" s="64">
        <f>H174/3600/M174</f>
        <v/>
      </c>
      <c r="O174" s="60">
        <f>IF(N174&lt;=I174,"oui","NON")</f>
        <v/>
      </c>
      <c r="P174" s="63">
        <f>1.3*((L174/1000)*(K174/1000))^0.625/((L174/1000)+(K174/1000))^0.25</f>
        <v/>
      </c>
      <c r="Q174" s="65">
        <f>N174*P174/Hypothèses!$B$20</f>
        <v/>
      </c>
      <c r="R174" s="66">
        <f>0.25/(LOG10(Hypothèses!$B$21/(3.7*P174)+5.74/Q174^0.9))^2</f>
        <v/>
      </c>
      <c r="S174" s="64">
        <f>R174/P174*Hypothèses!$B$19*N174^2/2</f>
        <v/>
      </c>
      <c r="T174" s="62">
        <f>S174*G174*(1+Hypothèses!$B$22)</f>
        <v/>
      </c>
      <c r="U174" s="45" t="inlineStr">
        <is>
          <t>X</t>
        </is>
      </c>
      <c r="V174" s="60">
        <f>IF(K174&lt;=Hypothèses!$B$28-100,"oui","NON")</f>
        <v/>
      </c>
    </row>
    <row r="175" ht="15" customHeight="1" s="40">
      <c r="A175" s="60" t="inlineStr">
        <is>
          <t>CTA 4</t>
        </is>
      </c>
      <c r="B175" s="60" t="inlineStr">
        <is>
          <t>CTA4-S07</t>
        </is>
      </c>
      <c r="C175" s="60" t="inlineStr">
        <is>
          <t>N01</t>
        </is>
      </c>
      <c r="D175" s="60" t="inlineStr">
        <is>
          <t>Faux plafond couloir</t>
        </is>
      </c>
      <c r="E175" s="60" t="inlineStr">
        <is>
          <t>Soufflage</t>
        </is>
      </c>
      <c r="F175" s="60" t="inlineStr">
        <is>
          <t>HEB01 chambre</t>
        </is>
      </c>
      <c r="G175" s="61" t="n">
        <v>2.929</v>
      </c>
      <c r="H175" s="46" t="n">
        <v>810</v>
      </c>
      <c r="I175" s="62">
        <f>IF(A175="CTA 5",MIN(INDEX(Hypothèses!$C$6:$C$16,MATCH(H175,Hypothèses!$A$6:$A$16,1)),Hypothèses!$B$30),INDEX(Hypothèses!$C$6:$C$16,MATCH(H175,Hypothèses!$A$6:$A$16,1)))</f>
        <v/>
      </c>
      <c r="J175" s="63">
        <f>H175/3600/I175</f>
        <v/>
      </c>
      <c r="K175" s="60">
        <f>IF(A175="CTA 4",Hypothèses!$B$25,IF(AND(A175="CTA 5",H175&gt;4000),Hypothèses!$B$29,IF(H175&lt;=2000,Hypothèses!$B$23,Hypothèses!$B$24)))</f>
        <v/>
      </c>
      <c r="L175" s="60">
        <f>MAX(Hypothèses!$B$26,CEILING(J175/(K175/1000)*1000,Hypothèses!$B$27))</f>
        <v/>
      </c>
      <c r="M175" s="63">
        <f>L175*K175/1000000</f>
        <v/>
      </c>
      <c r="N175" s="64">
        <f>H175/3600/M175</f>
        <v/>
      </c>
      <c r="O175" s="60">
        <f>IF(N175&lt;=I175,"oui","NON")</f>
        <v/>
      </c>
      <c r="P175" s="63">
        <f>1.3*((L175/1000)*(K175/1000))^0.625/((L175/1000)+(K175/1000))^0.25</f>
        <v/>
      </c>
      <c r="Q175" s="65">
        <f>N175*P175/Hypothèses!$B$20</f>
        <v/>
      </c>
      <c r="R175" s="66">
        <f>0.25/(LOG10(Hypothèses!$B$21/(3.7*P175)+5.74/Q175^0.9))^2</f>
        <v/>
      </c>
      <c r="S175" s="64">
        <f>R175/P175*Hypothèses!$B$19*N175^2/2</f>
        <v/>
      </c>
      <c r="T175" s="62">
        <f>S175*G175*(1+Hypothèses!$B$22)</f>
        <v/>
      </c>
      <c r="U175" s="45" t="inlineStr">
        <is>
          <t>X</t>
        </is>
      </c>
      <c r="V175" s="60">
        <f>IF(K175&lt;=Hypothèses!$B$28-100,"oui","NON")</f>
        <v/>
      </c>
    </row>
    <row r="176" ht="15" customHeight="1" s="40">
      <c r="A176" s="60" t="inlineStr">
        <is>
          <t>CTA 4</t>
        </is>
      </c>
      <c r="B176" s="60" t="inlineStr">
        <is>
          <t>CTA4-S08</t>
        </is>
      </c>
      <c r="C176" s="60" t="inlineStr">
        <is>
          <t>N01</t>
        </is>
      </c>
      <c r="D176" s="60" t="inlineStr">
        <is>
          <t>Faux plafond couloir</t>
        </is>
      </c>
      <c r="E176" s="60" t="inlineStr">
        <is>
          <t>Soufflage</t>
        </is>
      </c>
      <c r="F176" s="60" t="inlineStr">
        <is>
          <t>HEB01 chambre</t>
        </is>
      </c>
      <c r="G176" s="61" t="n">
        <v>0.865</v>
      </c>
      <c r="H176" s="46" t="n">
        <v>810</v>
      </c>
      <c r="I176" s="62">
        <f>IF(A176="CTA 5",MIN(INDEX(Hypothèses!$C$6:$C$16,MATCH(H176,Hypothèses!$A$6:$A$16,1)),Hypothèses!$B$30),INDEX(Hypothèses!$C$6:$C$16,MATCH(H176,Hypothèses!$A$6:$A$16,1)))</f>
        <v/>
      </c>
      <c r="J176" s="63">
        <f>H176/3600/I176</f>
        <v/>
      </c>
      <c r="K176" s="60">
        <f>IF(A176="CTA 4",Hypothèses!$B$25,IF(AND(A176="CTA 5",H176&gt;4000),Hypothèses!$B$29,IF(H176&lt;=2000,Hypothèses!$B$23,Hypothèses!$B$24)))</f>
        <v/>
      </c>
      <c r="L176" s="60">
        <f>MAX(Hypothèses!$B$26,CEILING(J176/(K176/1000)*1000,Hypothèses!$B$27))</f>
        <v/>
      </c>
      <c r="M176" s="63">
        <f>L176*K176/1000000</f>
        <v/>
      </c>
      <c r="N176" s="64">
        <f>H176/3600/M176</f>
        <v/>
      </c>
      <c r="O176" s="60">
        <f>IF(N176&lt;=I176,"oui","NON")</f>
        <v/>
      </c>
      <c r="P176" s="63">
        <f>1.3*((L176/1000)*(K176/1000))^0.625/((L176/1000)+(K176/1000))^0.25</f>
        <v/>
      </c>
      <c r="Q176" s="65">
        <f>N176*P176/Hypothèses!$B$20</f>
        <v/>
      </c>
      <c r="R176" s="66">
        <f>0.25/(LOG10(Hypothèses!$B$21/(3.7*P176)+5.74/Q176^0.9))^2</f>
        <v/>
      </c>
      <c r="S176" s="64">
        <f>R176/P176*Hypothèses!$B$19*N176^2/2</f>
        <v/>
      </c>
      <c r="T176" s="62">
        <f>S176*G176*(1+Hypothèses!$B$22)</f>
        <v/>
      </c>
      <c r="U176" s="45" t="inlineStr">
        <is>
          <t>X</t>
        </is>
      </c>
      <c r="V176" s="60">
        <f>IF(K176&lt;=Hypothèses!$B$28-100,"oui","NON")</f>
        <v/>
      </c>
    </row>
    <row r="177" ht="15" customHeight="1" s="40">
      <c r="A177" s="60" t="inlineStr">
        <is>
          <t>CTA 4</t>
        </is>
      </c>
      <c r="B177" s="60" t="inlineStr">
        <is>
          <t>CTA4-S09</t>
        </is>
      </c>
      <c r="C177" s="60" t="inlineStr">
        <is>
          <t>N01</t>
        </is>
      </c>
      <c r="D177" s="60" t="inlineStr">
        <is>
          <t>Faux plafond couloir</t>
        </is>
      </c>
      <c r="E177" s="60" t="inlineStr">
        <is>
          <t>Soufflage</t>
        </is>
      </c>
      <c r="F177" s="60" t="inlineStr">
        <is>
          <t>HEB01 chambre</t>
        </is>
      </c>
      <c r="G177" s="61" t="n">
        <v>2.869</v>
      </c>
      <c r="H177" s="46" t="n">
        <v>630</v>
      </c>
      <c r="I177" s="62">
        <f>IF(A177="CTA 5",MIN(INDEX(Hypothèses!$C$6:$C$16,MATCH(H177,Hypothèses!$A$6:$A$16,1)),Hypothèses!$B$30),INDEX(Hypothèses!$C$6:$C$16,MATCH(H177,Hypothèses!$A$6:$A$16,1)))</f>
        <v/>
      </c>
      <c r="J177" s="63">
        <f>H177/3600/I177</f>
        <v/>
      </c>
      <c r="K177" s="60">
        <f>IF(A177="CTA 4",Hypothèses!$B$25,IF(AND(A177="CTA 5",H177&gt;4000),Hypothèses!$B$29,IF(H177&lt;=2000,Hypothèses!$B$23,Hypothèses!$B$24)))</f>
        <v/>
      </c>
      <c r="L177" s="60">
        <f>MAX(Hypothèses!$B$26,CEILING(J177/(K177/1000)*1000,Hypothèses!$B$27))</f>
        <v/>
      </c>
      <c r="M177" s="63">
        <f>L177*K177/1000000</f>
        <v/>
      </c>
      <c r="N177" s="64">
        <f>H177/3600/M177</f>
        <v/>
      </c>
      <c r="O177" s="60">
        <f>IF(N177&lt;=I177,"oui","NON")</f>
        <v/>
      </c>
      <c r="P177" s="63">
        <f>1.3*((L177/1000)*(K177/1000))^0.625/((L177/1000)+(K177/1000))^0.25</f>
        <v/>
      </c>
      <c r="Q177" s="65">
        <f>N177*P177/Hypothèses!$B$20</f>
        <v/>
      </c>
      <c r="R177" s="66">
        <f>0.25/(LOG10(Hypothèses!$B$21/(3.7*P177)+5.74/Q177^0.9))^2</f>
        <v/>
      </c>
      <c r="S177" s="64">
        <f>R177/P177*Hypothèses!$B$19*N177^2/2</f>
        <v/>
      </c>
      <c r="T177" s="62">
        <f>S177*G177*(1+Hypothèses!$B$22)</f>
        <v/>
      </c>
      <c r="U177" s="45" t="inlineStr">
        <is>
          <t>X</t>
        </is>
      </c>
      <c r="V177" s="60">
        <f>IF(K177&lt;=Hypothèses!$B$28-100,"oui","NON")</f>
        <v/>
      </c>
    </row>
    <row r="178" ht="15" customHeight="1" s="40">
      <c r="A178" s="60" t="inlineStr">
        <is>
          <t>CTA 4</t>
        </is>
      </c>
      <c r="B178" s="60" t="inlineStr">
        <is>
          <t>CTA4-S10</t>
        </is>
      </c>
      <c r="C178" s="60" t="inlineStr">
        <is>
          <t>N01</t>
        </is>
      </c>
      <c r="D178" s="60" t="inlineStr">
        <is>
          <t>Faux plafond couloir</t>
        </is>
      </c>
      <c r="E178" s="60" t="inlineStr">
        <is>
          <t>Soufflage</t>
        </is>
      </c>
      <c r="F178" s="60" t="inlineStr">
        <is>
          <t>HEB01 chambre</t>
        </is>
      </c>
      <c r="G178" s="61" t="n">
        <v>1.541</v>
      </c>
      <c r="H178" s="46" t="n">
        <v>630</v>
      </c>
      <c r="I178" s="62">
        <f>IF(A178="CTA 5",MIN(INDEX(Hypothèses!$C$6:$C$16,MATCH(H178,Hypothèses!$A$6:$A$16,1)),Hypothèses!$B$30),INDEX(Hypothèses!$C$6:$C$16,MATCH(H178,Hypothèses!$A$6:$A$16,1)))</f>
        <v/>
      </c>
      <c r="J178" s="63">
        <f>H178/3600/I178</f>
        <v/>
      </c>
      <c r="K178" s="60">
        <f>IF(A178="CTA 4",Hypothèses!$B$25,IF(AND(A178="CTA 5",H178&gt;4000),Hypothèses!$B$29,IF(H178&lt;=2000,Hypothèses!$B$23,Hypothèses!$B$24)))</f>
        <v/>
      </c>
      <c r="L178" s="60">
        <f>MAX(Hypothèses!$B$26,CEILING(J178/(K178/1000)*1000,Hypothèses!$B$27))</f>
        <v/>
      </c>
      <c r="M178" s="63">
        <f>L178*K178/1000000</f>
        <v/>
      </c>
      <c r="N178" s="64">
        <f>H178/3600/M178</f>
        <v/>
      </c>
      <c r="O178" s="60">
        <f>IF(N178&lt;=I178,"oui","NON")</f>
        <v/>
      </c>
      <c r="P178" s="63">
        <f>1.3*((L178/1000)*(K178/1000))^0.625/((L178/1000)+(K178/1000))^0.25</f>
        <v/>
      </c>
      <c r="Q178" s="65">
        <f>N178*P178/Hypothèses!$B$20</f>
        <v/>
      </c>
      <c r="R178" s="66">
        <f>0.25/(LOG10(Hypothèses!$B$21/(3.7*P178)+5.74/Q178^0.9))^2</f>
        <v/>
      </c>
      <c r="S178" s="64">
        <f>R178/P178*Hypothèses!$B$19*N178^2/2</f>
        <v/>
      </c>
      <c r="T178" s="62">
        <f>S178*G178*(1+Hypothèses!$B$22)</f>
        <v/>
      </c>
      <c r="U178" s="45" t="inlineStr">
        <is>
          <t>X</t>
        </is>
      </c>
      <c r="V178" s="60">
        <f>IF(K178&lt;=Hypothèses!$B$28-100,"oui","NON")</f>
        <v/>
      </c>
    </row>
    <row r="179" ht="15" customHeight="1" s="40">
      <c r="A179" s="60" t="inlineStr">
        <is>
          <t>CTA 4</t>
        </is>
      </c>
      <c r="B179" s="60" t="inlineStr">
        <is>
          <t>CTA4-S11</t>
        </is>
      </c>
      <c r="C179" s="60" t="inlineStr">
        <is>
          <t>N01</t>
        </is>
      </c>
      <c r="D179" s="60" t="inlineStr">
        <is>
          <t>Faux plafond couloir</t>
        </is>
      </c>
      <c r="E179" s="60" t="inlineStr">
        <is>
          <t>Soufflage</t>
        </is>
      </c>
      <c r="F179" s="60" t="inlineStr">
        <is>
          <t>HEB01 chambre</t>
        </is>
      </c>
      <c r="G179" s="61" t="n">
        <v>2.838</v>
      </c>
      <c r="H179" s="46" t="n">
        <v>540</v>
      </c>
      <c r="I179" s="62">
        <f>IF(A179="CTA 5",MIN(INDEX(Hypothèses!$C$6:$C$16,MATCH(H179,Hypothèses!$A$6:$A$16,1)),Hypothèses!$B$30),INDEX(Hypothèses!$C$6:$C$16,MATCH(H179,Hypothèses!$A$6:$A$16,1)))</f>
        <v/>
      </c>
      <c r="J179" s="63">
        <f>H179/3600/I179</f>
        <v/>
      </c>
      <c r="K179" s="60">
        <f>IF(A179="CTA 4",Hypothèses!$B$25,IF(AND(A179="CTA 5",H179&gt;4000),Hypothèses!$B$29,IF(H179&lt;=2000,Hypothèses!$B$23,Hypothèses!$B$24)))</f>
        <v/>
      </c>
      <c r="L179" s="60">
        <f>MAX(Hypothèses!$B$26,CEILING(J179/(K179/1000)*1000,Hypothèses!$B$27))</f>
        <v/>
      </c>
      <c r="M179" s="63">
        <f>L179*K179/1000000</f>
        <v/>
      </c>
      <c r="N179" s="64">
        <f>H179/3600/M179</f>
        <v/>
      </c>
      <c r="O179" s="60">
        <f>IF(N179&lt;=I179,"oui","NON")</f>
        <v/>
      </c>
      <c r="P179" s="63">
        <f>1.3*((L179/1000)*(K179/1000))^0.625/((L179/1000)+(K179/1000))^0.25</f>
        <v/>
      </c>
      <c r="Q179" s="65">
        <f>N179*P179/Hypothèses!$B$20</f>
        <v/>
      </c>
      <c r="R179" s="66">
        <f>0.25/(LOG10(Hypothèses!$B$21/(3.7*P179)+5.74/Q179^0.9))^2</f>
        <v/>
      </c>
      <c r="S179" s="64">
        <f>R179/P179*Hypothèses!$B$19*N179^2/2</f>
        <v/>
      </c>
      <c r="T179" s="62">
        <f>S179*G179*(1+Hypothèses!$B$22)</f>
        <v/>
      </c>
      <c r="U179" s="45" t="inlineStr">
        <is>
          <t>X</t>
        </is>
      </c>
      <c r="V179" s="60">
        <f>IF(K179&lt;=Hypothèses!$B$28-100,"oui","NON")</f>
        <v/>
      </c>
    </row>
    <row r="180" ht="15" customHeight="1" s="40">
      <c r="A180" s="60" t="inlineStr">
        <is>
          <t>CTA 4</t>
        </is>
      </c>
      <c r="B180" s="60" t="inlineStr">
        <is>
          <t>CTA4-S12</t>
        </is>
      </c>
      <c r="C180" s="60" t="inlineStr">
        <is>
          <t>N01</t>
        </is>
      </c>
      <c r="D180" s="60" t="inlineStr">
        <is>
          <t>Faux plafond couloir</t>
        </is>
      </c>
      <c r="E180" s="60" t="inlineStr">
        <is>
          <t>Soufflage</t>
        </is>
      </c>
      <c r="F180" s="60" t="inlineStr">
        <is>
          <t>HEB01 chambre</t>
        </is>
      </c>
      <c r="G180" s="61" t="n">
        <v>0.952</v>
      </c>
      <c r="H180" s="46" t="n">
        <v>360</v>
      </c>
      <c r="I180" s="62">
        <f>IF(A180="CTA 5",MIN(INDEX(Hypothèses!$C$6:$C$16,MATCH(H180,Hypothèses!$A$6:$A$16,1)),Hypothèses!$B$30),INDEX(Hypothèses!$C$6:$C$16,MATCH(H180,Hypothèses!$A$6:$A$16,1)))</f>
        <v/>
      </c>
      <c r="J180" s="63">
        <f>H180/3600/I180</f>
        <v/>
      </c>
      <c r="K180" s="60">
        <f>IF(A180="CTA 4",Hypothèses!$B$25,IF(AND(A180="CTA 5",H180&gt;4000),Hypothèses!$B$29,IF(H180&lt;=2000,Hypothèses!$B$23,Hypothèses!$B$24)))</f>
        <v/>
      </c>
      <c r="L180" s="60">
        <f>MAX(Hypothèses!$B$26,CEILING(J180/(K180/1000)*1000,Hypothèses!$B$27))</f>
        <v/>
      </c>
      <c r="M180" s="63">
        <f>L180*K180/1000000</f>
        <v/>
      </c>
      <c r="N180" s="64">
        <f>H180/3600/M180</f>
        <v/>
      </c>
      <c r="O180" s="60">
        <f>IF(N180&lt;=I180,"oui","NON")</f>
        <v/>
      </c>
      <c r="P180" s="63">
        <f>1.3*((L180/1000)*(K180/1000))^0.625/((L180/1000)+(K180/1000))^0.25</f>
        <v/>
      </c>
      <c r="Q180" s="65">
        <f>N180*P180/Hypothèses!$B$20</f>
        <v/>
      </c>
      <c r="R180" s="66">
        <f>0.25/(LOG10(Hypothèses!$B$21/(3.7*P180)+5.74/Q180^0.9))^2</f>
        <v/>
      </c>
      <c r="S180" s="64">
        <f>R180/P180*Hypothèses!$B$19*N180^2/2</f>
        <v/>
      </c>
      <c r="T180" s="62">
        <f>S180*G180*(1+Hypothèses!$B$22)</f>
        <v/>
      </c>
      <c r="U180" s="45" t="inlineStr">
        <is>
          <t>X</t>
        </is>
      </c>
      <c r="V180" s="60">
        <f>IF(K180&lt;=Hypothèses!$B$28-100,"oui","NON")</f>
        <v/>
      </c>
    </row>
    <row r="181" ht="15" customHeight="1" s="40">
      <c r="A181" s="60" t="inlineStr">
        <is>
          <t>CTA 4</t>
        </is>
      </c>
      <c r="B181" s="60" t="inlineStr">
        <is>
          <t>CTA4-S13</t>
        </is>
      </c>
      <c r="C181" s="60" t="inlineStr">
        <is>
          <t>N01</t>
        </is>
      </c>
      <c r="D181" s="60" t="inlineStr">
        <is>
          <t>Faux plafond couloir</t>
        </is>
      </c>
      <c r="E181" s="60" t="inlineStr">
        <is>
          <t>Soufflage</t>
        </is>
      </c>
      <c r="F181" s="60" t="inlineStr">
        <is>
          <t>HEB01 chambre</t>
        </is>
      </c>
      <c r="G181" s="61" t="n">
        <v>2.784</v>
      </c>
      <c r="H181" s="46" t="n">
        <v>270</v>
      </c>
      <c r="I181" s="62">
        <f>IF(A181="CTA 5",MIN(INDEX(Hypothèses!$C$6:$C$16,MATCH(H181,Hypothèses!$A$6:$A$16,1)),Hypothèses!$B$30),INDEX(Hypothèses!$C$6:$C$16,MATCH(H181,Hypothèses!$A$6:$A$16,1)))</f>
        <v/>
      </c>
      <c r="J181" s="63">
        <f>H181/3600/I181</f>
        <v/>
      </c>
      <c r="K181" s="60">
        <f>IF(A181="CTA 4",Hypothèses!$B$25,IF(AND(A181="CTA 5",H181&gt;4000),Hypothèses!$B$29,IF(H181&lt;=2000,Hypothèses!$B$23,Hypothèses!$B$24)))</f>
        <v/>
      </c>
      <c r="L181" s="60">
        <f>MAX(Hypothèses!$B$26,CEILING(J181/(K181/1000)*1000,Hypothèses!$B$27))</f>
        <v/>
      </c>
      <c r="M181" s="63">
        <f>L181*K181/1000000</f>
        <v/>
      </c>
      <c r="N181" s="64">
        <f>H181/3600/M181</f>
        <v/>
      </c>
      <c r="O181" s="60">
        <f>IF(N181&lt;=I181,"oui","NON")</f>
        <v/>
      </c>
      <c r="P181" s="63">
        <f>1.3*((L181/1000)*(K181/1000))^0.625/((L181/1000)+(K181/1000))^0.25</f>
        <v/>
      </c>
      <c r="Q181" s="65">
        <f>N181*P181/Hypothèses!$B$20</f>
        <v/>
      </c>
      <c r="R181" s="66">
        <f>0.25/(LOG10(Hypothèses!$B$21/(3.7*P181)+5.74/Q181^0.9))^2</f>
        <v/>
      </c>
      <c r="S181" s="64">
        <f>R181/P181*Hypothèses!$B$19*N181^2/2</f>
        <v/>
      </c>
      <c r="T181" s="62">
        <f>S181*G181*(1+Hypothèses!$B$22)</f>
        <v/>
      </c>
      <c r="U181" s="45" t="inlineStr">
        <is>
          <t>X</t>
        </is>
      </c>
      <c r="V181" s="60">
        <f>IF(K181&lt;=Hypothèses!$B$28-100,"oui","NON")</f>
        <v/>
      </c>
    </row>
    <row r="182" ht="15" customHeight="1" s="40">
      <c r="A182" s="60" t="inlineStr">
        <is>
          <t>CTA 4</t>
        </is>
      </c>
      <c r="B182" s="60" t="inlineStr">
        <is>
          <t>CTA4-S14</t>
        </is>
      </c>
      <c r="C182" s="60" t="inlineStr">
        <is>
          <t>N01</t>
        </is>
      </c>
      <c r="D182" s="60" t="inlineStr">
        <is>
          <t>Faux plafond couloir</t>
        </is>
      </c>
      <c r="E182" s="60" t="inlineStr">
        <is>
          <t>Soufflage</t>
        </is>
      </c>
      <c r="F182" s="60" t="inlineStr">
        <is>
          <t>HEB01 chambre</t>
        </is>
      </c>
      <c r="G182" s="61" t="n">
        <v>1.626</v>
      </c>
      <c r="H182" s="46" t="n">
        <v>270</v>
      </c>
      <c r="I182" s="62">
        <f>IF(A182="CTA 5",MIN(INDEX(Hypothèses!$C$6:$C$16,MATCH(H182,Hypothèses!$A$6:$A$16,1)),Hypothèses!$B$30),INDEX(Hypothèses!$C$6:$C$16,MATCH(H182,Hypothèses!$A$6:$A$16,1)))</f>
        <v/>
      </c>
      <c r="J182" s="63">
        <f>H182/3600/I182</f>
        <v/>
      </c>
      <c r="K182" s="60">
        <f>IF(A182="CTA 4",Hypothèses!$B$25,IF(AND(A182="CTA 5",H182&gt;4000),Hypothèses!$B$29,IF(H182&lt;=2000,Hypothèses!$B$23,Hypothèses!$B$24)))</f>
        <v/>
      </c>
      <c r="L182" s="60">
        <f>MAX(Hypothèses!$B$26,CEILING(J182/(K182/1000)*1000,Hypothèses!$B$27))</f>
        <v/>
      </c>
      <c r="M182" s="63">
        <f>L182*K182/1000000</f>
        <v/>
      </c>
      <c r="N182" s="64">
        <f>H182/3600/M182</f>
        <v/>
      </c>
      <c r="O182" s="60">
        <f>IF(N182&lt;=I182,"oui","NON")</f>
        <v/>
      </c>
      <c r="P182" s="63">
        <f>1.3*((L182/1000)*(K182/1000))^0.625/((L182/1000)+(K182/1000))^0.25</f>
        <v/>
      </c>
      <c r="Q182" s="65">
        <f>N182*P182/Hypothèses!$B$20</f>
        <v/>
      </c>
      <c r="R182" s="66">
        <f>0.25/(LOG10(Hypothèses!$B$21/(3.7*P182)+5.74/Q182^0.9))^2</f>
        <v/>
      </c>
      <c r="S182" s="64">
        <f>R182/P182*Hypothèses!$B$19*N182^2/2</f>
        <v/>
      </c>
      <c r="T182" s="62">
        <f>S182*G182*(1+Hypothèses!$B$22)</f>
        <v/>
      </c>
      <c r="U182" s="45" t="inlineStr">
        <is>
          <t>X</t>
        </is>
      </c>
      <c r="V182" s="60">
        <f>IF(K182&lt;=Hypothèses!$B$28-100,"oui","NON")</f>
        <v/>
      </c>
    </row>
    <row r="183" ht="15" customHeight="1" s="40">
      <c r="A183" s="60" t="inlineStr">
        <is>
          <t>CTA 4</t>
        </is>
      </c>
      <c r="B183" s="60" t="inlineStr">
        <is>
          <t>CTA4-S15</t>
        </is>
      </c>
      <c r="C183" s="60" t="inlineStr">
        <is>
          <t>N01</t>
        </is>
      </c>
      <c r="D183" s="60" t="inlineStr">
        <is>
          <t>Faux plafond couloir</t>
        </is>
      </c>
      <c r="E183" s="60" t="inlineStr">
        <is>
          <t>Soufflage</t>
        </is>
      </c>
      <c r="F183" s="60" t="inlineStr">
        <is>
          <t>HEB01 chambre</t>
        </is>
      </c>
      <c r="G183" s="61" t="n">
        <v>2.145</v>
      </c>
      <c r="H183" s="46" t="n">
        <v>180</v>
      </c>
      <c r="I183" s="62">
        <f>IF(A183="CTA 5",MIN(INDEX(Hypothèses!$C$6:$C$16,MATCH(H183,Hypothèses!$A$6:$A$16,1)),Hypothèses!$B$30),INDEX(Hypothèses!$C$6:$C$16,MATCH(H183,Hypothèses!$A$6:$A$16,1)))</f>
        <v/>
      </c>
      <c r="J183" s="63">
        <f>H183/3600/I183</f>
        <v/>
      </c>
      <c r="K183" s="60">
        <f>IF(A183="CTA 4",Hypothèses!$B$25,IF(AND(A183="CTA 5",H183&gt;4000),Hypothèses!$B$29,IF(H183&lt;=2000,Hypothèses!$B$23,Hypothèses!$B$24)))</f>
        <v/>
      </c>
      <c r="L183" s="60">
        <f>MAX(Hypothèses!$B$26,CEILING(J183/(K183/1000)*1000,Hypothèses!$B$27))</f>
        <v/>
      </c>
      <c r="M183" s="63">
        <f>L183*K183/1000000</f>
        <v/>
      </c>
      <c r="N183" s="64">
        <f>H183/3600/M183</f>
        <v/>
      </c>
      <c r="O183" s="60">
        <f>IF(N183&lt;=I183,"oui","NON")</f>
        <v/>
      </c>
      <c r="P183" s="63">
        <f>1.3*((L183/1000)*(K183/1000))^0.625/((L183/1000)+(K183/1000))^0.25</f>
        <v/>
      </c>
      <c r="Q183" s="65">
        <f>N183*P183/Hypothèses!$B$20</f>
        <v/>
      </c>
      <c r="R183" s="66">
        <f>0.25/(LOG10(Hypothèses!$B$21/(3.7*P183)+5.74/Q183^0.9))^2</f>
        <v/>
      </c>
      <c r="S183" s="64">
        <f>R183/P183*Hypothèses!$B$19*N183^2/2</f>
        <v/>
      </c>
      <c r="T183" s="62">
        <f>S183*G183*(1+Hypothèses!$B$22)</f>
        <v/>
      </c>
      <c r="U183" s="45" t="inlineStr">
        <is>
          <t>X</t>
        </is>
      </c>
      <c r="V183" s="60">
        <f>IF(K183&lt;=Hypothèses!$B$28-100,"oui","NON")</f>
        <v/>
      </c>
    </row>
    <row r="184" ht="15" customHeight="1" s="40">
      <c r="A184" s="60" t="inlineStr">
        <is>
          <t>CTA 4</t>
        </is>
      </c>
      <c r="B184" s="60" t="inlineStr">
        <is>
          <t>CTA4-R16</t>
        </is>
      </c>
      <c r="C184" s="60" t="inlineStr">
        <is>
          <t>Toiture</t>
        </is>
      </c>
      <c r="D184" s="60" t="inlineStr">
        <is>
          <t>Toiture (CTA → descente)</t>
        </is>
      </c>
      <c r="E184" s="60" t="inlineStr">
        <is>
          <t>Reprise</t>
        </is>
      </c>
      <c r="F184" s="60" t="inlineStr">
        <is>
          <t>Sortie CTA → descente (trémie en toiture)</t>
        </is>
      </c>
      <c r="G184" s="61" t="n">
        <v>2.85</v>
      </c>
      <c r="H184" s="46" t="n">
        <v>1170</v>
      </c>
      <c r="I184" s="62">
        <f>IF(A184="CTA 5",MIN(INDEX(Hypothèses!$C$6:$C$16,MATCH(H184,Hypothèses!$A$6:$A$16,1)),Hypothèses!$B$30),INDEX(Hypothèses!$C$6:$C$16,MATCH(H184,Hypothèses!$A$6:$A$16,1)))</f>
        <v/>
      </c>
      <c r="J184" s="63">
        <f>H184/3600/I184</f>
        <v/>
      </c>
      <c r="K184" s="60">
        <f>IF(A184="CTA 4",Hypothèses!$B$25,IF(AND(A184="CTA 5",H184&gt;4000),Hypothèses!$B$29,IF(H184&lt;=2000,Hypothèses!$B$23,Hypothèses!$B$24)))</f>
        <v/>
      </c>
      <c r="L184" s="60">
        <f>MAX(Hypothèses!$B$26,CEILING(J184/(K184/1000)*1000,Hypothèses!$B$27))</f>
        <v/>
      </c>
      <c r="M184" s="63">
        <f>L184*K184/1000000</f>
        <v/>
      </c>
      <c r="N184" s="64">
        <f>H184/3600/M184</f>
        <v/>
      </c>
      <c r="O184" s="60">
        <f>IF(N184&lt;=I184,"oui","NON")</f>
        <v/>
      </c>
      <c r="P184" s="63">
        <f>1.3*((L184/1000)*(K184/1000))^0.625/((L184/1000)+(K184/1000))^0.25</f>
        <v/>
      </c>
      <c r="Q184" s="65">
        <f>N184*P184/Hypothèses!$B$20</f>
        <v/>
      </c>
      <c r="R184" s="66">
        <f>0.25/(LOG10(Hypothèses!$B$21/(3.7*P184)+5.74/Q184^0.9))^2</f>
        <v/>
      </c>
      <c r="S184" s="64">
        <f>R184/P184*Hypothèses!$B$19*N184^2/2</f>
        <v/>
      </c>
      <c r="T184" s="62">
        <f>S184*G184*(1+Hypothèses!$B$22)</f>
        <v/>
      </c>
      <c r="U184" s="45" t="inlineStr">
        <is>
          <t>X</t>
        </is>
      </c>
      <c r="V184" s="60" t="inlineStr">
        <is>
          <t>–</t>
        </is>
      </c>
    </row>
    <row r="185" ht="15" customHeight="1" s="40">
      <c r="A185" s="60" t="inlineStr">
        <is>
          <t>CTA 4</t>
        </is>
      </c>
      <c r="B185" s="60" t="inlineStr">
        <is>
          <t>CTA4-R17</t>
        </is>
      </c>
      <c r="C185" s="60" t="inlineStr">
        <is>
          <t>N01</t>
        </is>
      </c>
      <c r="D185" s="60" t="inlineStr">
        <is>
          <t>Descente verticale</t>
        </is>
      </c>
      <c r="E185" s="60" t="inlineStr">
        <is>
          <t>Reprise</t>
        </is>
      </c>
      <c r="F185" s="60" t="inlineStr">
        <is>
          <t>Gaine verticale : toiture → plénum étage</t>
        </is>
      </c>
      <c r="G185" s="61" t="n">
        <v>1.06</v>
      </c>
      <c r="H185" s="46" t="n">
        <v>1170</v>
      </c>
      <c r="I185" s="62">
        <f>IF(A185="CTA 5",MIN(INDEX(Hypothèses!$C$6:$C$16,MATCH(H185,Hypothèses!$A$6:$A$16,1)),Hypothèses!$B$30),INDEX(Hypothèses!$C$6:$C$16,MATCH(H185,Hypothèses!$A$6:$A$16,1)))</f>
        <v/>
      </c>
      <c r="J185" s="63">
        <f>H185/3600/I185</f>
        <v/>
      </c>
      <c r="K185" s="60">
        <f>IF(A185="CTA 4",Hypothèses!$B$25,IF(AND(A185="CTA 5",H185&gt;4000),Hypothèses!$B$29,IF(H185&lt;=2000,Hypothèses!$B$23,Hypothèses!$B$24)))</f>
        <v/>
      </c>
      <c r="L185" s="60">
        <f>MAX(Hypothèses!$B$26,CEILING(J185/(K185/1000)*1000,Hypothèses!$B$27))</f>
        <v/>
      </c>
      <c r="M185" s="63">
        <f>L185*K185/1000000</f>
        <v/>
      </c>
      <c r="N185" s="64">
        <f>H185/3600/M185</f>
        <v/>
      </c>
      <c r="O185" s="60">
        <f>IF(N185&lt;=I185,"oui","NON")</f>
        <v/>
      </c>
      <c r="P185" s="63">
        <f>1.3*((L185/1000)*(K185/1000))^0.625/((L185/1000)+(K185/1000))^0.25</f>
        <v/>
      </c>
      <c r="Q185" s="65">
        <f>N185*P185/Hypothèses!$B$20</f>
        <v/>
      </c>
      <c r="R185" s="66">
        <f>0.25/(LOG10(Hypothèses!$B$21/(3.7*P185)+5.74/Q185^0.9))^2</f>
        <v/>
      </c>
      <c r="S185" s="64">
        <f>R185/P185*Hypothèses!$B$19*N185^2/2</f>
        <v/>
      </c>
      <c r="T185" s="62">
        <f>S185*G185*(1+Hypothèses!$B$22)</f>
        <v/>
      </c>
      <c r="U185" s="45" t="inlineStr">
        <is>
          <t>X</t>
        </is>
      </c>
      <c r="V185" s="60" t="inlineStr">
        <is>
          <t>–</t>
        </is>
      </c>
    </row>
    <row r="186" ht="15" customHeight="1" s="40">
      <c r="A186" s="60" t="inlineStr">
        <is>
          <t>CTA 4</t>
        </is>
      </c>
      <c r="B186" s="60" t="inlineStr">
        <is>
          <t>CTA4-R18</t>
        </is>
      </c>
      <c r="C186" s="60" t="inlineStr">
        <is>
          <t>N01</t>
        </is>
      </c>
      <c r="D186" s="60" t="inlineStr">
        <is>
          <t>Faux plafond couloir</t>
        </is>
      </c>
      <c r="E186" s="60" t="inlineStr">
        <is>
          <t>Reprise</t>
        </is>
      </c>
      <c r="F186" s="60" t="inlineStr">
        <is>
          <t>HEB01 chambre</t>
        </is>
      </c>
      <c r="G186" s="61" t="n">
        <v>1.983</v>
      </c>
      <c r="H186" s="46" t="n">
        <v>1170</v>
      </c>
      <c r="I186" s="62">
        <f>IF(A186="CTA 5",MIN(INDEX(Hypothèses!$C$6:$C$16,MATCH(H186,Hypothèses!$A$6:$A$16,1)),Hypothèses!$B$30),INDEX(Hypothèses!$C$6:$C$16,MATCH(H186,Hypothèses!$A$6:$A$16,1)))</f>
        <v/>
      </c>
      <c r="J186" s="63">
        <f>H186/3600/I186</f>
        <v/>
      </c>
      <c r="K186" s="60">
        <f>IF(A186="CTA 4",Hypothèses!$B$25,IF(AND(A186="CTA 5",H186&gt;4000),Hypothèses!$B$29,IF(H186&lt;=2000,Hypothèses!$B$23,Hypothèses!$B$24)))</f>
        <v/>
      </c>
      <c r="L186" s="60">
        <f>MAX(Hypothèses!$B$26,CEILING(J186/(K186/1000)*1000,Hypothèses!$B$27))</f>
        <v/>
      </c>
      <c r="M186" s="63">
        <f>L186*K186/1000000</f>
        <v/>
      </c>
      <c r="N186" s="64">
        <f>H186/3600/M186</f>
        <v/>
      </c>
      <c r="O186" s="60">
        <f>IF(N186&lt;=I186,"oui","NON")</f>
        <v/>
      </c>
      <c r="P186" s="63">
        <f>1.3*((L186/1000)*(K186/1000))^0.625/((L186/1000)+(K186/1000))^0.25</f>
        <v/>
      </c>
      <c r="Q186" s="65">
        <f>N186*P186/Hypothèses!$B$20</f>
        <v/>
      </c>
      <c r="R186" s="66">
        <f>0.25/(LOG10(Hypothèses!$B$21/(3.7*P186)+5.74/Q186^0.9))^2</f>
        <v/>
      </c>
      <c r="S186" s="64">
        <f>R186/P186*Hypothèses!$B$19*N186^2/2</f>
        <v/>
      </c>
      <c r="T186" s="62">
        <f>S186*G186*(1+Hypothèses!$B$22)</f>
        <v/>
      </c>
      <c r="U186" s="45" t="inlineStr">
        <is>
          <t>X</t>
        </is>
      </c>
      <c r="V186" s="60">
        <f>IF(K186&lt;=Hypothèses!$B$28-100,"oui","NON")</f>
        <v/>
      </c>
    </row>
    <row r="187" ht="15" customHeight="1" s="40">
      <c r="A187" s="60" t="inlineStr">
        <is>
          <t>CTA 4</t>
        </is>
      </c>
      <c r="B187" s="60" t="inlineStr">
        <is>
          <t>CTA4-R19</t>
        </is>
      </c>
      <c r="C187" s="60" t="inlineStr">
        <is>
          <t>N01</t>
        </is>
      </c>
      <c r="D187" s="60" t="inlineStr">
        <is>
          <t>Faux plafond couloir</t>
        </is>
      </c>
      <c r="E187" s="60" t="inlineStr">
        <is>
          <t>Reprise</t>
        </is>
      </c>
      <c r="F187" s="60" t="inlineStr">
        <is>
          <t>HEB01 chambre</t>
        </is>
      </c>
      <c r="G187" s="61" t="n">
        <v>4.08</v>
      </c>
      <c r="H187" s="46" t="n">
        <v>1170</v>
      </c>
      <c r="I187" s="62">
        <f>IF(A187="CTA 5",MIN(INDEX(Hypothèses!$C$6:$C$16,MATCH(H187,Hypothèses!$A$6:$A$16,1)),Hypothèses!$B$30),INDEX(Hypothèses!$C$6:$C$16,MATCH(H187,Hypothèses!$A$6:$A$16,1)))</f>
        <v/>
      </c>
      <c r="J187" s="63">
        <f>H187/3600/I187</f>
        <v/>
      </c>
      <c r="K187" s="60">
        <f>IF(A187="CTA 4",Hypothèses!$B$25,IF(AND(A187="CTA 5",H187&gt;4000),Hypothèses!$B$29,IF(H187&lt;=2000,Hypothèses!$B$23,Hypothèses!$B$24)))</f>
        <v/>
      </c>
      <c r="L187" s="60">
        <f>MAX(Hypothèses!$B$26,CEILING(J187/(K187/1000)*1000,Hypothèses!$B$27))</f>
        <v/>
      </c>
      <c r="M187" s="63">
        <f>L187*K187/1000000</f>
        <v/>
      </c>
      <c r="N187" s="64">
        <f>H187/3600/M187</f>
        <v/>
      </c>
      <c r="O187" s="60">
        <f>IF(N187&lt;=I187,"oui","NON")</f>
        <v/>
      </c>
      <c r="P187" s="63">
        <f>1.3*((L187/1000)*(K187/1000))^0.625/((L187/1000)+(K187/1000))^0.25</f>
        <v/>
      </c>
      <c r="Q187" s="65">
        <f>N187*P187/Hypothèses!$B$20</f>
        <v/>
      </c>
      <c r="R187" s="66">
        <f>0.25/(LOG10(Hypothèses!$B$21/(3.7*P187)+5.74/Q187^0.9))^2</f>
        <v/>
      </c>
      <c r="S187" s="64">
        <f>R187/P187*Hypothèses!$B$19*N187^2/2</f>
        <v/>
      </c>
      <c r="T187" s="62">
        <f>S187*G187*(1+Hypothèses!$B$22)</f>
        <v/>
      </c>
      <c r="U187" s="45" t="inlineStr">
        <is>
          <t>X</t>
        </is>
      </c>
      <c r="V187" s="60">
        <f>IF(K187&lt;=Hypothèses!$B$28-100,"oui","NON")</f>
        <v/>
      </c>
    </row>
    <row r="188" ht="15" customHeight="1" s="40">
      <c r="A188" s="60" t="inlineStr">
        <is>
          <t>CTA 4</t>
        </is>
      </c>
      <c r="B188" s="60" t="inlineStr">
        <is>
          <t>CTA4-R20</t>
        </is>
      </c>
      <c r="C188" s="60" t="inlineStr">
        <is>
          <t>N01</t>
        </is>
      </c>
      <c r="D188" s="60" t="inlineStr">
        <is>
          <t>Faux plafond couloir</t>
        </is>
      </c>
      <c r="E188" s="60" t="inlineStr">
        <is>
          <t>Reprise</t>
        </is>
      </c>
      <c r="F188" s="60" t="inlineStr">
        <is>
          <t>HEB01 chambre</t>
        </is>
      </c>
      <c r="G188" s="61" t="n">
        <v>3.74</v>
      </c>
      <c r="H188" s="46" t="n">
        <v>990</v>
      </c>
      <c r="I188" s="62">
        <f>IF(A188="CTA 5",MIN(INDEX(Hypothèses!$C$6:$C$16,MATCH(H188,Hypothèses!$A$6:$A$16,1)),Hypothèses!$B$30),INDEX(Hypothèses!$C$6:$C$16,MATCH(H188,Hypothèses!$A$6:$A$16,1)))</f>
        <v/>
      </c>
      <c r="J188" s="63">
        <f>H188/3600/I188</f>
        <v/>
      </c>
      <c r="K188" s="60">
        <f>IF(A188="CTA 4",Hypothèses!$B$25,IF(AND(A188="CTA 5",H188&gt;4000),Hypothèses!$B$29,IF(H188&lt;=2000,Hypothèses!$B$23,Hypothèses!$B$24)))</f>
        <v/>
      </c>
      <c r="L188" s="60">
        <f>MAX(Hypothèses!$B$26,CEILING(J188/(K188/1000)*1000,Hypothèses!$B$27))</f>
        <v/>
      </c>
      <c r="M188" s="63">
        <f>L188*K188/1000000</f>
        <v/>
      </c>
      <c r="N188" s="64">
        <f>H188/3600/M188</f>
        <v/>
      </c>
      <c r="O188" s="60">
        <f>IF(N188&lt;=I188,"oui","NON")</f>
        <v/>
      </c>
      <c r="P188" s="63">
        <f>1.3*((L188/1000)*(K188/1000))^0.625/((L188/1000)+(K188/1000))^0.25</f>
        <v/>
      </c>
      <c r="Q188" s="65">
        <f>N188*P188/Hypothèses!$B$20</f>
        <v/>
      </c>
      <c r="R188" s="66">
        <f>0.25/(LOG10(Hypothèses!$B$21/(3.7*P188)+5.74/Q188^0.9))^2</f>
        <v/>
      </c>
      <c r="S188" s="64">
        <f>R188/P188*Hypothèses!$B$19*N188^2/2</f>
        <v/>
      </c>
      <c r="T188" s="62">
        <f>S188*G188*(1+Hypothèses!$B$22)</f>
        <v/>
      </c>
      <c r="U188" s="45" t="inlineStr">
        <is>
          <t>X</t>
        </is>
      </c>
      <c r="V188" s="60">
        <f>IF(K188&lt;=Hypothèses!$B$28-100,"oui","NON")</f>
        <v/>
      </c>
    </row>
    <row r="189" ht="15" customHeight="1" s="40">
      <c r="A189" s="60" t="inlineStr">
        <is>
          <t>CTA 4</t>
        </is>
      </c>
      <c r="B189" s="60" t="inlineStr">
        <is>
          <t>CTA4-R21</t>
        </is>
      </c>
      <c r="C189" s="60" t="inlineStr">
        <is>
          <t>N01</t>
        </is>
      </c>
      <c r="D189" s="60" t="inlineStr">
        <is>
          <t>Faux plafond couloir</t>
        </is>
      </c>
      <c r="E189" s="60" t="inlineStr">
        <is>
          <t>Reprise</t>
        </is>
      </c>
      <c r="F189" s="60" t="inlineStr">
        <is>
          <t>HEB01 chambre</t>
        </is>
      </c>
      <c r="G189" s="61" t="n">
        <v>1.448</v>
      </c>
      <c r="H189" s="46" t="n">
        <v>990</v>
      </c>
      <c r="I189" s="62">
        <f>IF(A189="CTA 5",MIN(INDEX(Hypothèses!$C$6:$C$16,MATCH(H189,Hypothèses!$A$6:$A$16,1)),Hypothèses!$B$30),INDEX(Hypothèses!$C$6:$C$16,MATCH(H189,Hypothèses!$A$6:$A$16,1)))</f>
        <v/>
      </c>
      <c r="J189" s="63">
        <f>H189/3600/I189</f>
        <v/>
      </c>
      <c r="K189" s="60">
        <f>IF(A189="CTA 4",Hypothèses!$B$25,IF(AND(A189="CTA 5",H189&gt;4000),Hypothèses!$B$29,IF(H189&lt;=2000,Hypothèses!$B$23,Hypothèses!$B$24)))</f>
        <v/>
      </c>
      <c r="L189" s="60">
        <f>MAX(Hypothèses!$B$26,CEILING(J189/(K189/1000)*1000,Hypothèses!$B$27))</f>
        <v/>
      </c>
      <c r="M189" s="63">
        <f>L189*K189/1000000</f>
        <v/>
      </c>
      <c r="N189" s="64">
        <f>H189/3600/M189</f>
        <v/>
      </c>
      <c r="O189" s="60">
        <f>IF(N189&lt;=I189,"oui","NON")</f>
        <v/>
      </c>
      <c r="P189" s="63">
        <f>1.3*((L189/1000)*(K189/1000))^0.625/((L189/1000)+(K189/1000))^0.25</f>
        <v/>
      </c>
      <c r="Q189" s="65">
        <f>N189*P189/Hypothèses!$B$20</f>
        <v/>
      </c>
      <c r="R189" s="66">
        <f>0.25/(LOG10(Hypothèses!$B$21/(3.7*P189)+5.74/Q189^0.9))^2</f>
        <v/>
      </c>
      <c r="S189" s="64">
        <f>R189/P189*Hypothèses!$B$19*N189^2/2</f>
        <v/>
      </c>
      <c r="T189" s="62">
        <f>S189*G189*(1+Hypothèses!$B$22)</f>
        <v/>
      </c>
      <c r="U189" s="45" t="inlineStr">
        <is>
          <t>X</t>
        </is>
      </c>
      <c r="V189" s="60">
        <f>IF(K189&lt;=Hypothèses!$B$28-100,"oui","NON")</f>
        <v/>
      </c>
    </row>
    <row r="190" ht="15" customHeight="1" s="40">
      <c r="A190" s="60" t="inlineStr">
        <is>
          <t>CTA 4</t>
        </is>
      </c>
      <c r="B190" s="60" t="inlineStr">
        <is>
          <t>CTA4-R22</t>
        </is>
      </c>
      <c r="C190" s="60" t="inlineStr">
        <is>
          <t>N01</t>
        </is>
      </c>
      <c r="D190" s="60" t="inlineStr">
        <is>
          <t>Faux plafond couloir</t>
        </is>
      </c>
      <c r="E190" s="60" t="inlineStr">
        <is>
          <t>Reprise</t>
        </is>
      </c>
      <c r="F190" s="60" t="inlineStr">
        <is>
          <t>HEB01 chambre</t>
        </is>
      </c>
      <c r="G190" s="61" t="n">
        <v>2.929</v>
      </c>
      <c r="H190" s="46" t="n">
        <v>810</v>
      </c>
      <c r="I190" s="62">
        <f>IF(A190="CTA 5",MIN(INDEX(Hypothèses!$C$6:$C$16,MATCH(H190,Hypothèses!$A$6:$A$16,1)),Hypothèses!$B$30),INDEX(Hypothèses!$C$6:$C$16,MATCH(H190,Hypothèses!$A$6:$A$16,1)))</f>
        <v/>
      </c>
      <c r="J190" s="63">
        <f>H190/3600/I190</f>
        <v/>
      </c>
      <c r="K190" s="60">
        <f>IF(A190="CTA 4",Hypothèses!$B$25,IF(AND(A190="CTA 5",H190&gt;4000),Hypothèses!$B$29,IF(H190&lt;=2000,Hypothèses!$B$23,Hypothèses!$B$24)))</f>
        <v/>
      </c>
      <c r="L190" s="60">
        <f>MAX(Hypothèses!$B$26,CEILING(J190/(K190/1000)*1000,Hypothèses!$B$27))</f>
        <v/>
      </c>
      <c r="M190" s="63">
        <f>L190*K190/1000000</f>
        <v/>
      </c>
      <c r="N190" s="64">
        <f>H190/3600/M190</f>
        <v/>
      </c>
      <c r="O190" s="60">
        <f>IF(N190&lt;=I190,"oui","NON")</f>
        <v/>
      </c>
      <c r="P190" s="63">
        <f>1.3*((L190/1000)*(K190/1000))^0.625/((L190/1000)+(K190/1000))^0.25</f>
        <v/>
      </c>
      <c r="Q190" s="65">
        <f>N190*P190/Hypothèses!$B$20</f>
        <v/>
      </c>
      <c r="R190" s="66">
        <f>0.25/(LOG10(Hypothèses!$B$21/(3.7*P190)+5.74/Q190^0.9))^2</f>
        <v/>
      </c>
      <c r="S190" s="64">
        <f>R190/P190*Hypothèses!$B$19*N190^2/2</f>
        <v/>
      </c>
      <c r="T190" s="62">
        <f>S190*G190*(1+Hypothèses!$B$22)</f>
        <v/>
      </c>
      <c r="U190" s="45" t="inlineStr">
        <is>
          <t>X</t>
        </is>
      </c>
      <c r="V190" s="60">
        <f>IF(K190&lt;=Hypothèses!$B$28-100,"oui","NON")</f>
        <v/>
      </c>
    </row>
    <row r="191" ht="15" customHeight="1" s="40">
      <c r="A191" s="60" t="inlineStr">
        <is>
          <t>CTA 4</t>
        </is>
      </c>
      <c r="B191" s="60" t="inlineStr">
        <is>
          <t>CTA4-R23</t>
        </is>
      </c>
      <c r="C191" s="60" t="inlineStr">
        <is>
          <t>N01</t>
        </is>
      </c>
      <c r="D191" s="60" t="inlineStr">
        <is>
          <t>Faux plafond couloir</t>
        </is>
      </c>
      <c r="E191" s="60" t="inlineStr">
        <is>
          <t>Reprise</t>
        </is>
      </c>
      <c r="F191" s="60" t="inlineStr">
        <is>
          <t>HEB01 chambre</t>
        </is>
      </c>
      <c r="G191" s="61" t="n">
        <v>0.865</v>
      </c>
      <c r="H191" s="46" t="n">
        <v>810</v>
      </c>
      <c r="I191" s="62">
        <f>IF(A191="CTA 5",MIN(INDEX(Hypothèses!$C$6:$C$16,MATCH(H191,Hypothèses!$A$6:$A$16,1)),Hypothèses!$B$30),INDEX(Hypothèses!$C$6:$C$16,MATCH(H191,Hypothèses!$A$6:$A$16,1)))</f>
        <v/>
      </c>
      <c r="J191" s="63">
        <f>H191/3600/I191</f>
        <v/>
      </c>
      <c r="K191" s="60">
        <f>IF(A191="CTA 4",Hypothèses!$B$25,IF(AND(A191="CTA 5",H191&gt;4000),Hypothèses!$B$29,IF(H191&lt;=2000,Hypothèses!$B$23,Hypothèses!$B$24)))</f>
        <v/>
      </c>
      <c r="L191" s="60">
        <f>MAX(Hypothèses!$B$26,CEILING(J191/(K191/1000)*1000,Hypothèses!$B$27))</f>
        <v/>
      </c>
      <c r="M191" s="63">
        <f>L191*K191/1000000</f>
        <v/>
      </c>
      <c r="N191" s="64">
        <f>H191/3600/M191</f>
        <v/>
      </c>
      <c r="O191" s="60">
        <f>IF(N191&lt;=I191,"oui","NON")</f>
        <v/>
      </c>
      <c r="P191" s="63">
        <f>1.3*((L191/1000)*(K191/1000))^0.625/((L191/1000)+(K191/1000))^0.25</f>
        <v/>
      </c>
      <c r="Q191" s="65">
        <f>N191*P191/Hypothèses!$B$20</f>
        <v/>
      </c>
      <c r="R191" s="66">
        <f>0.25/(LOG10(Hypothèses!$B$21/(3.7*P191)+5.74/Q191^0.9))^2</f>
        <v/>
      </c>
      <c r="S191" s="64">
        <f>R191/P191*Hypothèses!$B$19*N191^2/2</f>
        <v/>
      </c>
      <c r="T191" s="62">
        <f>S191*G191*(1+Hypothèses!$B$22)</f>
        <v/>
      </c>
      <c r="U191" s="45" t="inlineStr">
        <is>
          <t>X</t>
        </is>
      </c>
      <c r="V191" s="60">
        <f>IF(K191&lt;=Hypothèses!$B$28-100,"oui","NON")</f>
        <v/>
      </c>
    </row>
    <row r="192" ht="15" customHeight="1" s="40">
      <c r="A192" s="60" t="inlineStr">
        <is>
          <t>CTA 4</t>
        </is>
      </c>
      <c r="B192" s="60" t="inlineStr">
        <is>
          <t>CTA4-R24</t>
        </is>
      </c>
      <c r="C192" s="60" t="inlineStr">
        <is>
          <t>N01</t>
        </is>
      </c>
      <c r="D192" s="60" t="inlineStr">
        <is>
          <t>Faux plafond couloir</t>
        </is>
      </c>
      <c r="E192" s="60" t="inlineStr">
        <is>
          <t>Reprise</t>
        </is>
      </c>
      <c r="F192" s="60" t="inlineStr">
        <is>
          <t>HEB01 chambre</t>
        </is>
      </c>
      <c r="G192" s="61" t="n">
        <v>2.869</v>
      </c>
      <c r="H192" s="46" t="n">
        <v>630</v>
      </c>
      <c r="I192" s="62">
        <f>IF(A192="CTA 5",MIN(INDEX(Hypothèses!$C$6:$C$16,MATCH(H192,Hypothèses!$A$6:$A$16,1)),Hypothèses!$B$30),INDEX(Hypothèses!$C$6:$C$16,MATCH(H192,Hypothèses!$A$6:$A$16,1)))</f>
        <v/>
      </c>
      <c r="J192" s="63">
        <f>H192/3600/I192</f>
        <v/>
      </c>
      <c r="K192" s="60">
        <f>IF(A192="CTA 4",Hypothèses!$B$25,IF(AND(A192="CTA 5",H192&gt;4000),Hypothèses!$B$29,IF(H192&lt;=2000,Hypothèses!$B$23,Hypothèses!$B$24)))</f>
        <v/>
      </c>
      <c r="L192" s="60">
        <f>MAX(Hypothèses!$B$26,CEILING(J192/(K192/1000)*1000,Hypothèses!$B$27))</f>
        <v/>
      </c>
      <c r="M192" s="63">
        <f>L192*K192/1000000</f>
        <v/>
      </c>
      <c r="N192" s="64">
        <f>H192/3600/M192</f>
        <v/>
      </c>
      <c r="O192" s="60">
        <f>IF(N192&lt;=I192,"oui","NON")</f>
        <v/>
      </c>
      <c r="P192" s="63">
        <f>1.3*((L192/1000)*(K192/1000))^0.625/((L192/1000)+(K192/1000))^0.25</f>
        <v/>
      </c>
      <c r="Q192" s="65">
        <f>N192*P192/Hypothèses!$B$20</f>
        <v/>
      </c>
      <c r="R192" s="66">
        <f>0.25/(LOG10(Hypothèses!$B$21/(3.7*P192)+5.74/Q192^0.9))^2</f>
        <v/>
      </c>
      <c r="S192" s="64">
        <f>R192/P192*Hypothèses!$B$19*N192^2/2</f>
        <v/>
      </c>
      <c r="T192" s="62">
        <f>S192*G192*(1+Hypothèses!$B$22)</f>
        <v/>
      </c>
      <c r="U192" s="45" t="inlineStr">
        <is>
          <t>X</t>
        </is>
      </c>
      <c r="V192" s="60">
        <f>IF(K192&lt;=Hypothèses!$B$28-100,"oui","NON")</f>
        <v/>
      </c>
    </row>
    <row r="193" ht="15" customHeight="1" s="40">
      <c r="A193" s="60" t="inlineStr">
        <is>
          <t>CTA 4</t>
        </is>
      </c>
      <c r="B193" s="60" t="inlineStr">
        <is>
          <t>CTA4-R25</t>
        </is>
      </c>
      <c r="C193" s="60" t="inlineStr">
        <is>
          <t>N01</t>
        </is>
      </c>
      <c r="D193" s="60" t="inlineStr">
        <is>
          <t>Faux plafond couloir</t>
        </is>
      </c>
      <c r="E193" s="60" t="inlineStr">
        <is>
          <t>Reprise</t>
        </is>
      </c>
      <c r="F193" s="60" t="inlineStr">
        <is>
          <t>HEB01 chambre</t>
        </is>
      </c>
      <c r="G193" s="61" t="n">
        <v>1.541</v>
      </c>
      <c r="H193" s="46" t="n">
        <v>630</v>
      </c>
      <c r="I193" s="62">
        <f>IF(A193="CTA 5",MIN(INDEX(Hypothèses!$C$6:$C$16,MATCH(H193,Hypothèses!$A$6:$A$16,1)),Hypothèses!$B$30),INDEX(Hypothèses!$C$6:$C$16,MATCH(H193,Hypothèses!$A$6:$A$16,1)))</f>
        <v/>
      </c>
      <c r="J193" s="63">
        <f>H193/3600/I193</f>
        <v/>
      </c>
      <c r="K193" s="60">
        <f>IF(A193="CTA 4",Hypothèses!$B$25,IF(AND(A193="CTA 5",H193&gt;4000),Hypothèses!$B$29,IF(H193&lt;=2000,Hypothèses!$B$23,Hypothèses!$B$24)))</f>
        <v/>
      </c>
      <c r="L193" s="60">
        <f>MAX(Hypothèses!$B$26,CEILING(J193/(K193/1000)*1000,Hypothèses!$B$27))</f>
        <v/>
      </c>
      <c r="M193" s="63">
        <f>L193*K193/1000000</f>
        <v/>
      </c>
      <c r="N193" s="64">
        <f>H193/3600/M193</f>
        <v/>
      </c>
      <c r="O193" s="60">
        <f>IF(N193&lt;=I193,"oui","NON")</f>
        <v/>
      </c>
      <c r="P193" s="63">
        <f>1.3*((L193/1000)*(K193/1000))^0.625/((L193/1000)+(K193/1000))^0.25</f>
        <v/>
      </c>
      <c r="Q193" s="65">
        <f>N193*P193/Hypothèses!$B$20</f>
        <v/>
      </c>
      <c r="R193" s="66">
        <f>0.25/(LOG10(Hypothèses!$B$21/(3.7*P193)+5.74/Q193^0.9))^2</f>
        <v/>
      </c>
      <c r="S193" s="64">
        <f>R193/P193*Hypothèses!$B$19*N193^2/2</f>
        <v/>
      </c>
      <c r="T193" s="62">
        <f>S193*G193*(1+Hypothèses!$B$22)</f>
        <v/>
      </c>
      <c r="U193" s="45" t="inlineStr">
        <is>
          <t>X</t>
        </is>
      </c>
      <c r="V193" s="60">
        <f>IF(K193&lt;=Hypothèses!$B$28-100,"oui","NON")</f>
        <v/>
      </c>
    </row>
    <row r="194" ht="15" customHeight="1" s="40">
      <c r="A194" s="60" t="inlineStr">
        <is>
          <t>CTA 4</t>
        </is>
      </c>
      <c r="B194" s="60" t="inlineStr">
        <is>
          <t>CTA4-R26</t>
        </is>
      </c>
      <c r="C194" s="60" t="inlineStr">
        <is>
          <t>N01</t>
        </is>
      </c>
      <c r="D194" s="60" t="inlineStr">
        <is>
          <t>Faux plafond couloir</t>
        </is>
      </c>
      <c r="E194" s="60" t="inlineStr">
        <is>
          <t>Reprise</t>
        </is>
      </c>
      <c r="F194" s="60" t="inlineStr">
        <is>
          <t>HEB01 chambre</t>
        </is>
      </c>
      <c r="G194" s="61" t="n">
        <v>2.838</v>
      </c>
      <c r="H194" s="46" t="n">
        <v>540</v>
      </c>
      <c r="I194" s="62">
        <f>IF(A194="CTA 5",MIN(INDEX(Hypothèses!$C$6:$C$16,MATCH(H194,Hypothèses!$A$6:$A$16,1)),Hypothèses!$B$30),INDEX(Hypothèses!$C$6:$C$16,MATCH(H194,Hypothèses!$A$6:$A$16,1)))</f>
        <v/>
      </c>
      <c r="J194" s="63">
        <f>H194/3600/I194</f>
        <v/>
      </c>
      <c r="K194" s="60">
        <f>IF(A194="CTA 4",Hypothèses!$B$25,IF(AND(A194="CTA 5",H194&gt;4000),Hypothèses!$B$29,IF(H194&lt;=2000,Hypothèses!$B$23,Hypothèses!$B$24)))</f>
        <v/>
      </c>
      <c r="L194" s="60">
        <f>MAX(Hypothèses!$B$26,CEILING(J194/(K194/1000)*1000,Hypothèses!$B$27))</f>
        <v/>
      </c>
      <c r="M194" s="63">
        <f>L194*K194/1000000</f>
        <v/>
      </c>
      <c r="N194" s="64">
        <f>H194/3600/M194</f>
        <v/>
      </c>
      <c r="O194" s="60">
        <f>IF(N194&lt;=I194,"oui","NON")</f>
        <v/>
      </c>
      <c r="P194" s="63">
        <f>1.3*((L194/1000)*(K194/1000))^0.625/((L194/1000)+(K194/1000))^0.25</f>
        <v/>
      </c>
      <c r="Q194" s="65">
        <f>N194*P194/Hypothèses!$B$20</f>
        <v/>
      </c>
      <c r="R194" s="66">
        <f>0.25/(LOG10(Hypothèses!$B$21/(3.7*P194)+5.74/Q194^0.9))^2</f>
        <v/>
      </c>
      <c r="S194" s="64">
        <f>R194/P194*Hypothèses!$B$19*N194^2/2</f>
        <v/>
      </c>
      <c r="T194" s="62">
        <f>S194*G194*(1+Hypothèses!$B$22)</f>
        <v/>
      </c>
      <c r="U194" s="45" t="inlineStr">
        <is>
          <t>X</t>
        </is>
      </c>
      <c r="V194" s="60">
        <f>IF(K194&lt;=Hypothèses!$B$28-100,"oui","NON")</f>
        <v/>
      </c>
    </row>
    <row r="195" ht="15" customHeight="1" s="40">
      <c r="A195" s="60" t="inlineStr">
        <is>
          <t>CTA 4</t>
        </is>
      </c>
      <c r="B195" s="60" t="inlineStr">
        <is>
          <t>CTA4-R27</t>
        </is>
      </c>
      <c r="C195" s="60" t="inlineStr">
        <is>
          <t>N01</t>
        </is>
      </c>
      <c r="D195" s="60" t="inlineStr">
        <is>
          <t>Faux plafond couloir</t>
        </is>
      </c>
      <c r="E195" s="60" t="inlineStr">
        <is>
          <t>Reprise</t>
        </is>
      </c>
      <c r="F195" s="60" t="inlineStr">
        <is>
          <t>HEB01 chambre</t>
        </is>
      </c>
      <c r="G195" s="61" t="n">
        <v>0.952</v>
      </c>
      <c r="H195" s="46" t="n">
        <v>360</v>
      </c>
      <c r="I195" s="62">
        <f>IF(A195="CTA 5",MIN(INDEX(Hypothèses!$C$6:$C$16,MATCH(H195,Hypothèses!$A$6:$A$16,1)),Hypothèses!$B$30),INDEX(Hypothèses!$C$6:$C$16,MATCH(H195,Hypothèses!$A$6:$A$16,1)))</f>
        <v/>
      </c>
      <c r="J195" s="63">
        <f>H195/3600/I195</f>
        <v/>
      </c>
      <c r="K195" s="60">
        <f>IF(A195="CTA 4",Hypothèses!$B$25,IF(AND(A195="CTA 5",H195&gt;4000),Hypothèses!$B$29,IF(H195&lt;=2000,Hypothèses!$B$23,Hypothèses!$B$24)))</f>
        <v/>
      </c>
      <c r="L195" s="60">
        <f>MAX(Hypothèses!$B$26,CEILING(J195/(K195/1000)*1000,Hypothèses!$B$27))</f>
        <v/>
      </c>
      <c r="M195" s="63">
        <f>L195*K195/1000000</f>
        <v/>
      </c>
      <c r="N195" s="64">
        <f>H195/3600/M195</f>
        <v/>
      </c>
      <c r="O195" s="60">
        <f>IF(N195&lt;=I195,"oui","NON")</f>
        <v/>
      </c>
      <c r="P195" s="63">
        <f>1.3*((L195/1000)*(K195/1000))^0.625/((L195/1000)+(K195/1000))^0.25</f>
        <v/>
      </c>
      <c r="Q195" s="65">
        <f>N195*P195/Hypothèses!$B$20</f>
        <v/>
      </c>
      <c r="R195" s="66">
        <f>0.25/(LOG10(Hypothèses!$B$21/(3.7*P195)+5.74/Q195^0.9))^2</f>
        <v/>
      </c>
      <c r="S195" s="64">
        <f>R195/P195*Hypothèses!$B$19*N195^2/2</f>
        <v/>
      </c>
      <c r="T195" s="62">
        <f>S195*G195*(1+Hypothèses!$B$22)</f>
        <v/>
      </c>
      <c r="U195" s="45" t="inlineStr">
        <is>
          <t>X</t>
        </is>
      </c>
      <c r="V195" s="60">
        <f>IF(K195&lt;=Hypothèses!$B$28-100,"oui","NON")</f>
        <v/>
      </c>
    </row>
    <row r="196" ht="15" customHeight="1" s="40">
      <c r="A196" s="60" t="inlineStr">
        <is>
          <t>CTA 4</t>
        </is>
      </c>
      <c r="B196" s="60" t="inlineStr">
        <is>
          <t>CTA4-R28</t>
        </is>
      </c>
      <c r="C196" s="60" t="inlineStr">
        <is>
          <t>N01</t>
        </is>
      </c>
      <c r="D196" s="60" t="inlineStr">
        <is>
          <t>Faux plafond couloir</t>
        </is>
      </c>
      <c r="E196" s="60" t="inlineStr">
        <is>
          <t>Reprise</t>
        </is>
      </c>
      <c r="F196" s="60" t="inlineStr">
        <is>
          <t>HEB01 chambre</t>
        </is>
      </c>
      <c r="G196" s="61" t="n">
        <v>2.784</v>
      </c>
      <c r="H196" s="46" t="n">
        <v>270</v>
      </c>
      <c r="I196" s="62">
        <f>IF(A196="CTA 5",MIN(INDEX(Hypothèses!$C$6:$C$16,MATCH(H196,Hypothèses!$A$6:$A$16,1)),Hypothèses!$B$30),INDEX(Hypothèses!$C$6:$C$16,MATCH(H196,Hypothèses!$A$6:$A$16,1)))</f>
        <v/>
      </c>
      <c r="J196" s="63">
        <f>H196/3600/I196</f>
        <v/>
      </c>
      <c r="K196" s="60">
        <f>IF(A196="CTA 4",Hypothèses!$B$25,IF(AND(A196="CTA 5",H196&gt;4000),Hypothèses!$B$29,IF(H196&lt;=2000,Hypothèses!$B$23,Hypothèses!$B$24)))</f>
        <v/>
      </c>
      <c r="L196" s="60">
        <f>MAX(Hypothèses!$B$26,CEILING(J196/(K196/1000)*1000,Hypothèses!$B$27))</f>
        <v/>
      </c>
      <c r="M196" s="63">
        <f>L196*K196/1000000</f>
        <v/>
      </c>
      <c r="N196" s="64">
        <f>H196/3600/M196</f>
        <v/>
      </c>
      <c r="O196" s="60">
        <f>IF(N196&lt;=I196,"oui","NON")</f>
        <v/>
      </c>
      <c r="P196" s="63">
        <f>1.3*((L196/1000)*(K196/1000))^0.625/((L196/1000)+(K196/1000))^0.25</f>
        <v/>
      </c>
      <c r="Q196" s="65">
        <f>N196*P196/Hypothèses!$B$20</f>
        <v/>
      </c>
      <c r="R196" s="66">
        <f>0.25/(LOG10(Hypothèses!$B$21/(3.7*P196)+5.74/Q196^0.9))^2</f>
        <v/>
      </c>
      <c r="S196" s="64">
        <f>R196/P196*Hypothèses!$B$19*N196^2/2</f>
        <v/>
      </c>
      <c r="T196" s="62">
        <f>S196*G196*(1+Hypothèses!$B$22)</f>
        <v/>
      </c>
      <c r="U196" s="45" t="inlineStr">
        <is>
          <t>X</t>
        </is>
      </c>
      <c r="V196" s="60">
        <f>IF(K196&lt;=Hypothèses!$B$28-100,"oui","NON")</f>
        <v/>
      </c>
    </row>
    <row r="197" ht="15" customHeight="1" s="40">
      <c r="A197" s="60" t="inlineStr">
        <is>
          <t>CTA 4</t>
        </is>
      </c>
      <c r="B197" s="60" t="inlineStr">
        <is>
          <t>CTA4-R29</t>
        </is>
      </c>
      <c r="C197" s="60" t="inlineStr">
        <is>
          <t>N01</t>
        </is>
      </c>
      <c r="D197" s="60" t="inlineStr">
        <is>
          <t>Faux plafond couloir</t>
        </is>
      </c>
      <c r="E197" s="60" t="inlineStr">
        <is>
          <t>Reprise</t>
        </is>
      </c>
      <c r="F197" s="60" t="inlineStr">
        <is>
          <t>HEB01 chambre</t>
        </is>
      </c>
      <c r="G197" s="61" t="n">
        <v>1.626</v>
      </c>
      <c r="H197" s="46" t="n">
        <v>270</v>
      </c>
      <c r="I197" s="62">
        <f>IF(A197="CTA 5",MIN(INDEX(Hypothèses!$C$6:$C$16,MATCH(H197,Hypothèses!$A$6:$A$16,1)),Hypothèses!$B$30),INDEX(Hypothèses!$C$6:$C$16,MATCH(H197,Hypothèses!$A$6:$A$16,1)))</f>
        <v/>
      </c>
      <c r="J197" s="63">
        <f>H197/3600/I197</f>
        <v/>
      </c>
      <c r="K197" s="60">
        <f>IF(A197="CTA 4",Hypothèses!$B$25,IF(AND(A197="CTA 5",H197&gt;4000),Hypothèses!$B$29,IF(H197&lt;=2000,Hypothèses!$B$23,Hypothèses!$B$24)))</f>
        <v/>
      </c>
      <c r="L197" s="60">
        <f>MAX(Hypothèses!$B$26,CEILING(J197/(K197/1000)*1000,Hypothèses!$B$27))</f>
        <v/>
      </c>
      <c r="M197" s="63">
        <f>L197*K197/1000000</f>
        <v/>
      </c>
      <c r="N197" s="64">
        <f>H197/3600/M197</f>
        <v/>
      </c>
      <c r="O197" s="60">
        <f>IF(N197&lt;=I197,"oui","NON")</f>
        <v/>
      </c>
      <c r="P197" s="63">
        <f>1.3*((L197/1000)*(K197/1000))^0.625/((L197/1000)+(K197/1000))^0.25</f>
        <v/>
      </c>
      <c r="Q197" s="65">
        <f>N197*P197/Hypothèses!$B$20</f>
        <v/>
      </c>
      <c r="R197" s="66">
        <f>0.25/(LOG10(Hypothèses!$B$21/(3.7*P197)+5.74/Q197^0.9))^2</f>
        <v/>
      </c>
      <c r="S197" s="64">
        <f>R197/P197*Hypothèses!$B$19*N197^2/2</f>
        <v/>
      </c>
      <c r="T197" s="62">
        <f>S197*G197*(1+Hypothèses!$B$22)</f>
        <v/>
      </c>
      <c r="U197" s="45" t="inlineStr">
        <is>
          <t>X</t>
        </is>
      </c>
      <c r="V197" s="60">
        <f>IF(K197&lt;=Hypothèses!$B$28-100,"oui","NON")</f>
        <v/>
      </c>
    </row>
    <row r="198" ht="15" customHeight="1" s="40">
      <c r="A198" s="60" t="inlineStr">
        <is>
          <t>CTA 4</t>
        </is>
      </c>
      <c r="B198" s="60" t="inlineStr">
        <is>
          <t>CTA4-R30</t>
        </is>
      </c>
      <c r="C198" s="60" t="inlineStr">
        <is>
          <t>N01</t>
        </is>
      </c>
      <c r="D198" s="60" t="inlineStr">
        <is>
          <t>Faux plafond couloir</t>
        </is>
      </c>
      <c r="E198" s="60" t="inlineStr">
        <is>
          <t>Reprise</t>
        </is>
      </c>
      <c r="F198" s="60" t="inlineStr">
        <is>
          <t>HEB01 chambre</t>
        </is>
      </c>
      <c r="G198" s="61" t="n">
        <v>2.145</v>
      </c>
      <c r="H198" s="46" t="n">
        <v>180</v>
      </c>
      <c r="I198" s="62">
        <f>IF(A198="CTA 5",MIN(INDEX(Hypothèses!$C$6:$C$16,MATCH(H198,Hypothèses!$A$6:$A$16,1)),Hypothèses!$B$30),INDEX(Hypothèses!$C$6:$C$16,MATCH(H198,Hypothèses!$A$6:$A$16,1)))</f>
        <v/>
      </c>
      <c r="J198" s="63">
        <f>H198/3600/I198</f>
        <v/>
      </c>
      <c r="K198" s="60">
        <f>IF(A198="CTA 4",Hypothèses!$B$25,IF(AND(A198="CTA 5",H198&gt;4000),Hypothèses!$B$29,IF(H198&lt;=2000,Hypothèses!$B$23,Hypothèses!$B$24)))</f>
        <v/>
      </c>
      <c r="L198" s="60">
        <f>MAX(Hypothèses!$B$26,CEILING(J198/(K198/1000)*1000,Hypothèses!$B$27))</f>
        <v/>
      </c>
      <c r="M198" s="63">
        <f>L198*K198/1000000</f>
        <v/>
      </c>
      <c r="N198" s="64">
        <f>H198/3600/M198</f>
        <v/>
      </c>
      <c r="O198" s="60">
        <f>IF(N198&lt;=I198,"oui","NON")</f>
        <v/>
      </c>
      <c r="P198" s="63">
        <f>1.3*((L198/1000)*(K198/1000))^0.625/((L198/1000)+(K198/1000))^0.25</f>
        <v/>
      </c>
      <c r="Q198" s="65">
        <f>N198*P198/Hypothèses!$B$20</f>
        <v/>
      </c>
      <c r="R198" s="66">
        <f>0.25/(LOG10(Hypothèses!$B$21/(3.7*P198)+5.74/Q198^0.9))^2</f>
        <v/>
      </c>
      <c r="S198" s="64">
        <f>R198/P198*Hypothèses!$B$19*N198^2/2</f>
        <v/>
      </c>
      <c r="T198" s="62">
        <f>S198*G198*(1+Hypothèses!$B$22)</f>
        <v/>
      </c>
      <c r="U198" s="45" t="inlineStr">
        <is>
          <t>X</t>
        </is>
      </c>
      <c r="V198" s="60">
        <f>IF(K198&lt;=Hypothèses!$B$28-100,"oui","NON")</f>
        <v/>
      </c>
    </row>
    <row r="199" ht="15" customHeight="1" s="40">
      <c r="A199" s="60" t="inlineStr">
        <is>
          <t>CTA 5</t>
        </is>
      </c>
      <c r="B199" s="60" t="inlineStr">
        <is>
          <t>CTA5-S01</t>
        </is>
      </c>
      <c r="C199" s="60" t="inlineStr">
        <is>
          <t>Toiture</t>
        </is>
      </c>
      <c r="D199" s="60" t="inlineStr">
        <is>
          <t>Toiture (CTA → descente)</t>
        </is>
      </c>
      <c r="E199" s="60" t="inlineStr">
        <is>
          <t>Soufflage</t>
        </is>
      </c>
      <c r="F199" s="60" t="inlineStr">
        <is>
          <t>Sortie CTA → descente (trémie en toiture)</t>
        </is>
      </c>
      <c r="G199" s="61" t="n">
        <v>3.95</v>
      </c>
      <c r="H199" s="46" t="n">
        <v>6123</v>
      </c>
      <c r="I199" s="62">
        <f>IF(A199="CTA 5",MIN(INDEX(Hypothèses!$C$6:$C$16,MATCH(H199,Hypothèses!$A$6:$A$16,1)),Hypothèses!$B$30),INDEX(Hypothèses!$C$6:$C$16,MATCH(H199,Hypothèses!$A$6:$A$16,1)))</f>
        <v/>
      </c>
      <c r="J199" s="63">
        <f>H199/3600/I199</f>
        <v/>
      </c>
      <c r="K199" s="60">
        <f>IF(A199="CTA 4",Hypothèses!$B$25,IF(AND(A199="CTA 5",H199&gt;4000),Hypothèses!$B$29,IF(H199&lt;=2000,Hypothèses!$B$23,Hypothèses!$B$24)))</f>
        <v/>
      </c>
      <c r="L199" s="60">
        <f>MAX(Hypothèses!$B$26,CEILING(J199/(K199/1000)*1000,Hypothèses!$B$27))</f>
        <v/>
      </c>
      <c r="M199" s="63">
        <f>L199*K199/1000000</f>
        <v/>
      </c>
      <c r="N199" s="64">
        <f>H199/3600/M199</f>
        <v/>
      </c>
      <c r="O199" s="60">
        <f>IF(N199&lt;=I199,"oui","NON")</f>
        <v/>
      </c>
      <c r="P199" s="63">
        <f>1.3*((L199/1000)*(K199/1000))^0.625/((L199/1000)+(K199/1000))^0.25</f>
        <v/>
      </c>
      <c r="Q199" s="65">
        <f>N199*P199/Hypothèses!$B$20</f>
        <v/>
      </c>
      <c r="R199" s="66">
        <f>0.25/(LOG10(Hypothèses!$B$21/(3.7*P199)+5.74/Q199^0.9))^2</f>
        <v/>
      </c>
      <c r="S199" s="64">
        <f>R199/P199*Hypothèses!$B$19*N199^2/2</f>
        <v/>
      </c>
      <c r="T199" s="62">
        <f>S199*G199*(1+Hypothèses!$B$22)</f>
        <v/>
      </c>
      <c r="U199" s="45" t="inlineStr">
        <is>
          <t>X</t>
        </is>
      </c>
      <c r="V199" s="60" t="inlineStr">
        <is>
          <t>–</t>
        </is>
      </c>
    </row>
    <row r="200" ht="15" customHeight="1" s="40">
      <c r="A200" s="60" t="inlineStr">
        <is>
          <t>CTA 5</t>
        </is>
      </c>
      <c r="B200" s="60" t="inlineStr">
        <is>
          <t>CTA5-S02</t>
        </is>
      </c>
      <c r="C200" s="60" t="inlineStr">
        <is>
          <t>N00</t>
        </is>
      </c>
      <c r="D200" s="60" t="inlineStr">
        <is>
          <t>Descente verticale</t>
        </is>
      </c>
      <c r="E200" s="60" t="inlineStr">
        <is>
          <t>Soufflage</t>
        </is>
      </c>
      <c r="F200" s="60" t="inlineStr">
        <is>
          <t>Gaine verticale : étage → plénum RDC</t>
        </is>
      </c>
      <c r="G200" s="61" t="n">
        <v>3.75</v>
      </c>
      <c r="H200" s="46" t="n">
        <v>6123</v>
      </c>
      <c r="I200" s="62">
        <f>IF(A200="CTA 5",MIN(INDEX(Hypothèses!$C$6:$C$16,MATCH(H200,Hypothèses!$A$6:$A$16,1)),Hypothèses!$B$30),INDEX(Hypothèses!$C$6:$C$16,MATCH(H200,Hypothèses!$A$6:$A$16,1)))</f>
        <v/>
      </c>
      <c r="J200" s="63">
        <f>H200/3600/I200</f>
        <v/>
      </c>
      <c r="K200" s="60">
        <f>IF(A200="CTA 4",Hypothèses!$B$25,IF(AND(A200="CTA 5",H200&gt;4000),Hypothèses!$B$29,IF(H200&lt;=2000,Hypothèses!$B$23,Hypothèses!$B$24)))</f>
        <v/>
      </c>
      <c r="L200" s="60">
        <f>MAX(Hypothèses!$B$26,CEILING(J200/(K200/1000)*1000,Hypothèses!$B$27))</f>
        <v/>
      </c>
      <c r="M200" s="63">
        <f>L200*K200/1000000</f>
        <v/>
      </c>
      <c r="N200" s="64">
        <f>H200/3600/M200</f>
        <v/>
      </c>
      <c r="O200" s="60">
        <f>IF(N200&lt;=I200,"oui","NON")</f>
        <v/>
      </c>
      <c r="P200" s="63">
        <f>1.3*((L200/1000)*(K200/1000))^0.625/((L200/1000)+(K200/1000))^0.25</f>
        <v/>
      </c>
      <c r="Q200" s="65">
        <f>N200*P200/Hypothèses!$B$20</f>
        <v/>
      </c>
      <c r="R200" s="66">
        <f>0.25/(LOG10(Hypothèses!$B$21/(3.7*P200)+5.74/Q200^0.9))^2</f>
        <v/>
      </c>
      <c r="S200" s="64">
        <f>R200/P200*Hypothèses!$B$19*N200^2/2</f>
        <v/>
      </c>
      <c r="T200" s="62">
        <f>S200*G200*(1+Hypothèses!$B$22)</f>
        <v/>
      </c>
      <c r="U200" s="45" t="inlineStr">
        <is>
          <t>X</t>
        </is>
      </c>
      <c r="V200" s="60" t="inlineStr">
        <is>
          <t>–</t>
        </is>
      </c>
    </row>
    <row r="201" ht="15" customHeight="1" s="40">
      <c r="A201" s="60" t="inlineStr">
        <is>
          <t>CTA 5</t>
        </is>
      </c>
      <c r="B201" s="60" t="inlineStr">
        <is>
          <t>CTA5-S03</t>
        </is>
      </c>
      <c r="C201" s="60" t="inlineStr">
        <is>
          <t>N01</t>
        </is>
      </c>
      <c r="D201" s="60" t="inlineStr">
        <is>
          <t>Descente verticale</t>
        </is>
      </c>
      <c r="E201" s="60" t="inlineStr">
        <is>
          <t>Soufflage</t>
        </is>
      </c>
      <c r="F201" s="60" t="inlineStr">
        <is>
          <t>Gaine verticale : RDC → étage (local linge S)</t>
        </is>
      </c>
      <c r="G201" s="61" t="n">
        <v>3.32</v>
      </c>
      <c r="H201" s="46" t="n">
        <v>2030</v>
      </c>
      <c r="I201" s="62">
        <f>IF(A201="CTA 5",MIN(INDEX(Hypothèses!$C$6:$C$16,MATCH(H201,Hypothèses!$A$6:$A$16,1)),Hypothèses!$B$30),INDEX(Hypothèses!$C$6:$C$16,MATCH(H201,Hypothèses!$A$6:$A$16,1)))</f>
        <v/>
      </c>
      <c r="J201" s="63">
        <f>H201/3600/I201</f>
        <v/>
      </c>
      <c r="K201" s="60">
        <f>IF(A201="CTA 4",Hypothèses!$B$25,IF(AND(A201="CTA 5",H201&gt;4000),Hypothèses!$B$29,IF(H201&lt;=2000,Hypothèses!$B$23,Hypothèses!$B$24)))</f>
        <v/>
      </c>
      <c r="L201" s="60">
        <f>MAX(Hypothèses!$B$26,CEILING(J201/(K201/1000)*1000,Hypothèses!$B$27))</f>
        <v/>
      </c>
      <c r="M201" s="63">
        <f>L201*K201/1000000</f>
        <v/>
      </c>
      <c r="N201" s="64">
        <f>H201/3600/M201</f>
        <v/>
      </c>
      <c r="O201" s="60">
        <f>IF(N201&lt;=I201,"oui","NON")</f>
        <v/>
      </c>
      <c r="P201" s="63">
        <f>1.3*((L201/1000)*(K201/1000))^0.625/((L201/1000)+(K201/1000))^0.25</f>
        <v/>
      </c>
      <c r="Q201" s="65">
        <f>N201*P201/Hypothèses!$B$20</f>
        <v/>
      </c>
      <c r="R201" s="66">
        <f>0.25/(LOG10(Hypothèses!$B$21/(3.7*P201)+5.74/Q201^0.9))^2</f>
        <v/>
      </c>
      <c r="S201" s="64">
        <f>R201/P201*Hypothèses!$B$19*N201^2/2</f>
        <v/>
      </c>
      <c r="T201" s="62">
        <f>S201*G201*(1+Hypothèses!$B$22)</f>
        <v/>
      </c>
      <c r="U201" s="45" t="inlineStr">
        <is>
          <t>X</t>
        </is>
      </c>
      <c r="V201" s="60" t="inlineStr">
        <is>
          <t>–</t>
        </is>
      </c>
    </row>
    <row r="202" ht="15" customHeight="1" s="40">
      <c r="A202" s="60" t="inlineStr">
        <is>
          <t>CTA 5</t>
        </is>
      </c>
      <c r="B202" s="60" t="inlineStr">
        <is>
          <t>CTA5-S04</t>
        </is>
      </c>
      <c r="C202" s="60" t="inlineStr">
        <is>
          <t>N00</t>
        </is>
      </c>
      <c r="D202" s="60" t="inlineStr">
        <is>
          <t>Faux plafond couloir</t>
        </is>
      </c>
      <c r="E202" s="60" t="inlineStr">
        <is>
          <t>Soufflage</t>
        </is>
      </c>
      <c r="F202" s="60" t="n"/>
      <c r="G202" s="61" t="n">
        <v>1.3</v>
      </c>
      <c r="H202" s="46" t="n">
        <v>6123</v>
      </c>
      <c r="I202" s="62">
        <f>IF(A202="CTA 5",MIN(INDEX(Hypothèses!$C$6:$C$16,MATCH(H202,Hypothèses!$A$6:$A$16,1)),Hypothèses!$B$30),INDEX(Hypothèses!$C$6:$C$16,MATCH(H202,Hypothèses!$A$6:$A$16,1)))</f>
        <v/>
      </c>
      <c r="J202" s="63">
        <f>H202/3600/I202</f>
        <v/>
      </c>
      <c r="K202" s="60">
        <f>IF(A202="CTA 4",Hypothèses!$B$25,IF(AND(A202="CTA 5",H202&gt;4000),Hypothèses!$B$29,IF(H202&lt;=2000,Hypothèses!$B$23,Hypothèses!$B$24)))</f>
        <v/>
      </c>
      <c r="L202" s="60">
        <f>MAX(Hypothèses!$B$26,CEILING(J202/(K202/1000)*1000,Hypothèses!$B$27))</f>
        <v/>
      </c>
      <c r="M202" s="63">
        <f>L202*K202/1000000</f>
        <v/>
      </c>
      <c r="N202" s="64">
        <f>H202/3600/M202</f>
        <v/>
      </c>
      <c r="O202" s="60">
        <f>IF(N202&lt;=I202,"oui","NON")</f>
        <v/>
      </c>
      <c r="P202" s="63">
        <f>1.3*((L202/1000)*(K202/1000))^0.625/((L202/1000)+(K202/1000))^0.25</f>
        <v/>
      </c>
      <c r="Q202" s="65">
        <f>N202*P202/Hypothèses!$B$20</f>
        <v/>
      </c>
      <c r="R202" s="66">
        <f>0.25/(LOG10(Hypothèses!$B$21/(3.7*P202)+5.74/Q202^0.9))^2</f>
        <v/>
      </c>
      <c r="S202" s="64">
        <f>R202/P202*Hypothèses!$B$19*N202^2/2</f>
        <v/>
      </c>
      <c r="T202" s="62">
        <f>S202*G202*(1+Hypothèses!$B$22)</f>
        <v/>
      </c>
      <c r="U202" s="45" t="inlineStr">
        <is>
          <t>X</t>
        </is>
      </c>
      <c r="V202" s="60">
        <f>IF(K202&lt;=Hypothèses!$B$28-100,"oui","NON")</f>
        <v/>
      </c>
    </row>
    <row r="203" ht="15" customHeight="1" s="40">
      <c r="A203" s="60" t="inlineStr">
        <is>
          <t>CTA 5</t>
        </is>
      </c>
      <c r="B203" s="60" t="inlineStr">
        <is>
          <t>CTA5-S05</t>
        </is>
      </c>
      <c r="C203" s="60" t="inlineStr">
        <is>
          <t>N00</t>
        </is>
      </c>
      <c r="D203" s="60" t="inlineStr">
        <is>
          <t>Faux plafond couloir</t>
        </is>
      </c>
      <c r="E203" s="60" t="inlineStr">
        <is>
          <t>Soufflage</t>
        </is>
      </c>
      <c r="F203" s="60" t="inlineStr">
        <is>
          <t>LOG10 vêtements, BUR01 bur. ben., BUR01 bur. mut., SOI03 soins</t>
        </is>
      </c>
      <c r="G203" s="61" t="n">
        <v>1.3</v>
      </c>
      <c r="H203" s="46" t="n">
        <v>6123</v>
      </c>
      <c r="I203" s="62">
        <f>IF(A203="CTA 5",MIN(INDEX(Hypothèses!$C$6:$C$16,MATCH(H203,Hypothèses!$A$6:$A$16,1)),Hypothèses!$B$30),INDEX(Hypothèses!$C$6:$C$16,MATCH(H203,Hypothèses!$A$6:$A$16,1)))</f>
        <v/>
      </c>
      <c r="J203" s="63">
        <f>H203/3600/I203</f>
        <v/>
      </c>
      <c r="K203" s="60">
        <f>IF(A203="CTA 4",Hypothèses!$B$25,IF(AND(A203="CTA 5",H203&gt;4000),Hypothèses!$B$29,IF(H203&lt;=2000,Hypothèses!$B$23,Hypothèses!$B$24)))</f>
        <v/>
      </c>
      <c r="L203" s="60">
        <f>MAX(Hypothèses!$B$26,CEILING(J203/(K203/1000)*1000,Hypothèses!$B$27))</f>
        <v/>
      </c>
      <c r="M203" s="63">
        <f>L203*K203/1000000</f>
        <v/>
      </c>
      <c r="N203" s="64">
        <f>H203/3600/M203</f>
        <v/>
      </c>
      <c r="O203" s="60">
        <f>IF(N203&lt;=I203,"oui","NON")</f>
        <v/>
      </c>
      <c r="P203" s="63">
        <f>1.3*((L203/1000)*(K203/1000))^0.625/((L203/1000)+(K203/1000))^0.25</f>
        <v/>
      </c>
      <c r="Q203" s="65">
        <f>N203*P203/Hypothèses!$B$20</f>
        <v/>
      </c>
      <c r="R203" s="66">
        <f>0.25/(LOG10(Hypothèses!$B$21/(3.7*P203)+5.74/Q203^0.9))^2</f>
        <v/>
      </c>
      <c r="S203" s="64">
        <f>R203/P203*Hypothèses!$B$19*N203^2/2</f>
        <v/>
      </c>
      <c r="T203" s="62">
        <f>S203*G203*(1+Hypothèses!$B$22)</f>
        <v/>
      </c>
      <c r="U203" s="45" t="inlineStr">
        <is>
          <t>X</t>
        </is>
      </c>
      <c r="V203" s="60">
        <f>IF(K203&lt;=Hypothèses!$B$28-100,"oui","NON")</f>
        <v/>
      </c>
    </row>
    <row r="204" ht="15" customHeight="1" s="40">
      <c r="A204" s="60" t="inlineStr">
        <is>
          <t>CTA 5</t>
        </is>
      </c>
      <c r="B204" s="60" t="inlineStr">
        <is>
          <t>CTA5-S06</t>
        </is>
      </c>
      <c r="C204" s="60" t="inlineStr">
        <is>
          <t>N00</t>
        </is>
      </c>
      <c r="D204" s="60" t="inlineStr">
        <is>
          <t>Faux plafond couloir</t>
        </is>
      </c>
      <c r="E204" s="60" t="inlineStr">
        <is>
          <t>Soufflage</t>
        </is>
      </c>
      <c r="F204" s="60" t="inlineStr">
        <is>
          <t>LOG02 chariots</t>
        </is>
      </c>
      <c r="G204" s="61" t="n">
        <v>1.123</v>
      </c>
      <c r="H204" s="46" t="n">
        <v>5919</v>
      </c>
      <c r="I204" s="62">
        <f>IF(A204="CTA 5",MIN(INDEX(Hypothèses!$C$6:$C$16,MATCH(H204,Hypothèses!$A$6:$A$16,1)),Hypothèses!$B$30),INDEX(Hypothèses!$C$6:$C$16,MATCH(H204,Hypothèses!$A$6:$A$16,1)))</f>
        <v/>
      </c>
      <c r="J204" s="63">
        <f>H204/3600/I204</f>
        <v/>
      </c>
      <c r="K204" s="60">
        <f>IF(A204="CTA 4",Hypothèses!$B$25,IF(AND(A204="CTA 5",H204&gt;4000),Hypothèses!$B$29,IF(H204&lt;=2000,Hypothèses!$B$23,Hypothèses!$B$24)))</f>
        <v/>
      </c>
      <c r="L204" s="60">
        <f>MAX(Hypothèses!$B$26,CEILING(J204/(K204/1000)*1000,Hypothèses!$B$27))</f>
        <v/>
      </c>
      <c r="M204" s="63">
        <f>L204*K204/1000000</f>
        <v/>
      </c>
      <c r="N204" s="64">
        <f>H204/3600/M204</f>
        <v/>
      </c>
      <c r="O204" s="60">
        <f>IF(N204&lt;=I204,"oui","NON")</f>
        <v/>
      </c>
      <c r="P204" s="63">
        <f>1.3*((L204/1000)*(K204/1000))^0.625/((L204/1000)+(K204/1000))^0.25</f>
        <v/>
      </c>
      <c r="Q204" s="65">
        <f>N204*P204/Hypothèses!$B$20</f>
        <v/>
      </c>
      <c r="R204" s="66">
        <f>0.25/(LOG10(Hypothèses!$B$21/(3.7*P204)+5.74/Q204^0.9))^2</f>
        <v/>
      </c>
      <c r="S204" s="64">
        <f>R204/P204*Hypothèses!$B$19*N204^2/2</f>
        <v/>
      </c>
      <c r="T204" s="62">
        <f>S204*G204*(1+Hypothèses!$B$22)</f>
        <v/>
      </c>
      <c r="U204" s="45" t="inlineStr">
        <is>
          <t>X</t>
        </is>
      </c>
      <c r="V204" s="60">
        <f>IF(K204&lt;=Hypothèses!$B$28-100,"oui","NON")</f>
        <v/>
      </c>
    </row>
    <row r="205" ht="15" customHeight="1" s="40">
      <c r="A205" s="60" t="inlineStr">
        <is>
          <t>CTA 5</t>
        </is>
      </c>
      <c r="B205" s="60" t="inlineStr">
        <is>
          <t>CTA5-S07</t>
        </is>
      </c>
      <c r="C205" s="60" t="inlineStr">
        <is>
          <t>N00</t>
        </is>
      </c>
      <c r="D205" s="60" t="inlineStr">
        <is>
          <t>Faux plafond couloir</t>
        </is>
      </c>
      <c r="E205" s="60" t="inlineStr">
        <is>
          <t>Soufflage</t>
        </is>
      </c>
      <c r="F205" s="60" t="inlineStr">
        <is>
          <t>BUR01 convivialité</t>
        </is>
      </c>
      <c r="G205" s="61" t="n">
        <v>1.827</v>
      </c>
      <c r="H205" s="46" t="n">
        <v>5916</v>
      </c>
      <c r="I205" s="62">
        <f>IF(A205="CTA 5",MIN(INDEX(Hypothèses!$C$6:$C$16,MATCH(H205,Hypothèses!$A$6:$A$16,1)),Hypothèses!$B$30),INDEX(Hypothèses!$C$6:$C$16,MATCH(H205,Hypothèses!$A$6:$A$16,1)))</f>
        <v/>
      </c>
      <c r="J205" s="63">
        <f>H205/3600/I205</f>
        <v/>
      </c>
      <c r="K205" s="60">
        <f>IF(A205="CTA 4",Hypothèses!$B$25,IF(AND(A205="CTA 5",H205&gt;4000),Hypothèses!$B$29,IF(H205&lt;=2000,Hypothèses!$B$23,Hypothèses!$B$24)))</f>
        <v/>
      </c>
      <c r="L205" s="60">
        <f>MAX(Hypothèses!$B$26,CEILING(J205/(K205/1000)*1000,Hypothèses!$B$27))</f>
        <v/>
      </c>
      <c r="M205" s="63">
        <f>L205*K205/1000000</f>
        <v/>
      </c>
      <c r="N205" s="64">
        <f>H205/3600/M205</f>
        <v/>
      </c>
      <c r="O205" s="60">
        <f>IF(N205&lt;=I205,"oui","NON")</f>
        <v/>
      </c>
      <c r="P205" s="63">
        <f>1.3*((L205/1000)*(K205/1000))^0.625/((L205/1000)+(K205/1000))^0.25</f>
        <v/>
      </c>
      <c r="Q205" s="65">
        <f>N205*P205/Hypothèses!$B$20</f>
        <v/>
      </c>
      <c r="R205" s="66">
        <f>0.25/(LOG10(Hypothèses!$B$21/(3.7*P205)+5.74/Q205^0.9))^2</f>
        <v/>
      </c>
      <c r="S205" s="64">
        <f>R205/P205*Hypothèses!$B$19*N205^2/2</f>
        <v/>
      </c>
      <c r="T205" s="62">
        <f>S205*G205*(1+Hypothèses!$B$22)</f>
        <v/>
      </c>
      <c r="U205" s="45" t="inlineStr">
        <is>
          <t>X</t>
        </is>
      </c>
      <c r="V205" s="60">
        <f>IF(K205&lt;=Hypothèses!$B$28-100,"oui","NON")</f>
        <v/>
      </c>
    </row>
    <row r="206" ht="15" customHeight="1" s="40">
      <c r="A206" s="60" t="inlineStr">
        <is>
          <t>CTA 5</t>
        </is>
      </c>
      <c r="B206" s="60" t="inlineStr">
        <is>
          <t>CTA5-S08</t>
        </is>
      </c>
      <c r="C206" s="60" t="inlineStr">
        <is>
          <t>N00</t>
        </is>
      </c>
      <c r="D206" s="60" t="inlineStr">
        <is>
          <t>Faux plafond couloir</t>
        </is>
      </c>
      <c r="E206" s="60" t="inlineStr">
        <is>
          <t>Soufflage</t>
        </is>
      </c>
      <c r="F206" s="60" t="inlineStr">
        <is>
          <t>BUR01 bur. poly.</t>
        </is>
      </c>
      <c r="G206" s="61" t="n">
        <v>3.188</v>
      </c>
      <c r="H206" s="46" t="n">
        <v>5808</v>
      </c>
      <c r="I206" s="62">
        <f>IF(A206="CTA 5",MIN(INDEX(Hypothèses!$C$6:$C$16,MATCH(H206,Hypothèses!$A$6:$A$16,1)),Hypothèses!$B$30),INDEX(Hypothèses!$C$6:$C$16,MATCH(H206,Hypothèses!$A$6:$A$16,1)))</f>
        <v/>
      </c>
      <c r="J206" s="63">
        <f>H206/3600/I206</f>
        <v/>
      </c>
      <c r="K206" s="60">
        <f>IF(A206="CTA 4",Hypothèses!$B$25,IF(AND(A206="CTA 5",H206&gt;4000),Hypothèses!$B$29,IF(H206&lt;=2000,Hypothèses!$B$23,Hypothèses!$B$24)))</f>
        <v/>
      </c>
      <c r="L206" s="60">
        <f>MAX(Hypothèses!$B$26,CEILING(J206/(K206/1000)*1000,Hypothèses!$B$27))</f>
        <v/>
      </c>
      <c r="M206" s="63">
        <f>L206*K206/1000000</f>
        <v/>
      </c>
      <c r="N206" s="64">
        <f>H206/3600/M206</f>
        <v/>
      </c>
      <c r="O206" s="60">
        <f>IF(N206&lt;=I206,"oui","NON")</f>
        <v/>
      </c>
      <c r="P206" s="63">
        <f>1.3*((L206/1000)*(K206/1000))^0.625/((L206/1000)+(K206/1000))^0.25</f>
        <v/>
      </c>
      <c r="Q206" s="65">
        <f>N206*P206/Hypothèses!$B$20</f>
        <v/>
      </c>
      <c r="R206" s="66">
        <f>0.25/(LOG10(Hypothèses!$B$21/(3.7*P206)+5.74/Q206^0.9))^2</f>
        <v/>
      </c>
      <c r="S206" s="64">
        <f>R206/P206*Hypothèses!$B$19*N206^2/2</f>
        <v/>
      </c>
      <c r="T206" s="62">
        <f>S206*G206*(1+Hypothèses!$B$22)</f>
        <v/>
      </c>
      <c r="U206" s="45" t="inlineStr">
        <is>
          <t>X</t>
        </is>
      </c>
      <c r="V206" s="60">
        <f>IF(K206&lt;=Hypothèses!$B$28-100,"oui","NON")</f>
        <v/>
      </c>
    </row>
    <row r="207" ht="15" customHeight="1" s="40">
      <c r="A207" s="60" t="inlineStr">
        <is>
          <t>CTA 5</t>
        </is>
      </c>
      <c r="B207" s="60" t="inlineStr">
        <is>
          <t>CTA5-S09</t>
        </is>
      </c>
      <c r="C207" s="60" t="inlineStr">
        <is>
          <t>N00</t>
        </is>
      </c>
      <c r="D207" s="60" t="inlineStr">
        <is>
          <t>Faux plafond couloir</t>
        </is>
      </c>
      <c r="E207" s="60" t="inlineStr">
        <is>
          <t>Soufflage</t>
        </is>
      </c>
      <c r="F207" s="60" t="inlineStr">
        <is>
          <t>BUR02 pc médical</t>
        </is>
      </c>
      <c r="G207" s="61" t="n">
        <v>0.374</v>
      </c>
      <c r="H207" s="46" t="n">
        <v>5808</v>
      </c>
      <c r="I207" s="62">
        <f>IF(A207="CTA 5",MIN(INDEX(Hypothèses!$C$6:$C$16,MATCH(H207,Hypothèses!$A$6:$A$16,1)),Hypothèses!$B$30),INDEX(Hypothèses!$C$6:$C$16,MATCH(H207,Hypothèses!$A$6:$A$16,1)))</f>
        <v/>
      </c>
      <c r="J207" s="63">
        <f>H207/3600/I207</f>
        <v/>
      </c>
      <c r="K207" s="60">
        <f>IF(A207="CTA 4",Hypothèses!$B$25,IF(AND(A207="CTA 5",H207&gt;4000),Hypothèses!$B$29,IF(H207&lt;=2000,Hypothèses!$B$23,Hypothèses!$B$24)))</f>
        <v/>
      </c>
      <c r="L207" s="60">
        <f>MAX(Hypothèses!$B$26,CEILING(J207/(K207/1000)*1000,Hypothèses!$B$27))</f>
        <v/>
      </c>
      <c r="M207" s="63">
        <f>L207*K207/1000000</f>
        <v/>
      </c>
      <c r="N207" s="64">
        <f>H207/3600/M207</f>
        <v/>
      </c>
      <c r="O207" s="60">
        <f>IF(N207&lt;=I207,"oui","NON")</f>
        <v/>
      </c>
      <c r="P207" s="63">
        <f>1.3*((L207/1000)*(K207/1000))^0.625/((L207/1000)+(K207/1000))^0.25</f>
        <v/>
      </c>
      <c r="Q207" s="65">
        <f>N207*P207/Hypothèses!$B$20</f>
        <v/>
      </c>
      <c r="R207" s="66">
        <f>0.25/(LOG10(Hypothèses!$B$21/(3.7*P207)+5.74/Q207^0.9))^2</f>
        <v/>
      </c>
      <c r="S207" s="64">
        <f>R207/P207*Hypothèses!$B$19*N207^2/2</f>
        <v/>
      </c>
      <c r="T207" s="62">
        <f>S207*G207*(1+Hypothèses!$B$22)</f>
        <v/>
      </c>
      <c r="U207" s="45" t="inlineStr">
        <is>
          <t>X</t>
        </is>
      </c>
      <c r="V207" s="60">
        <f>IF(K207&lt;=Hypothèses!$B$28-100,"oui","NON")</f>
        <v/>
      </c>
    </row>
    <row r="208" ht="15" customHeight="1" s="40">
      <c r="A208" s="60" t="inlineStr">
        <is>
          <t>CTA 5</t>
        </is>
      </c>
      <c r="B208" s="60" t="inlineStr">
        <is>
          <t>CTA5-S10</t>
        </is>
      </c>
      <c r="C208" s="60" t="inlineStr">
        <is>
          <t>N00</t>
        </is>
      </c>
      <c r="D208" s="60" t="inlineStr">
        <is>
          <t>Faux plafond couloir</t>
        </is>
      </c>
      <c r="E208" s="60" t="inlineStr">
        <is>
          <t>Soufflage</t>
        </is>
      </c>
      <c r="F208" s="60" t="inlineStr">
        <is>
          <t>SOI01 pc ide</t>
        </is>
      </c>
      <c r="G208" s="61" t="n">
        <v>4.664</v>
      </c>
      <c r="H208" s="46" t="n">
        <v>5733</v>
      </c>
      <c r="I208" s="62">
        <f>IF(A208="CTA 5",MIN(INDEX(Hypothèses!$C$6:$C$16,MATCH(H208,Hypothèses!$A$6:$A$16,1)),Hypothèses!$B$30),INDEX(Hypothèses!$C$6:$C$16,MATCH(H208,Hypothèses!$A$6:$A$16,1)))</f>
        <v/>
      </c>
      <c r="J208" s="63">
        <f>H208/3600/I208</f>
        <v/>
      </c>
      <c r="K208" s="60">
        <f>IF(A208="CTA 4",Hypothèses!$B$25,IF(AND(A208="CTA 5",H208&gt;4000),Hypothèses!$B$29,IF(H208&lt;=2000,Hypothèses!$B$23,Hypothèses!$B$24)))</f>
        <v/>
      </c>
      <c r="L208" s="60">
        <f>MAX(Hypothèses!$B$26,CEILING(J208/(K208/1000)*1000,Hypothèses!$B$27))</f>
        <v/>
      </c>
      <c r="M208" s="63">
        <f>L208*K208/1000000</f>
        <v/>
      </c>
      <c r="N208" s="64">
        <f>H208/3600/M208</f>
        <v/>
      </c>
      <c r="O208" s="60">
        <f>IF(N208&lt;=I208,"oui","NON")</f>
        <v/>
      </c>
      <c r="P208" s="63">
        <f>1.3*((L208/1000)*(K208/1000))^0.625/((L208/1000)+(K208/1000))^0.25</f>
        <v/>
      </c>
      <c r="Q208" s="65">
        <f>N208*P208/Hypothèses!$B$20</f>
        <v/>
      </c>
      <c r="R208" s="66">
        <f>0.25/(LOG10(Hypothèses!$B$21/(3.7*P208)+5.74/Q208^0.9))^2</f>
        <v/>
      </c>
      <c r="S208" s="64">
        <f>R208/P208*Hypothèses!$B$19*N208^2/2</f>
        <v/>
      </c>
      <c r="T208" s="62">
        <f>S208*G208*(1+Hypothèses!$B$22)</f>
        <v/>
      </c>
      <c r="U208" s="45" t="inlineStr">
        <is>
          <t>X</t>
        </is>
      </c>
      <c r="V208" s="60">
        <f>IF(K208&lt;=Hypothèses!$B$28-100,"oui","NON")</f>
        <v/>
      </c>
    </row>
    <row r="209" ht="15" customHeight="1" s="40">
      <c r="A209" s="60" t="inlineStr">
        <is>
          <t>CTA 5</t>
        </is>
      </c>
      <c r="B209" s="60" t="inlineStr">
        <is>
          <t>CTA5-S11</t>
        </is>
      </c>
      <c r="C209" s="60" t="inlineStr">
        <is>
          <t>N00</t>
        </is>
      </c>
      <c r="D209" s="60" t="inlineStr">
        <is>
          <t>Faux plafond couloir</t>
        </is>
      </c>
      <c r="E209" s="60" t="inlineStr">
        <is>
          <t>Soufflage</t>
        </is>
      </c>
      <c r="F209" s="60" t="inlineStr">
        <is>
          <t>VIE05 rééducation</t>
        </is>
      </c>
      <c r="G209" s="61" t="n">
        <v>0.074</v>
      </c>
      <c r="H209" s="46" t="n">
        <v>5608</v>
      </c>
      <c r="I209" s="62">
        <f>IF(A209="CTA 5",MIN(INDEX(Hypothèses!$C$6:$C$16,MATCH(H209,Hypothèses!$A$6:$A$16,1)),Hypothèses!$B$30),INDEX(Hypothèses!$C$6:$C$16,MATCH(H209,Hypothèses!$A$6:$A$16,1)))</f>
        <v/>
      </c>
      <c r="J209" s="63">
        <f>H209/3600/I209</f>
        <v/>
      </c>
      <c r="K209" s="60">
        <f>IF(A209="CTA 4",Hypothèses!$B$25,IF(AND(A209="CTA 5",H209&gt;4000),Hypothèses!$B$29,IF(H209&lt;=2000,Hypothèses!$B$23,Hypothèses!$B$24)))</f>
        <v/>
      </c>
      <c r="L209" s="60">
        <f>MAX(Hypothèses!$B$26,CEILING(J209/(K209/1000)*1000,Hypothèses!$B$27))</f>
        <v/>
      </c>
      <c r="M209" s="63">
        <f>L209*K209/1000000</f>
        <v/>
      </c>
      <c r="N209" s="64">
        <f>H209/3600/M209</f>
        <v/>
      </c>
      <c r="O209" s="60">
        <f>IF(N209&lt;=I209,"oui","NON")</f>
        <v/>
      </c>
      <c r="P209" s="63">
        <f>1.3*((L209/1000)*(K209/1000))^0.625/((L209/1000)+(K209/1000))^0.25</f>
        <v/>
      </c>
      <c r="Q209" s="65">
        <f>N209*P209/Hypothèses!$B$20</f>
        <v/>
      </c>
      <c r="R209" s="66">
        <f>0.25/(LOG10(Hypothèses!$B$21/(3.7*P209)+5.74/Q209^0.9))^2</f>
        <v/>
      </c>
      <c r="S209" s="64">
        <f>R209/P209*Hypothèses!$B$19*N209^2/2</f>
        <v/>
      </c>
      <c r="T209" s="62">
        <f>S209*G209*(1+Hypothèses!$B$22)</f>
        <v/>
      </c>
      <c r="U209" s="45" t="inlineStr">
        <is>
          <t>X</t>
        </is>
      </c>
      <c r="V209" s="60">
        <f>IF(K209&lt;=Hypothèses!$B$28-100,"oui","NON")</f>
        <v/>
      </c>
    </row>
    <row r="210" ht="15" customHeight="1" s="40">
      <c r="A210" s="60" t="inlineStr">
        <is>
          <t>CTA 5</t>
        </is>
      </c>
      <c r="B210" s="60" t="inlineStr">
        <is>
          <t>CTA5-S12</t>
        </is>
      </c>
      <c r="C210" s="60" t="inlineStr">
        <is>
          <t>N00</t>
        </is>
      </c>
      <c r="D210" s="60" t="inlineStr">
        <is>
          <t>Faux plafond couloir</t>
        </is>
      </c>
      <c r="E210" s="60" t="inlineStr">
        <is>
          <t>Soufflage</t>
        </is>
      </c>
      <c r="F210" s="60" t="inlineStr">
        <is>
          <t>SOI02 prépa.</t>
        </is>
      </c>
      <c r="G210" s="61" t="n">
        <v>3.712</v>
      </c>
      <c r="H210" s="46" t="n">
        <v>5374</v>
      </c>
      <c r="I210" s="62">
        <f>IF(A210="CTA 5",MIN(INDEX(Hypothèses!$C$6:$C$16,MATCH(H210,Hypothèses!$A$6:$A$16,1)),Hypothèses!$B$30),INDEX(Hypothèses!$C$6:$C$16,MATCH(H210,Hypothèses!$A$6:$A$16,1)))</f>
        <v/>
      </c>
      <c r="J210" s="63">
        <f>H210/3600/I210</f>
        <v/>
      </c>
      <c r="K210" s="60">
        <f>IF(A210="CTA 4",Hypothèses!$B$25,IF(AND(A210="CTA 5",H210&gt;4000),Hypothèses!$B$29,IF(H210&lt;=2000,Hypothèses!$B$23,Hypothèses!$B$24)))</f>
        <v/>
      </c>
      <c r="L210" s="60">
        <f>MAX(Hypothèses!$B$26,CEILING(J210/(K210/1000)*1000,Hypothèses!$B$27))</f>
        <v/>
      </c>
      <c r="M210" s="63">
        <f>L210*K210/1000000</f>
        <v/>
      </c>
      <c r="N210" s="64">
        <f>H210/3600/M210</f>
        <v/>
      </c>
      <c r="O210" s="60">
        <f>IF(N210&lt;=I210,"oui","NON")</f>
        <v/>
      </c>
      <c r="P210" s="63">
        <f>1.3*((L210/1000)*(K210/1000))^0.625/((L210/1000)+(K210/1000))^0.25</f>
        <v/>
      </c>
      <c r="Q210" s="65">
        <f>N210*P210/Hypothèses!$B$20</f>
        <v/>
      </c>
      <c r="R210" s="66">
        <f>0.25/(LOG10(Hypothèses!$B$21/(3.7*P210)+5.74/Q210^0.9))^2</f>
        <v/>
      </c>
      <c r="S210" s="64">
        <f>R210/P210*Hypothèses!$B$19*N210^2/2</f>
        <v/>
      </c>
      <c r="T210" s="62">
        <f>S210*G210*(1+Hypothèses!$B$22)</f>
        <v/>
      </c>
      <c r="U210" s="45" t="inlineStr">
        <is>
          <t>X</t>
        </is>
      </c>
      <c r="V210" s="60">
        <f>IF(K210&lt;=Hypothèses!$B$28-100,"oui","NON")</f>
        <v/>
      </c>
    </row>
    <row r="211" ht="15" customHeight="1" s="40">
      <c r="A211" s="60" t="inlineStr">
        <is>
          <t>CTA 5</t>
        </is>
      </c>
      <c r="B211" s="60" t="inlineStr">
        <is>
          <t>CTA5-S13</t>
        </is>
      </c>
      <c r="C211" s="60" t="inlineStr">
        <is>
          <t>N00</t>
        </is>
      </c>
      <c r="D211" s="60" t="inlineStr">
        <is>
          <t>Faux plafond couloir</t>
        </is>
      </c>
      <c r="E211" s="60" t="inlineStr">
        <is>
          <t>Soufflage</t>
        </is>
      </c>
      <c r="F211" s="60" t="inlineStr">
        <is>
          <t>BUR01 bur. cadre</t>
        </is>
      </c>
      <c r="G211" s="61" t="n">
        <v>0.172</v>
      </c>
      <c r="H211" s="46" t="n">
        <v>5374</v>
      </c>
      <c r="I211" s="62">
        <f>IF(A211="CTA 5",MIN(INDEX(Hypothèses!$C$6:$C$16,MATCH(H211,Hypothèses!$A$6:$A$16,1)),Hypothèses!$B$30),INDEX(Hypothèses!$C$6:$C$16,MATCH(H211,Hypothèses!$A$6:$A$16,1)))</f>
        <v/>
      </c>
      <c r="J211" s="63">
        <f>H211/3600/I211</f>
        <v/>
      </c>
      <c r="K211" s="60">
        <f>IF(A211="CTA 4",Hypothèses!$B$25,IF(AND(A211="CTA 5",H211&gt;4000),Hypothèses!$B$29,IF(H211&lt;=2000,Hypothèses!$B$23,Hypothèses!$B$24)))</f>
        <v/>
      </c>
      <c r="L211" s="60">
        <f>MAX(Hypothèses!$B$26,CEILING(J211/(K211/1000)*1000,Hypothèses!$B$27))</f>
        <v/>
      </c>
      <c r="M211" s="63">
        <f>L211*K211/1000000</f>
        <v/>
      </c>
      <c r="N211" s="64">
        <f>H211/3600/M211</f>
        <v/>
      </c>
      <c r="O211" s="60">
        <f>IF(N211&lt;=I211,"oui","NON")</f>
        <v/>
      </c>
      <c r="P211" s="63">
        <f>1.3*((L211/1000)*(K211/1000))^0.625/((L211/1000)+(K211/1000))^0.25</f>
        <v/>
      </c>
      <c r="Q211" s="65">
        <f>N211*P211/Hypothèses!$B$20</f>
        <v/>
      </c>
      <c r="R211" s="66">
        <f>0.25/(LOG10(Hypothèses!$B$21/(3.7*P211)+5.74/Q211^0.9))^2</f>
        <v/>
      </c>
      <c r="S211" s="64">
        <f>R211/P211*Hypothèses!$B$19*N211^2/2</f>
        <v/>
      </c>
      <c r="T211" s="62">
        <f>S211*G211*(1+Hypothèses!$B$22)</f>
        <v/>
      </c>
      <c r="U211" s="45" t="inlineStr">
        <is>
          <t>X</t>
        </is>
      </c>
      <c r="V211" s="60">
        <f>IF(K211&lt;=Hypothèses!$B$28-100,"oui","NON")</f>
        <v/>
      </c>
    </row>
    <row r="212" ht="15" customHeight="1" s="40">
      <c r="A212" s="60" t="inlineStr">
        <is>
          <t>CTA 5</t>
        </is>
      </c>
      <c r="B212" s="60" t="inlineStr">
        <is>
          <t>CTA5-S14</t>
        </is>
      </c>
      <c r="C212" s="60" t="inlineStr">
        <is>
          <t>N00</t>
        </is>
      </c>
      <c r="D212" s="60" t="inlineStr">
        <is>
          <t>Faux plafond couloir</t>
        </is>
      </c>
      <c r="E212" s="60" t="inlineStr">
        <is>
          <t>Soufflage</t>
        </is>
      </c>
      <c r="F212" s="60" t="inlineStr">
        <is>
          <t>SOI05 transmissions</t>
        </is>
      </c>
      <c r="G212" s="61" t="n">
        <v>1.765</v>
      </c>
      <c r="H212" s="46" t="n">
        <v>5249</v>
      </c>
      <c r="I212" s="62">
        <f>IF(A212="CTA 5",MIN(INDEX(Hypothèses!$C$6:$C$16,MATCH(H212,Hypothèses!$A$6:$A$16,1)),Hypothèses!$B$30),INDEX(Hypothèses!$C$6:$C$16,MATCH(H212,Hypothèses!$A$6:$A$16,1)))</f>
        <v/>
      </c>
      <c r="J212" s="63">
        <f>H212/3600/I212</f>
        <v/>
      </c>
      <c r="K212" s="60">
        <f>IF(A212="CTA 4",Hypothèses!$B$25,IF(AND(A212="CTA 5",H212&gt;4000),Hypothèses!$B$29,IF(H212&lt;=2000,Hypothèses!$B$23,Hypothèses!$B$24)))</f>
        <v/>
      </c>
      <c r="L212" s="60">
        <f>MAX(Hypothèses!$B$26,CEILING(J212/(K212/1000)*1000,Hypothèses!$B$27))</f>
        <v/>
      </c>
      <c r="M212" s="63">
        <f>L212*K212/1000000</f>
        <v/>
      </c>
      <c r="N212" s="64">
        <f>H212/3600/M212</f>
        <v/>
      </c>
      <c r="O212" s="60">
        <f>IF(N212&lt;=I212,"oui","NON")</f>
        <v/>
      </c>
      <c r="P212" s="63">
        <f>1.3*((L212/1000)*(K212/1000))^0.625/((L212/1000)+(K212/1000))^0.25</f>
        <v/>
      </c>
      <c r="Q212" s="65">
        <f>N212*P212/Hypothèses!$B$20</f>
        <v/>
      </c>
      <c r="R212" s="66">
        <f>0.25/(LOG10(Hypothèses!$B$21/(3.7*P212)+5.74/Q212^0.9))^2</f>
        <v/>
      </c>
      <c r="S212" s="64">
        <f>R212/P212*Hypothèses!$B$19*N212^2/2</f>
        <v/>
      </c>
      <c r="T212" s="62">
        <f>S212*G212*(1+Hypothèses!$B$22)</f>
        <v/>
      </c>
      <c r="U212" s="45" t="inlineStr">
        <is>
          <t>X</t>
        </is>
      </c>
      <c r="V212" s="60">
        <f>IF(K212&lt;=Hypothèses!$B$28-100,"oui","NON")</f>
        <v/>
      </c>
    </row>
    <row r="213" ht="15" customHeight="1" s="40">
      <c r="A213" s="60" t="inlineStr">
        <is>
          <t>CTA 5</t>
        </is>
      </c>
      <c r="B213" s="60" t="inlineStr">
        <is>
          <t>CTA5-S15</t>
        </is>
      </c>
      <c r="C213" s="60" t="inlineStr">
        <is>
          <t>N00</t>
        </is>
      </c>
      <c r="D213" s="60" t="inlineStr">
        <is>
          <t>Faux plafond couloir</t>
        </is>
      </c>
      <c r="E213" s="60" t="inlineStr">
        <is>
          <t>Soufflage</t>
        </is>
      </c>
      <c r="F213" s="60" t="inlineStr">
        <is>
          <t>LOG02 stock</t>
        </is>
      </c>
      <c r="G213" s="61" t="n">
        <v>2.275</v>
      </c>
      <c r="H213" s="46" t="n">
        <v>5249</v>
      </c>
      <c r="I213" s="62">
        <f>IF(A213="CTA 5",MIN(INDEX(Hypothèses!$C$6:$C$16,MATCH(H213,Hypothèses!$A$6:$A$16,1)),Hypothèses!$B$30),INDEX(Hypothèses!$C$6:$C$16,MATCH(H213,Hypothèses!$A$6:$A$16,1)))</f>
        <v/>
      </c>
      <c r="J213" s="63">
        <f>H213/3600/I213</f>
        <v/>
      </c>
      <c r="K213" s="60">
        <f>IF(A213="CTA 4",Hypothèses!$B$25,IF(AND(A213="CTA 5",H213&gt;4000),Hypothèses!$B$29,IF(H213&lt;=2000,Hypothèses!$B$23,Hypothèses!$B$24)))</f>
        <v/>
      </c>
      <c r="L213" s="60">
        <f>MAX(Hypothèses!$B$26,CEILING(J213/(K213/1000)*1000,Hypothèses!$B$27))</f>
        <v/>
      </c>
      <c r="M213" s="63">
        <f>L213*K213/1000000</f>
        <v/>
      </c>
      <c r="N213" s="64">
        <f>H213/3600/M213</f>
        <v/>
      </c>
      <c r="O213" s="60">
        <f>IF(N213&lt;=I213,"oui","NON")</f>
        <v/>
      </c>
      <c r="P213" s="63">
        <f>1.3*((L213/1000)*(K213/1000))^0.625/((L213/1000)+(K213/1000))^0.25</f>
        <v/>
      </c>
      <c r="Q213" s="65">
        <f>N213*P213/Hypothèses!$B$20</f>
        <v/>
      </c>
      <c r="R213" s="66">
        <f>0.25/(LOG10(Hypothèses!$B$21/(3.7*P213)+5.74/Q213^0.9))^2</f>
        <v/>
      </c>
      <c r="S213" s="64">
        <f>R213/P213*Hypothèses!$B$19*N213^2/2</f>
        <v/>
      </c>
      <c r="T213" s="62">
        <f>S213*G213*(1+Hypothèses!$B$22)</f>
        <v/>
      </c>
      <c r="U213" s="45" t="inlineStr">
        <is>
          <t>X</t>
        </is>
      </c>
      <c r="V213" s="60">
        <f>IF(K213&lt;=Hypothèses!$B$28-100,"oui","NON")</f>
        <v/>
      </c>
    </row>
    <row r="214" ht="15" customHeight="1" s="40">
      <c r="A214" s="60" t="inlineStr">
        <is>
          <t>CTA 5</t>
        </is>
      </c>
      <c r="B214" s="60" t="inlineStr">
        <is>
          <t>CTA5-S16</t>
        </is>
      </c>
      <c r="C214" s="60" t="inlineStr">
        <is>
          <t>N00</t>
        </is>
      </c>
      <c r="D214" s="60" t="inlineStr">
        <is>
          <t>Faux plafond couloir</t>
        </is>
      </c>
      <c r="E214" s="60" t="inlineStr">
        <is>
          <t>Soufflage</t>
        </is>
      </c>
      <c r="F214" s="60" t="n"/>
      <c r="G214" s="61" t="n">
        <v>3.676</v>
      </c>
      <c r="H214" s="46" t="n">
        <v>5149</v>
      </c>
      <c r="I214" s="62">
        <f>IF(A214="CTA 5",MIN(INDEX(Hypothèses!$C$6:$C$16,MATCH(H214,Hypothèses!$A$6:$A$16,1)),Hypothèses!$B$30),INDEX(Hypothèses!$C$6:$C$16,MATCH(H214,Hypothèses!$A$6:$A$16,1)))</f>
        <v/>
      </c>
      <c r="J214" s="63">
        <f>H214/3600/I214</f>
        <v/>
      </c>
      <c r="K214" s="60">
        <f>IF(A214="CTA 4",Hypothèses!$B$25,IF(AND(A214="CTA 5",H214&gt;4000),Hypothèses!$B$29,IF(H214&lt;=2000,Hypothèses!$B$23,Hypothèses!$B$24)))</f>
        <v/>
      </c>
      <c r="L214" s="60">
        <f>MAX(Hypothèses!$B$26,CEILING(J214/(K214/1000)*1000,Hypothèses!$B$27))</f>
        <v/>
      </c>
      <c r="M214" s="63">
        <f>L214*K214/1000000</f>
        <v/>
      </c>
      <c r="N214" s="64">
        <f>H214/3600/M214</f>
        <v/>
      </c>
      <c r="O214" s="60">
        <f>IF(N214&lt;=I214,"oui","NON")</f>
        <v/>
      </c>
      <c r="P214" s="63">
        <f>1.3*((L214/1000)*(K214/1000))^0.625/((L214/1000)+(K214/1000))^0.25</f>
        <v/>
      </c>
      <c r="Q214" s="65">
        <f>N214*P214/Hypothèses!$B$20</f>
        <v/>
      </c>
      <c r="R214" s="66">
        <f>0.25/(LOG10(Hypothèses!$B$21/(3.7*P214)+5.74/Q214^0.9))^2</f>
        <v/>
      </c>
      <c r="S214" s="64">
        <f>R214/P214*Hypothèses!$B$19*N214^2/2</f>
        <v/>
      </c>
      <c r="T214" s="62">
        <f>S214*G214*(1+Hypothèses!$B$22)</f>
        <v/>
      </c>
      <c r="U214" s="45" t="inlineStr">
        <is>
          <t>X</t>
        </is>
      </c>
      <c r="V214" s="60">
        <f>IF(K214&lt;=Hypothèses!$B$28-100,"oui","NON")</f>
        <v/>
      </c>
    </row>
    <row r="215" ht="15" customHeight="1" s="40">
      <c r="A215" s="60" t="inlineStr">
        <is>
          <t>CTA 5</t>
        </is>
      </c>
      <c r="B215" s="60" t="inlineStr">
        <is>
          <t>CTA5-S17</t>
        </is>
      </c>
      <c r="C215" s="60" t="inlineStr">
        <is>
          <t>N00</t>
        </is>
      </c>
      <c r="D215" s="60" t="inlineStr">
        <is>
          <t>Faux plafond couloir</t>
        </is>
      </c>
      <c r="E215" s="60" t="inlineStr">
        <is>
          <t>Soufflage</t>
        </is>
      </c>
      <c r="F215" s="60" t="inlineStr">
        <is>
          <t>départ vers l'étage (local linge S)</t>
        </is>
      </c>
      <c r="G215" s="61" t="n">
        <v>1.9</v>
      </c>
      <c r="H215" s="46" t="n">
        <v>5147</v>
      </c>
      <c r="I215" s="62">
        <f>IF(A215="CTA 5",MIN(INDEX(Hypothèses!$C$6:$C$16,MATCH(H215,Hypothèses!$A$6:$A$16,1)),Hypothèses!$B$30),INDEX(Hypothèses!$C$6:$C$16,MATCH(H215,Hypothèses!$A$6:$A$16,1)))</f>
        <v/>
      </c>
      <c r="J215" s="63">
        <f>H215/3600/I215</f>
        <v/>
      </c>
      <c r="K215" s="60">
        <f>IF(A215="CTA 4",Hypothèses!$B$25,IF(AND(A215="CTA 5",H215&gt;4000),Hypothèses!$B$29,IF(H215&lt;=2000,Hypothèses!$B$23,Hypothèses!$B$24)))</f>
        <v/>
      </c>
      <c r="L215" s="60">
        <f>MAX(Hypothèses!$B$26,CEILING(J215/(K215/1000)*1000,Hypothèses!$B$27))</f>
        <v/>
      </c>
      <c r="M215" s="63">
        <f>L215*K215/1000000</f>
        <v/>
      </c>
      <c r="N215" s="64">
        <f>H215/3600/M215</f>
        <v/>
      </c>
      <c r="O215" s="60">
        <f>IF(N215&lt;=I215,"oui","NON")</f>
        <v/>
      </c>
      <c r="P215" s="63">
        <f>1.3*((L215/1000)*(K215/1000))^0.625/((L215/1000)+(K215/1000))^0.25</f>
        <v/>
      </c>
      <c r="Q215" s="65">
        <f>N215*P215/Hypothèses!$B$20</f>
        <v/>
      </c>
      <c r="R215" s="66">
        <f>0.25/(LOG10(Hypothèses!$B$21/(3.7*P215)+5.74/Q215^0.9))^2</f>
        <v/>
      </c>
      <c r="S215" s="64">
        <f>R215/P215*Hypothèses!$B$19*N215^2/2</f>
        <v/>
      </c>
      <c r="T215" s="62">
        <f>S215*G215*(1+Hypothèses!$B$22)</f>
        <v/>
      </c>
      <c r="U215" s="45" t="inlineStr">
        <is>
          <t>X</t>
        </is>
      </c>
      <c r="V215" s="60">
        <f>IF(K215&lt;=Hypothèses!$B$28-100,"oui","NON")</f>
        <v/>
      </c>
    </row>
    <row r="216" ht="15" customHeight="1" s="40">
      <c r="A216" s="60" t="inlineStr">
        <is>
          <t>CTA 5</t>
        </is>
      </c>
      <c r="B216" s="60" t="inlineStr">
        <is>
          <t>CTA5-S18</t>
        </is>
      </c>
      <c r="C216" s="60" t="inlineStr">
        <is>
          <t>N00</t>
        </is>
      </c>
      <c r="D216" s="60" t="inlineStr">
        <is>
          <t>Faux plafond couloir</t>
        </is>
      </c>
      <c r="E216" s="60" t="inlineStr">
        <is>
          <t>Soufflage</t>
        </is>
      </c>
      <c r="F216" s="60" t="n"/>
      <c r="G216" s="61" t="n">
        <v>3.1</v>
      </c>
      <c r="H216" s="46" t="n">
        <v>3117</v>
      </c>
      <c r="I216" s="62">
        <f>IF(A216="CTA 5",MIN(INDEX(Hypothèses!$C$6:$C$16,MATCH(H216,Hypothèses!$A$6:$A$16,1)),Hypothèses!$B$30),INDEX(Hypothèses!$C$6:$C$16,MATCH(H216,Hypothèses!$A$6:$A$16,1)))</f>
        <v/>
      </c>
      <c r="J216" s="63">
        <f>H216/3600/I216</f>
        <v/>
      </c>
      <c r="K216" s="60">
        <f>IF(A216="CTA 4",Hypothèses!$B$25,IF(AND(A216="CTA 5",H216&gt;4000),Hypothèses!$B$29,IF(H216&lt;=2000,Hypothèses!$B$23,Hypothèses!$B$24)))</f>
        <v/>
      </c>
      <c r="L216" s="60">
        <f>MAX(Hypothèses!$B$26,CEILING(J216/(K216/1000)*1000,Hypothèses!$B$27))</f>
        <v/>
      </c>
      <c r="M216" s="63">
        <f>L216*K216/1000000</f>
        <v/>
      </c>
      <c r="N216" s="64">
        <f>H216/3600/M216</f>
        <v/>
      </c>
      <c r="O216" s="60">
        <f>IF(N216&lt;=I216,"oui","NON")</f>
        <v/>
      </c>
      <c r="P216" s="63">
        <f>1.3*((L216/1000)*(K216/1000))^0.625/((L216/1000)+(K216/1000))^0.25</f>
        <v/>
      </c>
      <c r="Q216" s="65">
        <f>N216*P216/Hypothèses!$B$20</f>
        <v/>
      </c>
      <c r="R216" s="66">
        <f>0.25/(LOG10(Hypothèses!$B$21/(3.7*P216)+5.74/Q216^0.9))^2</f>
        <v/>
      </c>
      <c r="S216" s="64">
        <f>R216/P216*Hypothèses!$B$19*N216^2/2</f>
        <v/>
      </c>
      <c r="T216" s="62">
        <f>S216*G216*(1+Hypothèses!$B$22)</f>
        <v/>
      </c>
      <c r="U216" s="45" t="inlineStr">
        <is>
          <t>X</t>
        </is>
      </c>
      <c r="V216" s="60">
        <f>IF(K216&lt;=Hypothèses!$B$28-100,"oui","NON")</f>
        <v/>
      </c>
    </row>
    <row r="217" ht="15" customHeight="1" s="40">
      <c r="A217" s="60" t="inlineStr">
        <is>
          <t>CTA 5</t>
        </is>
      </c>
      <c r="B217" s="60" t="inlineStr">
        <is>
          <t>CTA5-S19</t>
        </is>
      </c>
      <c r="C217" s="60" t="inlineStr">
        <is>
          <t>N00</t>
        </is>
      </c>
      <c r="D217" s="60" t="inlineStr">
        <is>
          <t>Faux plafond couloir</t>
        </is>
      </c>
      <c r="E217" s="60" t="inlineStr">
        <is>
          <t>Soufflage</t>
        </is>
      </c>
      <c r="F217" s="60" t="inlineStr">
        <is>
          <t>BUR02 accueil</t>
        </is>
      </c>
      <c r="G217" s="61" t="n">
        <v>1.3</v>
      </c>
      <c r="H217" s="46" t="n">
        <v>3117</v>
      </c>
      <c r="I217" s="62">
        <f>IF(A217="CTA 5",MIN(INDEX(Hypothèses!$C$6:$C$16,MATCH(H217,Hypothèses!$A$6:$A$16,1)),Hypothèses!$B$30),INDEX(Hypothèses!$C$6:$C$16,MATCH(H217,Hypothèses!$A$6:$A$16,1)))</f>
        <v/>
      </c>
      <c r="J217" s="63">
        <f>H217/3600/I217</f>
        <v/>
      </c>
      <c r="K217" s="60">
        <f>IF(A217="CTA 4",Hypothèses!$B$25,IF(AND(A217="CTA 5",H217&gt;4000),Hypothèses!$B$29,IF(H217&lt;=2000,Hypothèses!$B$23,Hypothèses!$B$24)))</f>
        <v/>
      </c>
      <c r="L217" s="60">
        <f>MAX(Hypothèses!$B$26,CEILING(J217/(K217/1000)*1000,Hypothèses!$B$27))</f>
        <v/>
      </c>
      <c r="M217" s="63">
        <f>L217*K217/1000000</f>
        <v/>
      </c>
      <c r="N217" s="64">
        <f>H217/3600/M217</f>
        <v/>
      </c>
      <c r="O217" s="60">
        <f>IF(N217&lt;=I217,"oui","NON")</f>
        <v/>
      </c>
      <c r="P217" s="63">
        <f>1.3*((L217/1000)*(K217/1000))^0.625/((L217/1000)+(K217/1000))^0.25</f>
        <v/>
      </c>
      <c r="Q217" s="65">
        <f>N217*P217/Hypothèses!$B$20</f>
        <v/>
      </c>
      <c r="R217" s="66">
        <f>0.25/(LOG10(Hypothèses!$B$21/(3.7*P217)+5.74/Q217^0.9))^2</f>
        <v/>
      </c>
      <c r="S217" s="64">
        <f>R217/P217*Hypothèses!$B$19*N217^2/2</f>
        <v/>
      </c>
      <c r="T217" s="62">
        <f>S217*G217*(1+Hypothèses!$B$22)</f>
        <v/>
      </c>
      <c r="U217" s="45" t="inlineStr">
        <is>
          <t>X</t>
        </is>
      </c>
      <c r="V217" s="60">
        <f>IF(K217&lt;=Hypothèses!$B$28-100,"oui","NON")</f>
        <v/>
      </c>
    </row>
    <row r="218" ht="15" customHeight="1" s="40">
      <c r="A218" s="60" t="inlineStr">
        <is>
          <t>CTA 5</t>
        </is>
      </c>
      <c r="B218" s="60" t="inlineStr">
        <is>
          <t>CTA5-S20</t>
        </is>
      </c>
      <c r="C218" s="60" t="inlineStr">
        <is>
          <t>N00</t>
        </is>
      </c>
      <c r="D218" s="60" t="inlineStr">
        <is>
          <t>Faux plafond couloir</t>
        </is>
      </c>
      <c r="E218" s="60" t="inlineStr">
        <is>
          <t>Soufflage</t>
        </is>
      </c>
      <c r="F218" s="60" t="n"/>
      <c r="G218" s="61" t="n">
        <v>2.55</v>
      </c>
      <c r="H218" s="46" t="n">
        <v>3067</v>
      </c>
      <c r="I218" s="62">
        <f>IF(A218="CTA 5",MIN(INDEX(Hypothèses!$C$6:$C$16,MATCH(H218,Hypothèses!$A$6:$A$16,1)),Hypothèses!$B$30),INDEX(Hypothèses!$C$6:$C$16,MATCH(H218,Hypothèses!$A$6:$A$16,1)))</f>
        <v/>
      </c>
      <c r="J218" s="63">
        <f>H218/3600/I218</f>
        <v/>
      </c>
      <c r="K218" s="60">
        <f>IF(A218="CTA 4",Hypothèses!$B$25,IF(AND(A218="CTA 5",H218&gt;4000),Hypothèses!$B$29,IF(H218&lt;=2000,Hypothèses!$B$23,Hypothèses!$B$24)))</f>
        <v/>
      </c>
      <c r="L218" s="60">
        <f>MAX(Hypothèses!$B$26,CEILING(J218/(K218/1000)*1000,Hypothèses!$B$27))</f>
        <v/>
      </c>
      <c r="M218" s="63">
        <f>L218*K218/1000000</f>
        <v/>
      </c>
      <c r="N218" s="64">
        <f>H218/3600/M218</f>
        <v/>
      </c>
      <c r="O218" s="60">
        <f>IF(N218&lt;=I218,"oui","NON")</f>
        <v/>
      </c>
      <c r="P218" s="63">
        <f>1.3*((L218/1000)*(K218/1000))^0.625/((L218/1000)+(K218/1000))^0.25</f>
        <v/>
      </c>
      <c r="Q218" s="65">
        <f>N218*P218/Hypothèses!$B$20</f>
        <v/>
      </c>
      <c r="R218" s="66">
        <f>0.25/(LOG10(Hypothèses!$B$21/(3.7*P218)+5.74/Q218^0.9))^2</f>
        <v/>
      </c>
      <c r="S218" s="64">
        <f>R218/P218*Hypothèses!$B$19*N218^2/2</f>
        <v/>
      </c>
      <c r="T218" s="62">
        <f>S218*G218*(1+Hypothèses!$B$22)</f>
        <v/>
      </c>
      <c r="U218" s="45" t="inlineStr">
        <is>
          <t>X</t>
        </is>
      </c>
      <c r="V218" s="60">
        <f>IF(K218&lt;=Hypothèses!$B$28-100,"oui","NON")</f>
        <v/>
      </c>
    </row>
    <row r="219" ht="15" customHeight="1" s="40">
      <c r="A219" s="60" t="inlineStr">
        <is>
          <t>CTA 5</t>
        </is>
      </c>
      <c r="B219" s="60" t="inlineStr">
        <is>
          <t>CTA5-S21</t>
        </is>
      </c>
      <c r="C219" s="60" t="inlineStr">
        <is>
          <t>N00</t>
        </is>
      </c>
      <c r="D219" s="60" t="inlineStr">
        <is>
          <t>Faux plafond couloir</t>
        </is>
      </c>
      <c r="E219" s="60" t="inlineStr">
        <is>
          <t>Soufflage</t>
        </is>
      </c>
      <c r="F219" s="60" t="n"/>
      <c r="G219" s="61" t="n">
        <v>1.28</v>
      </c>
      <c r="H219" s="46" t="n">
        <v>2856</v>
      </c>
      <c r="I219" s="62">
        <f>IF(A219="CTA 5",MIN(INDEX(Hypothèses!$C$6:$C$16,MATCH(H219,Hypothèses!$A$6:$A$16,1)),Hypothèses!$B$30),INDEX(Hypothèses!$C$6:$C$16,MATCH(H219,Hypothèses!$A$6:$A$16,1)))</f>
        <v/>
      </c>
      <c r="J219" s="63">
        <f>H219/3600/I219</f>
        <v/>
      </c>
      <c r="K219" s="60">
        <f>IF(A219="CTA 4",Hypothèses!$B$25,IF(AND(A219="CTA 5",H219&gt;4000),Hypothèses!$B$29,IF(H219&lt;=2000,Hypothèses!$B$23,Hypothèses!$B$24)))</f>
        <v/>
      </c>
      <c r="L219" s="60">
        <f>MAX(Hypothèses!$B$26,CEILING(J219/(K219/1000)*1000,Hypothèses!$B$27))</f>
        <v/>
      </c>
      <c r="M219" s="63">
        <f>L219*K219/1000000</f>
        <v/>
      </c>
      <c r="N219" s="64">
        <f>H219/3600/M219</f>
        <v/>
      </c>
      <c r="O219" s="60">
        <f>IF(N219&lt;=I219,"oui","NON")</f>
        <v/>
      </c>
      <c r="P219" s="63">
        <f>1.3*((L219/1000)*(K219/1000))^0.625/((L219/1000)+(K219/1000))^0.25</f>
        <v/>
      </c>
      <c r="Q219" s="65">
        <f>N219*P219/Hypothèses!$B$20</f>
        <v/>
      </c>
      <c r="R219" s="66">
        <f>0.25/(LOG10(Hypothèses!$B$21/(3.7*P219)+5.74/Q219^0.9))^2</f>
        <v/>
      </c>
      <c r="S219" s="64">
        <f>R219/P219*Hypothèses!$B$19*N219^2/2</f>
        <v/>
      </c>
      <c r="T219" s="62">
        <f>S219*G219*(1+Hypothèses!$B$22)</f>
        <v/>
      </c>
      <c r="U219" s="45" t="inlineStr">
        <is>
          <t>X</t>
        </is>
      </c>
      <c r="V219" s="60">
        <f>IF(K219&lt;=Hypothèses!$B$28-100,"oui","NON")</f>
        <v/>
      </c>
    </row>
    <row r="220" ht="15" customHeight="1" s="40">
      <c r="A220" s="60" t="inlineStr">
        <is>
          <t>CTA 5</t>
        </is>
      </c>
      <c r="B220" s="60" t="inlineStr">
        <is>
          <t>CTA5-S22</t>
        </is>
      </c>
      <c r="C220" s="60" t="inlineStr">
        <is>
          <t>N00</t>
        </is>
      </c>
      <c r="D220" s="60" t="inlineStr">
        <is>
          <t>Faux plafond couloir</t>
        </is>
      </c>
      <c r="E220" s="60" t="inlineStr">
        <is>
          <t>Soufflage</t>
        </is>
      </c>
      <c r="F220" s="60" t="n"/>
      <c r="G220" s="61" t="n">
        <v>5.28</v>
      </c>
      <c r="H220" s="46" t="n">
        <v>2856</v>
      </c>
      <c r="I220" s="62">
        <f>IF(A220="CTA 5",MIN(INDEX(Hypothèses!$C$6:$C$16,MATCH(H220,Hypothèses!$A$6:$A$16,1)),Hypothèses!$B$30),INDEX(Hypothèses!$C$6:$C$16,MATCH(H220,Hypothèses!$A$6:$A$16,1)))</f>
        <v/>
      </c>
      <c r="J220" s="63">
        <f>H220/3600/I220</f>
        <v/>
      </c>
      <c r="K220" s="60">
        <f>IF(A220="CTA 4",Hypothèses!$B$25,IF(AND(A220="CTA 5",H220&gt;4000),Hypothèses!$B$29,IF(H220&lt;=2000,Hypothèses!$B$23,Hypothèses!$B$24)))</f>
        <v/>
      </c>
      <c r="L220" s="60">
        <f>MAX(Hypothèses!$B$26,CEILING(J220/(K220/1000)*1000,Hypothèses!$B$27))</f>
        <v/>
      </c>
      <c r="M220" s="63">
        <f>L220*K220/1000000</f>
        <v/>
      </c>
      <c r="N220" s="64">
        <f>H220/3600/M220</f>
        <v/>
      </c>
      <c r="O220" s="60">
        <f>IF(N220&lt;=I220,"oui","NON")</f>
        <v/>
      </c>
      <c r="P220" s="63">
        <f>1.3*((L220/1000)*(K220/1000))^0.625/((L220/1000)+(K220/1000))^0.25</f>
        <v/>
      </c>
      <c r="Q220" s="65">
        <f>N220*P220/Hypothèses!$B$20</f>
        <v/>
      </c>
      <c r="R220" s="66">
        <f>0.25/(LOG10(Hypothèses!$B$21/(3.7*P220)+5.74/Q220^0.9))^2</f>
        <v/>
      </c>
      <c r="S220" s="64">
        <f>R220/P220*Hypothèses!$B$19*N220^2/2</f>
        <v/>
      </c>
      <c r="T220" s="62">
        <f>S220*G220*(1+Hypothèses!$B$22)</f>
        <v/>
      </c>
      <c r="U220" s="45" t="inlineStr">
        <is>
          <t>X</t>
        </is>
      </c>
      <c r="V220" s="60">
        <f>IF(K220&lt;=Hypothèses!$B$28-100,"oui","NON")</f>
        <v/>
      </c>
    </row>
    <row r="221" ht="15" customHeight="1" s="40">
      <c r="A221" s="60" t="inlineStr">
        <is>
          <t>CTA 5</t>
        </is>
      </c>
      <c r="B221" s="60" t="inlineStr">
        <is>
          <t>CTA5-S23</t>
        </is>
      </c>
      <c r="C221" s="60" t="inlineStr">
        <is>
          <t>N00</t>
        </is>
      </c>
      <c r="D221" s="60" t="inlineStr">
        <is>
          <t>Faux plafond couloir</t>
        </is>
      </c>
      <c r="E221" s="60" t="inlineStr">
        <is>
          <t>Soufflage</t>
        </is>
      </c>
      <c r="F221" s="60" t="inlineStr">
        <is>
          <t>LOG02 réserve centrale</t>
        </is>
      </c>
      <c r="G221" s="61" t="n">
        <v>1.3</v>
      </c>
      <c r="H221" s="46" t="n">
        <v>2856</v>
      </c>
      <c r="I221" s="62">
        <f>IF(A221="CTA 5",MIN(INDEX(Hypothèses!$C$6:$C$16,MATCH(H221,Hypothèses!$A$6:$A$16,1)),Hypothèses!$B$30),INDEX(Hypothèses!$C$6:$C$16,MATCH(H221,Hypothèses!$A$6:$A$16,1)))</f>
        <v/>
      </c>
      <c r="J221" s="63">
        <f>H221/3600/I221</f>
        <v/>
      </c>
      <c r="K221" s="60">
        <f>IF(A221="CTA 4",Hypothèses!$B$25,IF(AND(A221="CTA 5",H221&gt;4000),Hypothèses!$B$29,IF(H221&lt;=2000,Hypothèses!$B$23,Hypothèses!$B$24)))</f>
        <v/>
      </c>
      <c r="L221" s="60">
        <f>MAX(Hypothèses!$B$26,CEILING(J221/(K221/1000)*1000,Hypothèses!$B$27))</f>
        <v/>
      </c>
      <c r="M221" s="63">
        <f>L221*K221/1000000</f>
        <v/>
      </c>
      <c r="N221" s="64">
        <f>H221/3600/M221</f>
        <v/>
      </c>
      <c r="O221" s="60">
        <f>IF(N221&lt;=I221,"oui","NON")</f>
        <v/>
      </c>
      <c r="P221" s="63">
        <f>1.3*((L221/1000)*(K221/1000))^0.625/((L221/1000)+(K221/1000))^0.25</f>
        <v/>
      </c>
      <c r="Q221" s="65">
        <f>N221*P221/Hypothèses!$B$20</f>
        <v/>
      </c>
      <c r="R221" s="66">
        <f>0.25/(LOG10(Hypothèses!$B$21/(3.7*P221)+5.74/Q221^0.9))^2</f>
        <v/>
      </c>
      <c r="S221" s="64">
        <f>R221/P221*Hypothèses!$B$19*N221^2/2</f>
        <v/>
      </c>
      <c r="T221" s="62">
        <f>S221*G221*(1+Hypothèses!$B$22)</f>
        <v/>
      </c>
      <c r="U221" s="45" t="inlineStr">
        <is>
          <t>X</t>
        </is>
      </c>
      <c r="V221" s="60">
        <f>IF(K221&lt;=Hypothèses!$B$28-100,"oui","NON")</f>
        <v/>
      </c>
    </row>
    <row r="222" ht="15" customHeight="1" s="40">
      <c r="A222" s="60" t="inlineStr">
        <is>
          <t>CTA 5</t>
        </is>
      </c>
      <c r="B222" s="60" t="inlineStr">
        <is>
          <t>CTA5-S24</t>
        </is>
      </c>
      <c r="C222" s="60" t="inlineStr">
        <is>
          <t>N00</t>
        </is>
      </c>
      <c r="D222" s="60" t="inlineStr">
        <is>
          <t>Faux plafond couloir</t>
        </is>
      </c>
      <c r="E222" s="60" t="inlineStr">
        <is>
          <t>Soufflage</t>
        </is>
      </c>
      <c r="F222" s="60" t="inlineStr">
        <is>
          <t>LOG06 linge P</t>
        </is>
      </c>
      <c r="G222" s="61" t="n">
        <v>1.151</v>
      </c>
      <c r="H222" s="46" t="n">
        <v>2852</v>
      </c>
      <c r="I222" s="62">
        <f>IF(A222="CTA 5",MIN(INDEX(Hypothèses!$C$6:$C$16,MATCH(H222,Hypothèses!$A$6:$A$16,1)),Hypothèses!$B$30),INDEX(Hypothèses!$C$6:$C$16,MATCH(H222,Hypothèses!$A$6:$A$16,1)))</f>
        <v/>
      </c>
      <c r="J222" s="63">
        <f>H222/3600/I222</f>
        <v/>
      </c>
      <c r="K222" s="60">
        <f>IF(A222="CTA 4",Hypothèses!$B$25,IF(AND(A222="CTA 5",H222&gt;4000),Hypothèses!$B$29,IF(H222&lt;=2000,Hypothèses!$B$23,Hypothèses!$B$24)))</f>
        <v/>
      </c>
      <c r="L222" s="60">
        <f>MAX(Hypothèses!$B$26,CEILING(J222/(K222/1000)*1000,Hypothèses!$B$27))</f>
        <v/>
      </c>
      <c r="M222" s="63">
        <f>L222*K222/1000000</f>
        <v/>
      </c>
      <c r="N222" s="64">
        <f>H222/3600/M222</f>
        <v/>
      </c>
      <c r="O222" s="60">
        <f>IF(N222&lt;=I222,"oui","NON")</f>
        <v/>
      </c>
      <c r="P222" s="63">
        <f>1.3*((L222/1000)*(K222/1000))^0.625/((L222/1000)+(K222/1000))^0.25</f>
        <v/>
      </c>
      <c r="Q222" s="65">
        <f>N222*P222/Hypothèses!$B$20</f>
        <v/>
      </c>
      <c r="R222" s="66">
        <f>0.25/(LOG10(Hypothèses!$B$21/(3.7*P222)+5.74/Q222^0.9))^2</f>
        <v/>
      </c>
      <c r="S222" s="64">
        <f>R222/P222*Hypothèses!$B$19*N222^2/2</f>
        <v/>
      </c>
      <c r="T222" s="62">
        <f>S222*G222*(1+Hypothèses!$B$22)</f>
        <v/>
      </c>
      <c r="U222" s="45" t="inlineStr">
        <is>
          <t>X</t>
        </is>
      </c>
      <c r="V222" s="60">
        <f>IF(K222&lt;=Hypothèses!$B$28-100,"oui","NON")</f>
        <v/>
      </c>
    </row>
    <row r="223" ht="15" customHeight="1" s="40">
      <c r="A223" s="60" t="inlineStr">
        <is>
          <t>CTA 5</t>
        </is>
      </c>
      <c r="B223" s="60" t="inlineStr">
        <is>
          <t>CTA5-S25</t>
        </is>
      </c>
      <c r="C223" s="60" t="inlineStr">
        <is>
          <t>N00</t>
        </is>
      </c>
      <c r="D223" s="60" t="inlineStr">
        <is>
          <t>Faux plafond couloir</t>
        </is>
      </c>
      <c r="E223" s="60" t="inlineStr">
        <is>
          <t>Soufflage</t>
        </is>
      </c>
      <c r="F223" s="60" t="inlineStr">
        <is>
          <t>LOG09 atelier</t>
        </is>
      </c>
      <c r="G223" s="61" t="n">
        <v>1.602</v>
      </c>
      <c r="H223" s="46" t="n">
        <v>2847</v>
      </c>
      <c r="I223" s="62">
        <f>IF(A223="CTA 5",MIN(INDEX(Hypothèses!$C$6:$C$16,MATCH(H223,Hypothèses!$A$6:$A$16,1)),Hypothèses!$B$30),INDEX(Hypothèses!$C$6:$C$16,MATCH(H223,Hypothèses!$A$6:$A$16,1)))</f>
        <v/>
      </c>
      <c r="J223" s="63">
        <f>H223/3600/I223</f>
        <v/>
      </c>
      <c r="K223" s="60">
        <f>IF(A223="CTA 4",Hypothèses!$B$25,IF(AND(A223="CTA 5",H223&gt;4000),Hypothèses!$B$29,IF(H223&lt;=2000,Hypothèses!$B$23,Hypothèses!$B$24)))</f>
        <v/>
      </c>
      <c r="L223" s="60">
        <f>MAX(Hypothèses!$B$26,CEILING(J223/(K223/1000)*1000,Hypothèses!$B$27))</f>
        <v/>
      </c>
      <c r="M223" s="63">
        <f>L223*K223/1000000</f>
        <v/>
      </c>
      <c r="N223" s="64">
        <f>H223/3600/M223</f>
        <v/>
      </c>
      <c r="O223" s="60">
        <f>IF(N223&lt;=I223,"oui","NON")</f>
        <v/>
      </c>
      <c r="P223" s="63">
        <f>1.3*((L223/1000)*(K223/1000))^0.625/((L223/1000)+(K223/1000))^0.25</f>
        <v/>
      </c>
      <c r="Q223" s="65">
        <f>N223*P223/Hypothèses!$B$20</f>
        <v/>
      </c>
      <c r="R223" s="66">
        <f>0.25/(LOG10(Hypothèses!$B$21/(3.7*P223)+5.74/Q223^0.9))^2</f>
        <v/>
      </c>
      <c r="S223" s="64">
        <f>R223/P223*Hypothèses!$B$19*N223^2/2</f>
        <v/>
      </c>
      <c r="T223" s="62">
        <f>S223*G223*(1+Hypothèses!$B$22)</f>
        <v/>
      </c>
      <c r="U223" s="45" t="inlineStr">
        <is>
          <t>X</t>
        </is>
      </c>
      <c r="V223" s="60">
        <f>IF(K223&lt;=Hypothèses!$B$28-100,"oui","NON")</f>
        <v/>
      </c>
    </row>
    <row r="224" ht="15" customHeight="1" s="40">
      <c r="A224" s="60" t="inlineStr">
        <is>
          <t>CTA 5</t>
        </is>
      </c>
      <c r="B224" s="60" t="inlineStr">
        <is>
          <t>CTA5-S26</t>
        </is>
      </c>
      <c r="C224" s="60" t="inlineStr">
        <is>
          <t>N00</t>
        </is>
      </c>
      <c r="D224" s="60" t="inlineStr">
        <is>
          <t>Faux plafond couloir</t>
        </is>
      </c>
      <c r="E224" s="60" t="inlineStr">
        <is>
          <t>Soufflage</t>
        </is>
      </c>
      <c r="F224" s="60" t="inlineStr">
        <is>
          <t>LOG02 stock anim.</t>
        </is>
      </c>
      <c r="G224" s="61" t="n">
        <v>2.352</v>
      </c>
      <c r="H224" s="46" t="n">
        <v>2847</v>
      </c>
      <c r="I224" s="62">
        <f>IF(A224="CTA 5",MIN(INDEX(Hypothèses!$C$6:$C$16,MATCH(H224,Hypothèses!$A$6:$A$16,1)),Hypothèses!$B$30),INDEX(Hypothèses!$C$6:$C$16,MATCH(H224,Hypothèses!$A$6:$A$16,1)))</f>
        <v/>
      </c>
      <c r="J224" s="63">
        <f>H224/3600/I224</f>
        <v/>
      </c>
      <c r="K224" s="60">
        <f>IF(A224="CTA 4",Hypothèses!$B$25,IF(AND(A224="CTA 5",H224&gt;4000),Hypothèses!$B$29,IF(H224&lt;=2000,Hypothèses!$B$23,Hypothèses!$B$24)))</f>
        <v/>
      </c>
      <c r="L224" s="60">
        <f>MAX(Hypothèses!$B$26,CEILING(J224/(K224/1000)*1000,Hypothèses!$B$27))</f>
        <v/>
      </c>
      <c r="M224" s="63">
        <f>L224*K224/1000000</f>
        <v/>
      </c>
      <c r="N224" s="64">
        <f>H224/3600/M224</f>
        <v/>
      </c>
      <c r="O224" s="60">
        <f>IF(N224&lt;=I224,"oui","NON")</f>
        <v/>
      </c>
      <c r="P224" s="63">
        <f>1.3*((L224/1000)*(K224/1000))^0.625/((L224/1000)+(K224/1000))^0.25</f>
        <v/>
      </c>
      <c r="Q224" s="65">
        <f>N224*P224/Hypothèses!$B$20</f>
        <v/>
      </c>
      <c r="R224" s="66">
        <f>0.25/(LOG10(Hypothèses!$B$21/(3.7*P224)+5.74/Q224^0.9))^2</f>
        <v/>
      </c>
      <c r="S224" s="64">
        <f>R224/P224*Hypothèses!$B$19*N224^2/2</f>
        <v/>
      </c>
      <c r="T224" s="62">
        <f>S224*G224*(1+Hypothèses!$B$22)</f>
        <v/>
      </c>
      <c r="U224" s="45" t="inlineStr">
        <is>
          <t>X</t>
        </is>
      </c>
      <c r="V224" s="60">
        <f>IF(K224&lt;=Hypothèses!$B$28-100,"oui","NON")</f>
        <v/>
      </c>
    </row>
    <row r="225" ht="15" customHeight="1" s="40">
      <c r="A225" s="60" t="inlineStr">
        <is>
          <t>CTA 5</t>
        </is>
      </c>
      <c r="B225" s="60" t="inlineStr">
        <is>
          <t>CTA5-S27</t>
        </is>
      </c>
      <c r="C225" s="60" t="inlineStr">
        <is>
          <t>N00</t>
        </is>
      </c>
      <c r="D225" s="60" t="inlineStr">
        <is>
          <t>Faux plafond couloir</t>
        </is>
      </c>
      <c r="E225" s="60" t="inlineStr">
        <is>
          <t>Soufflage</t>
        </is>
      </c>
      <c r="F225" s="60" t="inlineStr">
        <is>
          <t>EXT03 espaces verts</t>
        </is>
      </c>
      <c r="G225" s="61" t="n">
        <v>2.268</v>
      </c>
      <c r="H225" s="46" t="n">
        <v>2752</v>
      </c>
      <c r="I225" s="62">
        <f>IF(A225="CTA 5",MIN(INDEX(Hypothèses!$C$6:$C$16,MATCH(H225,Hypothèses!$A$6:$A$16,1)),Hypothèses!$B$30),INDEX(Hypothèses!$C$6:$C$16,MATCH(H225,Hypothèses!$A$6:$A$16,1)))</f>
        <v/>
      </c>
      <c r="J225" s="63">
        <f>H225/3600/I225</f>
        <v/>
      </c>
      <c r="K225" s="60">
        <f>IF(A225="CTA 4",Hypothèses!$B$25,IF(AND(A225="CTA 5",H225&gt;4000),Hypothèses!$B$29,IF(H225&lt;=2000,Hypothèses!$B$23,Hypothèses!$B$24)))</f>
        <v/>
      </c>
      <c r="L225" s="60">
        <f>MAX(Hypothèses!$B$26,CEILING(J225/(K225/1000)*1000,Hypothèses!$B$27))</f>
        <v/>
      </c>
      <c r="M225" s="63">
        <f>L225*K225/1000000</f>
        <v/>
      </c>
      <c r="N225" s="64">
        <f>H225/3600/M225</f>
        <v/>
      </c>
      <c r="O225" s="60">
        <f>IF(N225&lt;=I225,"oui","NON")</f>
        <v/>
      </c>
      <c r="P225" s="63">
        <f>1.3*((L225/1000)*(K225/1000))^0.625/((L225/1000)+(K225/1000))^0.25</f>
        <v/>
      </c>
      <c r="Q225" s="65">
        <f>N225*P225/Hypothèses!$B$20</f>
        <v/>
      </c>
      <c r="R225" s="66">
        <f>0.25/(LOG10(Hypothèses!$B$21/(3.7*P225)+5.74/Q225^0.9))^2</f>
        <v/>
      </c>
      <c r="S225" s="64">
        <f>R225/P225*Hypothèses!$B$19*N225^2/2</f>
        <v/>
      </c>
      <c r="T225" s="62">
        <f>S225*G225*(1+Hypothèses!$B$22)</f>
        <v/>
      </c>
      <c r="U225" s="45" t="inlineStr">
        <is>
          <t>X</t>
        </is>
      </c>
      <c r="V225" s="60">
        <f>IF(K225&lt;=Hypothèses!$B$28-100,"oui","NON")</f>
        <v/>
      </c>
    </row>
    <row r="226" ht="15" customHeight="1" s="40">
      <c r="A226" s="60" t="inlineStr">
        <is>
          <t>CTA 5</t>
        </is>
      </c>
      <c r="B226" s="60" t="inlineStr">
        <is>
          <t>CTA5-S28</t>
        </is>
      </c>
      <c r="C226" s="60" t="inlineStr">
        <is>
          <t>N00</t>
        </is>
      </c>
      <c r="D226" s="60" t="inlineStr">
        <is>
          <t>Faux plafond couloir</t>
        </is>
      </c>
      <c r="E226" s="60" t="inlineStr">
        <is>
          <t>Soufflage</t>
        </is>
      </c>
      <c r="F226" s="60" t="inlineStr">
        <is>
          <t>LOG03 stock mat.</t>
        </is>
      </c>
      <c r="G226" s="61" t="n">
        <v>0.498</v>
      </c>
      <c r="H226" s="46" t="n">
        <v>2748</v>
      </c>
      <c r="I226" s="62">
        <f>IF(A226="CTA 5",MIN(INDEX(Hypothèses!$C$6:$C$16,MATCH(H226,Hypothèses!$A$6:$A$16,1)),Hypothèses!$B$30),INDEX(Hypothèses!$C$6:$C$16,MATCH(H226,Hypothèses!$A$6:$A$16,1)))</f>
        <v/>
      </c>
      <c r="J226" s="63">
        <f>H226/3600/I226</f>
        <v/>
      </c>
      <c r="K226" s="60">
        <f>IF(A226="CTA 4",Hypothèses!$B$25,IF(AND(A226="CTA 5",H226&gt;4000),Hypothèses!$B$29,IF(H226&lt;=2000,Hypothèses!$B$23,Hypothèses!$B$24)))</f>
        <v/>
      </c>
      <c r="L226" s="60">
        <f>MAX(Hypothèses!$B$26,CEILING(J226/(K226/1000)*1000,Hypothèses!$B$27))</f>
        <v/>
      </c>
      <c r="M226" s="63">
        <f>L226*K226/1000000</f>
        <v/>
      </c>
      <c r="N226" s="64">
        <f>H226/3600/M226</f>
        <v/>
      </c>
      <c r="O226" s="60">
        <f>IF(N226&lt;=I226,"oui","NON")</f>
        <v/>
      </c>
      <c r="P226" s="63">
        <f>1.3*((L226/1000)*(K226/1000))^0.625/((L226/1000)+(K226/1000))^0.25</f>
        <v/>
      </c>
      <c r="Q226" s="65">
        <f>N226*P226/Hypothèses!$B$20</f>
        <v/>
      </c>
      <c r="R226" s="66">
        <f>0.25/(LOG10(Hypothèses!$B$21/(3.7*P226)+5.74/Q226^0.9))^2</f>
        <v/>
      </c>
      <c r="S226" s="64">
        <f>R226/P226*Hypothèses!$B$19*N226^2/2</f>
        <v/>
      </c>
      <c r="T226" s="62">
        <f>S226*G226*(1+Hypothèses!$B$22)</f>
        <v/>
      </c>
      <c r="U226" s="45" t="inlineStr">
        <is>
          <t>X</t>
        </is>
      </c>
      <c r="V226" s="60">
        <f>IF(K226&lt;=Hypothèses!$B$28-100,"oui","NON")</f>
        <v/>
      </c>
    </row>
    <row r="227" ht="15" customHeight="1" s="40">
      <c r="A227" s="60" t="inlineStr">
        <is>
          <t>CTA 5</t>
        </is>
      </c>
      <c r="B227" s="60" t="inlineStr">
        <is>
          <t>CTA5-S29</t>
        </is>
      </c>
      <c r="C227" s="60" t="inlineStr">
        <is>
          <t>N00</t>
        </is>
      </c>
      <c r="D227" s="60" t="inlineStr">
        <is>
          <t>Faux plafond couloir</t>
        </is>
      </c>
      <c r="E227" s="60" t="inlineStr">
        <is>
          <t>Soufflage</t>
        </is>
      </c>
      <c r="F227" s="60" t="inlineStr">
        <is>
          <t>LOG02 boi.</t>
        </is>
      </c>
      <c r="G227" s="61" t="n">
        <v>0.264</v>
      </c>
      <c r="H227" s="46" t="n">
        <v>2727</v>
      </c>
      <c r="I227" s="62">
        <f>IF(A227="CTA 5",MIN(INDEX(Hypothèses!$C$6:$C$16,MATCH(H227,Hypothèses!$A$6:$A$16,1)),Hypothèses!$B$30),INDEX(Hypothèses!$C$6:$C$16,MATCH(H227,Hypothèses!$A$6:$A$16,1)))</f>
        <v/>
      </c>
      <c r="J227" s="63">
        <f>H227/3600/I227</f>
        <v/>
      </c>
      <c r="K227" s="60">
        <f>IF(A227="CTA 4",Hypothèses!$B$25,IF(AND(A227="CTA 5",H227&gt;4000),Hypothèses!$B$29,IF(H227&lt;=2000,Hypothèses!$B$23,Hypothèses!$B$24)))</f>
        <v/>
      </c>
      <c r="L227" s="60">
        <f>MAX(Hypothèses!$B$26,CEILING(J227/(K227/1000)*1000,Hypothèses!$B$27))</f>
        <v/>
      </c>
      <c r="M227" s="63">
        <f>L227*K227/1000000</f>
        <v/>
      </c>
      <c r="N227" s="64">
        <f>H227/3600/M227</f>
        <v/>
      </c>
      <c r="O227" s="60">
        <f>IF(N227&lt;=I227,"oui","NON")</f>
        <v/>
      </c>
      <c r="P227" s="63">
        <f>1.3*((L227/1000)*(K227/1000))^0.625/((L227/1000)+(K227/1000))^0.25</f>
        <v/>
      </c>
      <c r="Q227" s="65">
        <f>N227*P227/Hypothèses!$B$20</f>
        <v/>
      </c>
      <c r="R227" s="66">
        <f>0.25/(LOG10(Hypothèses!$B$21/(3.7*P227)+5.74/Q227^0.9))^2</f>
        <v/>
      </c>
      <c r="S227" s="64">
        <f>R227/P227*Hypothèses!$B$19*N227^2/2</f>
        <v/>
      </c>
      <c r="T227" s="62">
        <f>S227*G227*(1+Hypothèses!$B$22)</f>
        <v/>
      </c>
      <c r="U227" s="45" t="inlineStr">
        <is>
          <t>X</t>
        </is>
      </c>
      <c r="V227" s="60">
        <f>IF(K227&lt;=Hypothèses!$B$28-100,"oui","NON")</f>
        <v/>
      </c>
    </row>
    <row r="228" ht="15" customHeight="1" s="40">
      <c r="A228" s="60" t="inlineStr">
        <is>
          <t>CTA 5</t>
        </is>
      </c>
      <c r="B228" s="60" t="inlineStr">
        <is>
          <t>CTA5-S30</t>
        </is>
      </c>
      <c r="C228" s="60" t="inlineStr">
        <is>
          <t>N00</t>
        </is>
      </c>
      <c r="D228" s="60" t="inlineStr">
        <is>
          <t>Faux plafond couloir</t>
        </is>
      </c>
      <c r="E228" s="60" t="inlineStr">
        <is>
          <t>Soufflage</t>
        </is>
      </c>
      <c r="F228" s="60" t="inlineStr">
        <is>
          <t>EXT02 mat. jardin</t>
        </is>
      </c>
      <c r="G228" s="61" t="n">
        <v>2.145</v>
      </c>
      <c r="H228" s="46" t="n">
        <v>2725</v>
      </c>
      <c r="I228" s="62">
        <f>IF(A228="CTA 5",MIN(INDEX(Hypothèses!$C$6:$C$16,MATCH(H228,Hypothèses!$A$6:$A$16,1)),Hypothèses!$B$30),INDEX(Hypothèses!$C$6:$C$16,MATCH(H228,Hypothèses!$A$6:$A$16,1)))</f>
        <v/>
      </c>
      <c r="J228" s="63">
        <f>H228/3600/I228</f>
        <v/>
      </c>
      <c r="K228" s="60">
        <f>IF(A228="CTA 4",Hypothèses!$B$25,IF(AND(A228="CTA 5",H228&gt;4000),Hypothèses!$B$29,IF(H228&lt;=2000,Hypothèses!$B$23,Hypothèses!$B$24)))</f>
        <v/>
      </c>
      <c r="L228" s="60">
        <f>MAX(Hypothèses!$B$26,CEILING(J228/(K228/1000)*1000,Hypothèses!$B$27))</f>
        <v/>
      </c>
      <c r="M228" s="63">
        <f>L228*K228/1000000</f>
        <v/>
      </c>
      <c r="N228" s="64">
        <f>H228/3600/M228</f>
        <v/>
      </c>
      <c r="O228" s="60">
        <f>IF(N228&lt;=I228,"oui","NON")</f>
        <v/>
      </c>
      <c r="P228" s="63">
        <f>1.3*((L228/1000)*(K228/1000))^0.625/((L228/1000)+(K228/1000))^0.25</f>
        <v/>
      </c>
      <c r="Q228" s="65">
        <f>N228*P228/Hypothèses!$B$20</f>
        <v/>
      </c>
      <c r="R228" s="66">
        <f>0.25/(LOG10(Hypothèses!$B$21/(3.7*P228)+5.74/Q228^0.9))^2</f>
        <v/>
      </c>
      <c r="S228" s="64">
        <f>R228/P228*Hypothèses!$B$19*N228^2/2</f>
        <v/>
      </c>
      <c r="T228" s="62">
        <f>S228*G228*(1+Hypothèses!$B$22)</f>
        <v/>
      </c>
      <c r="U228" s="45" t="inlineStr">
        <is>
          <t>X</t>
        </is>
      </c>
      <c r="V228" s="60">
        <f>IF(K228&lt;=Hypothèses!$B$28-100,"oui","NON")</f>
        <v/>
      </c>
    </row>
    <row r="229" ht="15" customHeight="1" s="40">
      <c r="A229" s="60" t="inlineStr">
        <is>
          <t>CTA 5</t>
        </is>
      </c>
      <c r="B229" s="60" t="inlineStr">
        <is>
          <t>CTA5-S31</t>
        </is>
      </c>
      <c r="C229" s="60" t="inlineStr">
        <is>
          <t>N00</t>
        </is>
      </c>
      <c r="D229" s="60" t="inlineStr">
        <is>
          <t>Faux plafond couloir</t>
        </is>
      </c>
      <c r="E229" s="60" t="inlineStr">
        <is>
          <t>Soufflage</t>
        </is>
      </c>
      <c r="F229" s="60" t="inlineStr">
        <is>
          <t>VIE02 salle à manger</t>
        </is>
      </c>
      <c r="G229" s="61" t="n">
        <v>1.062</v>
      </c>
      <c r="H229" s="46" t="n">
        <v>2720</v>
      </c>
      <c r="I229" s="62">
        <f>IF(A229="CTA 5",MIN(INDEX(Hypothèses!$C$6:$C$16,MATCH(H229,Hypothèses!$A$6:$A$16,1)),Hypothèses!$B$30),INDEX(Hypothèses!$C$6:$C$16,MATCH(H229,Hypothèses!$A$6:$A$16,1)))</f>
        <v/>
      </c>
      <c r="J229" s="63">
        <f>H229/3600/I229</f>
        <v/>
      </c>
      <c r="K229" s="60">
        <f>IF(A229="CTA 4",Hypothèses!$B$25,IF(AND(A229="CTA 5",H229&gt;4000),Hypothèses!$B$29,IF(H229&lt;=2000,Hypothèses!$B$23,Hypothèses!$B$24)))</f>
        <v/>
      </c>
      <c r="L229" s="60">
        <f>MAX(Hypothèses!$B$26,CEILING(J229/(K229/1000)*1000,Hypothèses!$B$27))</f>
        <v/>
      </c>
      <c r="M229" s="63">
        <f>L229*K229/1000000</f>
        <v/>
      </c>
      <c r="N229" s="64">
        <f>H229/3600/M229</f>
        <v/>
      </c>
      <c r="O229" s="60">
        <f>IF(N229&lt;=I229,"oui","NON")</f>
        <v/>
      </c>
      <c r="P229" s="63">
        <f>1.3*((L229/1000)*(K229/1000))^0.625/((L229/1000)+(K229/1000))^0.25</f>
        <v/>
      </c>
      <c r="Q229" s="65">
        <f>N229*P229/Hypothèses!$B$20</f>
        <v/>
      </c>
      <c r="R229" s="66">
        <f>0.25/(LOG10(Hypothèses!$B$21/(3.7*P229)+5.74/Q229^0.9))^2</f>
        <v/>
      </c>
      <c r="S229" s="64">
        <f>R229/P229*Hypothèses!$B$19*N229^2/2</f>
        <v/>
      </c>
      <c r="T229" s="62">
        <f>S229*G229*(1+Hypothèses!$B$22)</f>
        <v/>
      </c>
      <c r="U229" s="45" t="inlineStr">
        <is>
          <t>X</t>
        </is>
      </c>
      <c r="V229" s="60">
        <f>IF(K229&lt;=Hypothèses!$B$28-100,"oui","NON")</f>
        <v/>
      </c>
    </row>
    <row r="230" ht="15" customHeight="1" s="40">
      <c r="A230" s="60" t="inlineStr">
        <is>
          <t>CTA 5</t>
        </is>
      </c>
      <c r="B230" s="60" t="inlineStr">
        <is>
          <t>CTA5-S32</t>
        </is>
      </c>
      <c r="C230" s="60" t="inlineStr">
        <is>
          <t>N00</t>
        </is>
      </c>
      <c r="D230" s="60" t="inlineStr">
        <is>
          <t>Faux plafond couloir</t>
        </is>
      </c>
      <c r="E230" s="60" t="inlineStr">
        <is>
          <t>Soufflage</t>
        </is>
      </c>
      <c r="F230" s="60" t="inlineStr">
        <is>
          <t>VIE04 famille</t>
        </is>
      </c>
      <c r="G230" s="61" t="n">
        <v>1.378</v>
      </c>
      <c r="H230" s="46" t="n">
        <v>2720</v>
      </c>
      <c r="I230" s="62">
        <f>IF(A230="CTA 5",MIN(INDEX(Hypothèses!$C$6:$C$16,MATCH(H230,Hypothèses!$A$6:$A$16,1)),Hypothèses!$B$30),INDEX(Hypothèses!$C$6:$C$16,MATCH(H230,Hypothèses!$A$6:$A$16,1)))</f>
        <v/>
      </c>
      <c r="J230" s="63">
        <f>H230/3600/I230</f>
        <v/>
      </c>
      <c r="K230" s="60">
        <f>IF(A230="CTA 4",Hypothèses!$B$25,IF(AND(A230="CTA 5",H230&gt;4000),Hypothèses!$B$29,IF(H230&lt;=2000,Hypothèses!$B$23,Hypothèses!$B$24)))</f>
        <v/>
      </c>
      <c r="L230" s="60">
        <f>MAX(Hypothèses!$B$26,CEILING(J230/(K230/1000)*1000,Hypothèses!$B$27))</f>
        <v/>
      </c>
      <c r="M230" s="63">
        <f>L230*K230/1000000</f>
        <v/>
      </c>
      <c r="N230" s="64">
        <f>H230/3600/M230</f>
        <v/>
      </c>
      <c r="O230" s="60">
        <f>IF(N230&lt;=I230,"oui","NON")</f>
        <v/>
      </c>
      <c r="P230" s="63">
        <f>1.3*((L230/1000)*(K230/1000))^0.625/((L230/1000)+(K230/1000))^0.25</f>
        <v/>
      </c>
      <c r="Q230" s="65">
        <f>N230*P230/Hypothèses!$B$20</f>
        <v/>
      </c>
      <c r="R230" s="66">
        <f>0.25/(LOG10(Hypothèses!$B$21/(3.7*P230)+5.74/Q230^0.9))^2</f>
        <v/>
      </c>
      <c r="S230" s="64">
        <f>R230/P230*Hypothèses!$B$19*N230^2/2</f>
        <v/>
      </c>
      <c r="T230" s="62">
        <f>S230*G230*(1+Hypothèses!$B$22)</f>
        <v/>
      </c>
      <c r="U230" s="45" t="inlineStr">
        <is>
          <t>X</t>
        </is>
      </c>
      <c r="V230" s="60">
        <f>IF(K230&lt;=Hypothèses!$B$28-100,"oui","NON")</f>
        <v/>
      </c>
    </row>
    <row r="231" ht="15" customHeight="1" s="40">
      <c r="A231" s="60" t="inlineStr">
        <is>
          <t>CTA 5</t>
        </is>
      </c>
      <c r="B231" s="60" t="inlineStr">
        <is>
          <t>CTA5-S33</t>
        </is>
      </c>
      <c r="C231" s="60" t="inlineStr">
        <is>
          <t>N00</t>
        </is>
      </c>
      <c r="D231" s="60" t="inlineStr">
        <is>
          <t>Faux plafond couloir</t>
        </is>
      </c>
      <c r="E231" s="60" t="inlineStr">
        <is>
          <t>Soufflage</t>
        </is>
      </c>
      <c r="F231" s="60" t="inlineStr">
        <is>
          <t>BUR02A b. animation</t>
        </is>
      </c>
      <c r="G231" s="61" t="n">
        <v>7.355</v>
      </c>
      <c r="H231" s="46" t="n">
        <v>211</v>
      </c>
      <c r="I231" s="62">
        <f>IF(A231="CTA 5",MIN(INDEX(Hypothèses!$C$6:$C$16,MATCH(H231,Hypothèses!$A$6:$A$16,1)),Hypothèses!$B$30),INDEX(Hypothèses!$C$6:$C$16,MATCH(H231,Hypothèses!$A$6:$A$16,1)))</f>
        <v/>
      </c>
      <c r="J231" s="63">
        <f>H231/3600/I231</f>
        <v/>
      </c>
      <c r="K231" s="60">
        <f>IF(A231="CTA 4",Hypothèses!$B$25,IF(AND(A231="CTA 5",H231&gt;4000),Hypothèses!$B$29,IF(H231&lt;=2000,Hypothèses!$B$23,Hypothèses!$B$24)))</f>
        <v/>
      </c>
      <c r="L231" s="60">
        <f>MAX(Hypothèses!$B$26,CEILING(J231/(K231/1000)*1000,Hypothèses!$B$27))</f>
        <v/>
      </c>
      <c r="M231" s="63">
        <f>L231*K231/1000000</f>
        <v/>
      </c>
      <c r="N231" s="64">
        <f>H231/3600/M231</f>
        <v/>
      </c>
      <c r="O231" s="60">
        <f>IF(N231&lt;=I231,"oui","NON")</f>
        <v/>
      </c>
      <c r="P231" s="63">
        <f>1.3*((L231/1000)*(K231/1000))^0.625/((L231/1000)+(K231/1000))^0.25</f>
        <v/>
      </c>
      <c r="Q231" s="65">
        <f>N231*P231/Hypothèses!$B$20</f>
        <v/>
      </c>
      <c r="R231" s="66">
        <f>0.25/(LOG10(Hypothèses!$B$21/(3.7*P231)+5.74/Q231^0.9))^2</f>
        <v/>
      </c>
      <c r="S231" s="64">
        <f>R231/P231*Hypothèses!$B$19*N231^2/2</f>
        <v/>
      </c>
      <c r="T231" s="62">
        <f>S231*G231*(1+Hypothèses!$B$22)</f>
        <v/>
      </c>
      <c r="U231" s="45" t="n"/>
      <c r="V231" s="60">
        <f>IF(K231&lt;=Hypothèses!$B$28-100,"oui","NON")</f>
        <v/>
      </c>
    </row>
    <row r="232" ht="15" customHeight="1" s="40">
      <c r="A232" s="60" t="inlineStr">
        <is>
          <t>CTA 5</t>
        </is>
      </c>
      <c r="B232" s="60" t="inlineStr">
        <is>
          <t>CTA5-S34</t>
        </is>
      </c>
      <c r="C232" s="60" t="inlineStr">
        <is>
          <t>N00</t>
        </is>
      </c>
      <c r="D232" s="60" t="inlineStr">
        <is>
          <t>Faux plafond couloir</t>
        </is>
      </c>
      <c r="E232" s="60" t="inlineStr">
        <is>
          <t>Soufflage</t>
        </is>
      </c>
      <c r="F232" s="60" t="inlineStr">
        <is>
          <t>VIE06 coiffure</t>
        </is>
      </c>
      <c r="G232" s="61" t="n">
        <v>5.561</v>
      </c>
      <c r="H232" s="46" t="n">
        <v>139</v>
      </c>
      <c r="I232" s="62">
        <f>IF(A232="CTA 5",MIN(INDEX(Hypothèses!$C$6:$C$16,MATCH(H232,Hypothèses!$A$6:$A$16,1)),Hypothèses!$B$30),INDEX(Hypothèses!$C$6:$C$16,MATCH(H232,Hypothèses!$A$6:$A$16,1)))</f>
        <v/>
      </c>
      <c r="J232" s="63">
        <f>H232/3600/I232</f>
        <v/>
      </c>
      <c r="K232" s="60">
        <f>IF(A232="CTA 4",Hypothèses!$B$25,IF(AND(A232="CTA 5",H232&gt;4000),Hypothèses!$B$29,IF(H232&lt;=2000,Hypothèses!$B$23,Hypothèses!$B$24)))</f>
        <v/>
      </c>
      <c r="L232" s="60">
        <f>MAX(Hypothèses!$B$26,CEILING(J232/(K232/1000)*1000,Hypothèses!$B$27))</f>
        <v/>
      </c>
      <c r="M232" s="63">
        <f>L232*K232/1000000</f>
        <v/>
      </c>
      <c r="N232" s="64">
        <f>H232/3600/M232</f>
        <v/>
      </c>
      <c r="O232" s="60">
        <f>IF(N232&lt;=I232,"oui","NON")</f>
        <v/>
      </c>
      <c r="P232" s="63">
        <f>1.3*((L232/1000)*(K232/1000))^0.625/((L232/1000)+(K232/1000))^0.25</f>
        <v/>
      </c>
      <c r="Q232" s="65">
        <f>N232*P232/Hypothèses!$B$20</f>
        <v/>
      </c>
      <c r="R232" s="66">
        <f>0.25/(LOG10(Hypothèses!$B$21/(3.7*P232)+5.74/Q232^0.9))^2</f>
        <v/>
      </c>
      <c r="S232" s="64">
        <f>R232/P232*Hypothèses!$B$19*N232^2/2</f>
        <v/>
      </c>
      <c r="T232" s="62">
        <f>S232*G232*(1+Hypothèses!$B$22)</f>
        <v/>
      </c>
      <c r="U232" s="45" t="n"/>
      <c r="V232" s="60">
        <f>IF(K232&lt;=Hypothèses!$B$28-100,"oui","NON")</f>
        <v/>
      </c>
    </row>
    <row r="233" ht="15" customHeight="1" s="40">
      <c r="A233" s="60" t="inlineStr">
        <is>
          <t>CTA 5</t>
        </is>
      </c>
      <c r="B233" s="60" t="inlineStr">
        <is>
          <t>CTA5-S35</t>
        </is>
      </c>
      <c r="C233" s="60" t="inlineStr">
        <is>
          <t>N00</t>
        </is>
      </c>
      <c r="D233" s="60" t="inlineStr">
        <is>
          <t>Faux plafond couloir</t>
        </is>
      </c>
      <c r="E233" s="60" t="inlineStr">
        <is>
          <t>Soufflage</t>
        </is>
      </c>
      <c r="F233" s="60" t="inlineStr">
        <is>
          <t>LOG02 chariots, LOG06 linge P, LOG03 réserve magasin, LOG02 stock</t>
        </is>
      </c>
      <c r="G233" s="61" t="n">
        <v>2.384</v>
      </c>
      <c r="H233" s="46" t="n">
        <v>139</v>
      </c>
      <c r="I233" s="62">
        <f>IF(A233="CTA 5",MIN(INDEX(Hypothèses!$C$6:$C$16,MATCH(H233,Hypothèses!$A$6:$A$16,1)),Hypothèses!$B$30),INDEX(Hypothèses!$C$6:$C$16,MATCH(H233,Hypothèses!$A$6:$A$16,1)))</f>
        <v/>
      </c>
      <c r="J233" s="63">
        <f>H233/3600/I233</f>
        <v/>
      </c>
      <c r="K233" s="60">
        <f>IF(A233="CTA 4",Hypothèses!$B$25,IF(AND(A233="CTA 5",H233&gt;4000),Hypothèses!$B$29,IF(H233&lt;=2000,Hypothèses!$B$23,Hypothèses!$B$24)))</f>
        <v/>
      </c>
      <c r="L233" s="60">
        <f>MAX(Hypothèses!$B$26,CEILING(J233/(K233/1000)*1000,Hypothèses!$B$27))</f>
        <v/>
      </c>
      <c r="M233" s="63">
        <f>L233*K233/1000000</f>
        <v/>
      </c>
      <c r="N233" s="64">
        <f>H233/3600/M233</f>
        <v/>
      </c>
      <c r="O233" s="60">
        <f>IF(N233&lt;=I233,"oui","NON")</f>
        <v/>
      </c>
      <c r="P233" s="63">
        <f>1.3*((L233/1000)*(K233/1000))^0.625/((L233/1000)+(K233/1000))^0.25</f>
        <v/>
      </c>
      <c r="Q233" s="65">
        <f>N233*P233/Hypothèses!$B$20</f>
        <v/>
      </c>
      <c r="R233" s="66">
        <f>0.25/(LOG10(Hypothèses!$B$21/(3.7*P233)+5.74/Q233^0.9))^2</f>
        <v/>
      </c>
      <c r="S233" s="64">
        <f>R233/P233*Hypothèses!$B$19*N233^2/2</f>
        <v/>
      </c>
      <c r="T233" s="62">
        <f>S233*G233*(1+Hypothèses!$B$22)</f>
        <v/>
      </c>
      <c r="U233" s="45" t="n"/>
      <c r="V233" s="60">
        <f>IF(K233&lt;=Hypothèses!$B$28-100,"oui","NON")</f>
        <v/>
      </c>
    </row>
    <row r="234" ht="15" customHeight="1" s="40">
      <c r="A234" s="60" t="inlineStr">
        <is>
          <t>CTA 5</t>
        </is>
      </c>
      <c r="B234" s="60" t="inlineStr">
        <is>
          <t>CTA5-S36</t>
        </is>
      </c>
      <c r="C234" s="60" t="inlineStr">
        <is>
          <t>N01</t>
        </is>
      </c>
      <c r="D234" s="60" t="inlineStr">
        <is>
          <t>Faux plafond couloir</t>
        </is>
      </c>
      <c r="E234" s="60" t="inlineStr">
        <is>
          <t>Soufflage</t>
        </is>
      </c>
      <c r="F234" s="60" t="n"/>
      <c r="G234" s="61" t="n">
        <v>1.25</v>
      </c>
      <c r="H234" s="46" t="n">
        <v>2030</v>
      </c>
      <c r="I234" s="62">
        <f>IF(A234="CTA 5",MIN(INDEX(Hypothèses!$C$6:$C$16,MATCH(H234,Hypothèses!$A$6:$A$16,1)),Hypothèses!$B$30),INDEX(Hypothèses!$C$6:$C$16,MATCH(H234,Hypothèses!$A$6:$A$16,1)))</f>
        <v/>
      </c>
      <c r="J234" s="63">
        <f>H234/3600/I234</f>
        <v/>
      </c>
      <c r="K234" s="60">
        <f>IF(A234="CTA 4",Hypothèses!$B$25,IF(AND(A234="CTA 5",H234&gt;4000),Hypothèses!$B$29,IF(H234&lt;=2000,Hypothèses!$B$23,Hypothèses!$B$24)))</f>
        <v/>
      </c>
      <c r="L234" s="60">
        <f>MAX(Hypothèses!$B$26,CEILING(J234/(K234/1000)*1000,Hypothèses!$B$27))</f>
        <v/>
      </c>
      <c r="M234" s="63">
        <f>L234*K234/1000000</f>
        <v/>
      </c>
      <c r="N234" s="64">
        <f>H234/3600/M234</f>
        <v/>
      </c>
      <c r="O234" s="60">
        <f>IF(N234&lt;=I234,"oui","NON")</f>
        <v/>
      </c>
      <c r="P234" s="63">
        <f>1.3*((L234/1000)*(K234/1000))^0.625/((L234/1000)+(K234/1000))^0.25</f>
        <v/>
      </c>
      <c r="Q234" s="65">
        <f>N234*P234/Hypothèses!$B$20</f>
        <v/>
      </c>
      <c r="R234" s="66">
        <f>0.25/(LOG10(Hypothèses!$B$21/(3.7*P234)+5.74/Q234^0.9))^2</f>
        <v/>
      </c>
      <c r="S234" s="64">
        <f>R234/P234*Hypothèses!$B$19*N234^2/2</f>
        <v/>
      </c>
      <c r="T234" s="62">
        <f>S234*G234*(1+Hypothèses!$B$22)</f>
        <v/>
      </c>
      <c r="U234" s="45" t="n"/>
      <c r="V234" s="60">
        <f>IF(K234&lt;=Hypothèses!$B$28-100,"oui","NON")</f>
        <v/>
      </c>
    </row>
    <row r="235" ht="15" customHeight="1" s="40">
      <c r="A235" s="60" t="inlineStr">
        <is>
          <t>CTA 5</t>
        </is>
      </c>
      <c r="B235" s="60" t="inlineStr">
        <is>
          <t>CTA5-S37</t>
        </is>
      </c>
      <c r="C235" s="60" t="inlineStr">
        <is>
          <t>N01</t>
        </is>
      </c>
      <c r="D235" s="60" t="inlineStr">
        <is>
          <t>Faux plafond couloir</t>
        </is>
      </c>
      <c r="E235" s="60" t="inlineStr">
        <is>
          <t>Soufflage</t>
        </is>
      </c>
      <c r="F235" s="60" t="n"/>
      <c r="G235" s="61" t="n">
        <v>2.15</v>
      </c>
      <c r="H235" s="46" t="n">
        <v>2030</v>
      </c>
      <c r="I235" s="62">
        <f>IF(A235="CTA 5",MIN(INDEX(Hypothèses!$C$6:$C$16,MATCH(H235,Hypothèses!$A$6:$A$16,1)),Hypothèses!$B$30),INDEX(Hypothèses!$C$6:$C$16,MATCH(H235,Hypothèses!$A$6:$A$16,1)))</f>
        <v/>
      </c>
      <c r="J235" s="63">
        <f>H235/3600/I235</f>
        <v/>
      </c>
      <c r="K235" s="60">
        <f>IF(A235="CTA 4",Hypothèses!$B$25,IF(AND(A235="CTA 5",H235&gt;4000),Hypothèses!$B$29,IF(H235&lt;=2000,Hypothèses!$B$23,Hypothèses!$B$24)))</f>
        <v/>
      </c>
      <c r="L235" s="60">
        <f>MAX(Hypothèses!$B$26,CEILING(J235/(K235/1000)*1000,Hypothèses!$B$27))</f>
        <v/>
      </c>
      <c r="M235" s="63">
        <f>L235*K235/1000000</f>
        <v/>
      </c>
      <c r="N235" s="64">
        <f>H235/3600/M235</f>
        <v/>
      </c>
      <c r="O235" s="60">
        <f>IF(N235&lt;=I235,"oui","NON")</f>
        <v/>
      </c>
      <c r="P235" s="63">
        <f>1.3*((L235/1000)*(K235/1000))^0.625/((L235/1000)+(K235/1000))^0.25</f>
        <v/>
      </c>
      <c r="Q235" s="65">
        <f>N235*P235/Hypothèses!$B$20</f>
        <v/>
      </c>
      <c r="R235" s="66">
        <f>0.25/(LOG10(Hypothèses!$B$21/(3.7*P235)+5.74/Q235^0.9))^2</f>
        <v/>
      </c>
      <c r="S235" s="64">
        <f>R235/P235*Hypothèses!$B$19*N235^2/2</f>
        <v/>
      </c>
      <c r="T235" s="62">
        <f>S235*G235*(1+Hypothèses!$B$22)</f>
        <v/>
      </c>
      <c r="U235" s="45" t="n"/>
      <c r="V235" s="60">
        <f>IF(K235&lt;=Hypothèses!$B$28-100,"oui","NON")</f>
        <v/>
      </c>
    </row>
    <row r="236" ht="15" customHeight="1" s="40">
      <c r="A236" s="60" t="inlineStr">
        <is>
          <t>CTA 5</t>
        </is>
      </c>
      <c r="B236" s="60" t="inlineStr">
        <is>
          <t>CTA5-S38</t>
        </is>
      </c>
      <c r="C236" s="60" t="inlineStr">
        <is>
          <t>N01</t>
        </is>
      </c>
      <c r="D236" s="60" t="inlineStr">
        <is>
          <t>Faux plafond couloir</t>
        </is>
      </c>
      <c r="E236" s="60" t="inlineStr">
        <is>
          <t>Soufflage</t>
        </is>
      </c>
      <c r="F236" s="60" t="inlineStr">
        <is>
          <t>BUR06 bureau, LOG03 réserve magasin, LOG03 réserve matériel, HEB03 salle à manger salon</t>
        </is>
      </c>
      <c r="G236" s="61" t="n">
        <v>1.3</v>
      </c>
      <c r="H236" s="46" t="n">
        <v>2030</v>
      </c>
      <c r="I236" s="62">
        <f>IF(A236="CTA 5",MIN(INDEX(Hypothèses!$C$6:$C$16,MATCH(H236,Hypothèses!$A$6:$A$16,1)),Hypothèses!$B$30),INDEX(Hypothèses!$C$6:$C$16,MATCH(H236,Hypothèses!$A$6:$A$16,1)))</f>
        <v/>
      </c>
      <c r="J236" s="63">
        <f>H236/3600/I236</f>
        <v/>
      </c>
      <c r="K236" s="60">
        <f>IF(A236="CTA 4",Hypothèses!$B$25,IF(AND(A236="CTA 5",H236&gt;4000),Hypothèses!$B$29,IF(H236&lt;=2000,Hypothèses!$B$23,Hypothèses!$B$24)))</f>
        <v/>
      </c>
      <c r="L236" s="60">
        <f>MAX(Hypothèses!$B$26,CEILING(J236/(K236/1000)*1000,Hypothèses!$B$27))</f>
        <v/>
      </c>
      <c r="M236" s="63">
        <f>L236*K236/1000000</f>
        <v/>
      </c>
      <c r="N236" s="64">
        <f>H236/3600/M236</f>
        <v/>
      </c>
      <c r="O236" s="60">
        <f>IF(N236&lt;=I236,"oui","NON")</f>
        <v/>
      </c>
      <c r="P236" s="63">
        <f>1.3*((L236/1000)*(K236/1000))^0.625/((L236/1000)+(K236/1000))^0.25</f>
        <v/>
      </c>
      <c r="Q236" s="65">
        <f>N236*P236/Hypothèses!$B$20</f>
        <v/>
      </c>
      <c r="R236" s="66">
        <f>0.25/(LOG10(Hypothèses!$B$21/(3.7*P236)+5.74/Q236^0.9))^2</f>
        <v/>
      </c>
      <c r="S236" s="64">
        <f>R236/P236*Hypothèses!$B$19*N236^2/2</f>
        <v/>
      </c>
      <c r="T236" s="62">
        <f>S236*G236*(1+Hypothèses!$B$22)</f>
        <v/>
      </c>
      <c r="U236" s="45" t="n"/>
      <c r="V236" s="60">
        <f>IF(K236&lt;=Hypothèses!$B$28-100,"oui","NON")</f>
        <v/>
      </c>
    </row>
    <row r="237" ht="15" customHeight="1" s="40">
      <c r="A237" s="60" t="inlineStr">
        <is>
          <t>CTA 5</t>
        </is>
      </c>
      <c r="B237" s="60" t="inlineStr">
        <is>
          <t>CTA5-S39</t>
        </is>
      </c>
      <c r="C237" s="60" t="inlineStr">
        <is>
          <t>N01</t>
        </is>
      </c>
      <c r="D237" s="60" t="inlineStr">
        <is>
          <t>Faux plafond couloir</t>
        </is>
      </c>
      <c r="E237" s="60" t="inlineStr">
        <is>
          <t>Soufflage</t>
        </is>
      </c>
      <c r="F237" s="60" t="inlineStr">
        <is>
          <t>LOG02 boi.</t>
        </is>
      </c>
      <c r="G237" s="61" t="n">
        <v>0.025</v>
      </c>
      <c r="H237" s="46" t="n">
        <v>1275</v>
      </c>
      <c r="I237" s="62">
        <f>IF(A237="CTA 5",MIN(INDEX(Hypothèses!$C$6:$C$16,MATCH(H237,Hypothèses!$A$6:$A$16,1)),Hypothèses!$B$30),INDEX(Hypothèses!$C$6:$C$16,MATCH(H237,Hypothèses!$A$6:$A$16,1)))</f>
        <v/>
      </c>
      <c r="J237" s="63">
        <f>H237/3600/I237</f>
        <v/>
      </c>
      <c r="K237" s="60">
        <f>IF(A237="CTA 4",Hypothèses!$B$25,IF(AND(A237="CTA 5",H237&gt;4000),Hypothèses!$B$29,IF(H237&lt;=2000,Hypothèses!$B$23,Hypothèses!$B$24)))</f>
        <v/>
      </c>
      <c r="L237" s="60">
        <f>MAX(Hypothèses!$B$26,CEILING(J237/(K237/1000)*1000,Hypothèses!$B$27))</f>
        <v/>
      </c>
      <c r="M237" s="63">
        <f>L237*K237/1000000</f>
        <v/>
      </c>
      <c r="N237" s="64">
        <f>H237/3600/M237</f>
        <v/>
      </c>
      <c r="O237" s="60">
        <f>IF(N237&lt;=I237,"oui","NON")</f>
        <v/>
      </c>
      <c r="P237" s="63">
        <f>1.3*((L237/1000)*(K237/1000))^0.625/((L237/1000)+(K237/1000))^0.25</f>
        <v/>
      </c>
      <c r="Q237" s="65">
        <f>N237*P237/Hypothèses!$B$20</f>
        <v/>
      </c>
      <c r="R237" s="66">
        <f>0.25/(LOG10(Hypothèses!$B$21/(3.7*P237)+5.74/Q237^0.9))^2</f>
        <v/>
      </c>
      <c r="S237" s="64">
        <f>R237/P237*Hypothèses!$B$19*N237^2/2</f>
        <v/>
      </c>
      <c r="T237" s="62">
        <f>S237*G237*(1+Hypothèses!$B$22)</f>
        <v/>
      </c>
      <c r="U237" s="45" t="n"/>
      <c r="V237" s="60">
        <f>IF(K237&lt;=Hypothèses!$B$28-100,"oui","NON")</f>
        <v/>
      </c>
    </row>
    <row r="238" ht="15" customHeight="1" s="40">
      <c r="A238" s="60" t="inlineStr">
        <is>
          <t>CTA 5</t>
        </is>
      </c>
      <c r="B238" s="60" t="inlineStr">
        <is>
          <t>CTA5-S40</t>
        </is>
      </c>
      <c r="C238" s="60" t="inlineStr">
        <is>
          <t>N01</t>
        </is>
      </c>
      <c r="D238" s="60" t="inlineStr">
        <is>
          <t>Faux plafond couloir</t>
        </is>
      </c>
      <c r="E238" s="60" t="inlineStr">
        <is>
          <t>Soufflage</t>
        </is>
      </c>
      <c r="F238" s="60" t="n"/>
      <c r="G238" s="61" t="n">
        <v>2.175</v>
      </c>
      <c r="H238" s="46" t="n">
        <v>1275</v>
      </c>
      <c r="I238" s="62">
        <f>IF(A238="CTA 5",MIN(INDEX(Hypothèses!$C$6:$C$16,MATCH(H238,Hypothèses!$A$6:$A$16,1)),Hypothèses!$B$30),INDEX(Hypothèses!$C$6:$C$16,MATCH(H238,Hypothèses!$A$6:$A$16,1)))</f>
        <v/>
      </c>
      <c r="J238" s="63">
        <f>H238/3600/I238</f>
        <v/>
      </c>
      <c r="K238" s="60">
        <f>IF(A238="CTA 4",Hypothèses!$B$25,IF(AND(A238="CTA 5",H238&gt;4000),Hypothèses!$B$29,IF(H238&lt;=2000,Hypothèses!$B$23,Hypothèses!$B$24)))</f>
        <v/>
      </c>
      <c r="L238" s="60">
        <f>MAX(Hypothèses!$B$26,CEILING(J238/(K238/1000)*1000,Hypothèses!$B$27))</f>
        <v/>
      </c>
      <c r="M238" s="63">
        <f>L238*K238/1000000</f>
        <v/>
      </c>
      <c r="N238" s="64">
        <f>H238/3600/M238</f>
        <v/>
      </c>
      <c r="O238" s="60">
        <f>IF(N238&lt;=I238,"oui","NON")</f>
        <v/>
      </c>
      <c r="P238" s="63">
        <f>1.3*((L238/1000)*(K238/1000))^0.625/((L238/1000)+(K238/1000))^0.25</f>
        <v/>
      </c>
      <c r="Q238" s="65">
        <f>N238*P238/Hypothèses!$B$20</f>
        <v/>
      </c>
      <c r="R238" s="66">
        <f>0.25/(LOG10(Hypothèses!$B$21/(3.7*P238)+5.74/Q238^0.9))^2</f>
        <v/>
      </c>
      <c r="S238" s="64">
        <f>R238/P238*Hypothèses!$B$19*N238^2/2</f>
        <v/>
      </c>
      <c r="T238" s="62">
        <f>S238*G238*(1+Hypothèses!$B$22)</f>
        <v/>
      </c>
      <c r="U238" s="45" t="n"/>
      <c r="V238" s="60">
        <f>IF(K238&lt;=Hypothèses!$B$28-100,"oui","NON")</f>
        <v/>
      </c>
    </row>
    <row r="239" ht="15" customHeight="1" s="40">
      <c r="A239" s="60" t="inlineStr">
        <is>
          <t>CTA 5</t>
        </is>
      </c>
      <c r="B239" s="60" t="inlineStr">
        <is>
          <t>CTA5-S41</t>
        </is>
      </c>
      <c r="C239" s="60" t="inlineStr">
        <is>
          <t>N01</t>
        </is>
      </c>
      <c r="D239" s="60" t="inlineStr">
        <is>
          <t>Faux plafond couloir</t>
        </is>
      </c>
      <c r="E239" s="60" t="inlineStr">
        <is>
          <t>Soufflage</t>
        </is>
      </c>
      <c r="F239" s="60" t="inlineStr">
        <is>
          <t>LOG04 linge P</t>
        </is>
      </c>
      <c r="G239" s="61" t="n">
        <v>2.106</v>
      </c>
      <c r="H239" s="46" t="n">
        <v>706</v>
      </c>
      <c r="I239" s="62">
        <f>IF(A239="CTA 5",MIN(INDEX(Hypothèses!$C$6:$C$16,MATCH(H239,Hypothèses!$A$6:$A$16,1)),Hypothèses!$B$30),INDEX(Hypothèses!$C$6:$C$16,MATCH(H239,Hypothèses!$A$6:$A$16,1)))</f>
        <v/>
      </c>
      <c r="J239" s="63">
        <f>H239/3600/I239</f>
        <v/>
      </c>
      <c r="K239" s="60">
        <f>IF(A239="CTA 4",Hypothèses!$B$25,IF(AND(A239="CTA 5",H239&gt;4000),Hypothèses!$B$29,IF(H239&lt;=2000,Hypothèses!$B$23,Hypothèses!$B$24)))</f>
        <v/>
      </c>
      <c r="L239" s="60">
        <f>MAX(Hypothèses!$B$26,CEILING(J239/(K239/1000)*1000,Hypothèses!$B$27))</f>
        <v/>
      </c>
      <c r="M239" s="63">
        <f>L239*K239/1000000</f>
        <v/>
      </c>
      <c r="N239" s="64">
        <f>H239/3600/M239</f>
        <v/>
      </c>
      <c r="O239" s="60">
        <f>IF(N239&lt;=I239,"oui","NON")</f>
        <v/>
      </c>
      <c r="P239" s="63">
        <f>1.3*((L239/1000)*(K239/1000))^0.625/((L239/1000)+(K239/1000))^0.25</f>
        <v/>
      </c>
      <c r="Q239" s="65">
        <f>N239*P239/Hypothèses!$B$20</f>
        <v/>
      </c>
      <c r="R239" s="66">
        <f>0.25/(LOG10(Hypothèses!$B$21/(3.7*P239)+5.74/Q239^0.9))^2</f>
        <v/>
      </c>
      <c r="S239" s="64">
        <f>R239/P239*Hypothèses!$B$19*N239^2/2</f>
        <v/>
      </c>
      <c r="T239" s="62">
        <f>S239*G239*(1+Hypothèses!$B$22)</f>
        <v/>
      </c>
      <c r="U239" s="45" t="n"/>
      <c r="V239" s="60">
        <f>IF(K239&lt;=Hypothèses!$B$28-100,"oui","NON")</f>
        <v/>
      </c>
    </row>
    <row r="240" ht="15" customHeight="1" s="40">
      <c r="A240" s="60" t="inlineStr">
        <is>
          <t>CTA 5</t>
        </is>
      </c>
      <c r="B240" s="60" t="inlineStr">
        <is>
          <t>CTA5-S42</t>
        </is>
      </c>
      <c r="C240" s="60" t="inlineStr">
        <is>
          <t>N01</t>
        </is>
      </c>
      <c r="D240" s="60" t="inlineStr">
        <is>
          <t>Faux plafond couloir</t>
        </is>
      </c>
      <c r="E240" s="60" t="inlineStr">
        <is>
          <t>Soufflage</t>
        </is>
      </c>
      <c r="F240" s="60" t="inlineStr">
        <is>
          <t>HEB03 salle à manger salon</t>
        </is>
      </c>
      <c r="G240" s="61" t="n">
        <v>1.294</v>
      </c>
      <c r="H240" s="46" t="n">
        <v>706</v>
      </c>
      <c r="I240" s="62">
        <f>IF(A240="CTA 5",MIN(INDEX(Hypothèses!$C$6:$C$16,MATCH(H240,Hypothèses!$A$6:$A$16,1)),Hypothèses!$B$30),INDEX(Hypothèses!$C$6:$C$16,MATCH(H240,Hypothèses!$A$6:$A$16,1)))</f>
        <v/>
      </c>
      <c r="J240" s="63">
        <f>H240/3600/I240</f>
        <v/>
      </c>
      <c r="K240" s="60">
        <f>IF(A240="CTA 4",Hypothèses!$B$25,IF(AND(A240="CTA 5",H240&gt;4000),Hypothèses!$B$29,IF(H240&lt;=2000,Hypothèses!$B$23,Hypothèses!$B$24)))</f>
        <v/>
      </c>
      <c r="L240" s="60">
        <f>MAX(Hypothèses!$B$26,CEILING(J240/(K240/1000)*1000,Hypothèses!$B$27))</f>
        <v/>
      </c>
      <c r="M240" s="63">
        <f>L240*K240/1000000</f>
        <v/>
      </c>
      <c r="N240" s="64">
        <f>H240/3600/M240</f>
        <v/>
      </c>
      <c r="O240" s="60">
        <f>IF(N240&lt;=I240,"oui","NON")</f>
        <v/>
      </c>
      <c r="P240" s="63">
        <f>1.3*((L240/1000)*(K240/1000))^0.625/((L240/1000)+(K240/1000))^0.25</f>
        <v/>
      </c>
      <c r="Q240" s="65">
        <f>N240*P240/Hypothèses!$B$20</f>
        <v/>
      </c>
      <c r="R240" s="66">
        <f>0.25/(LOG10(Hypothèses!$B$21/(3.7*P240)+5.74/Q240^0.9))^2</f>
        <v/>
      </c>
      <c r="S240" s="64">
        <f>R240/P240*Hypothèses!$B$19*N240^2/2</f>
        <v/>
      </c>
      <c r="T240" s="62">
        <f>S240*G240*(1+Hypothèses!$B$22)</f>
        <v/>
      </c>
      <c r="U240" s="45" t="n"/>
      <c r="V240" s="60">
        <f>IF(K240&lt;=Hypothèses!$B$28-100,"oui","NON")</f>
        <v/>
      </c>
    </row>
    <row r="241" ht="15" customHeight="1" s="40">
      <c r="A241" s="60" t="inlineStr">
        <is>
          <t>CTA 5</t>
        </is>
      </c>
      <c r="B241" s="60" t="inlineStr">
        <is>
          <t>CTA5-S43</t>
        </is>
      </c>
      <c r="C241" s="60" t="inlineStr">
        <is>
          <t>N01</t>
        </is>
      </c>
      <c r="D241" s="60" t="inlineStr">
        <is>
          <t>Faux plafond couloir</t>
        </is>
      </c>
      <c r="E241" s="60" t="inlineStr">
        <is>
          <t>Soufflage</t>
        </is>
      </c>
      <c r="F241" s="60" t="inlineStr">
        <is>
          <t>LOG03 réserve magasin</t>
        </is>
      </c>
      <c r="G241" s="61" t="n">
        <v>9.821999999999999</v>
      </c>
      <c r="H241" s="46" t="n">
        <v>567</v>
      </c>
      <c r="I241" s="62">
        <f>IF(A241="CTA 5",MIN(INDEX(Hypothèses!$C$6:$C$16,MATCH(H241,Hypothèses!$A$6:$A$16,1)),Hypothèses!$B$30),INDEX(Hypothèses!$C$6:$C$16,MATCH(H241,Hypothèses!$A$6:$A$16,1)))</f>
        <v/>
      </c>
      <c r="J241" s="63">
        <f>H241/3600/I241</f>
        <v/>
      </c>
      <c r="K241" s="60">
        <f>IF(A241="CTA 4",Hypothèses!$B$25,IF(AND(A241="CTA 5",H241&gt;4000),Hypothèses!$B$29,IF(H241&lt;=2000,Hypothèses!$B$23,Hypothèses!$B$24)))</f>
        <v/>
      </c>
      <c r="L241" s="60">
        <f>MAX(Hypothèses!$B$26,CEILING(J241/(K241/1000)*1000,Hypothèses!$B$27))</f>
        <v/>
      </c>
      <c r="M241" s="63">
        <f>L241*K241/1000000</f>
        <v/>
      </c>
      <c r="N241" s="64">
        <f>H241/3600/M241</f>
        <v/>
      </c>
      <c r="O241" s="60">
        <f>IF(N241&lt;=I241,"oui","NON")</f>
        <v/>
      </c>
      <c r="P241" s="63">
        <f>1.3*((L241/1000)*(K241/1000))^0.625/((L241/1000)+(K241/1000))^0.25</f>
        <v/>
      </c>
      <c r="Q241" s="65">
        <f>N241*P241/Hypothèses!$B$20</f>
        <v/>
      </c>
      <c r="R241" s="66">
        <f>0.25/(LOG10(Hypothèses!$B$21/(3.7*P241)+5.74/Q241^0.9))^2</f>
        <v/>
      </c>
      <c r="S241" s="64">
        <f>R241/P241*Hypothèses!$B$19*N241^2/2</f>
        <v/>
      </c>
      <c r="T241" s="62">
        <f>S241*G241*(1+Hypothèses!$B$22)</f>
        <v/>
      </c>
      <c r="U241" s="45" t="n"/>
      <c r="V241" s="60">
        <f>IF(K241&lt;=Hypothèses!$B$28-100,"oui","NON")</f>
        <v/>
      </c>
    </row>
    <row r="242" ht="15" customHeight="1" s="40">
      <c r="A242" s="60" t="inlineStr">
        <is>
          <t>CTA 5</t>
        </is>
      </c>
      <c r="B242" s="60" t="inlineStr">
        <is>
          <t>CTA5-S44</t>
        </is>
      </c>
      <c r="C242" s="60" t="inlineStr">
        <is>
          <t>N01</t>
        </is>
      </c>
      <c r="D242" s="60" t="inlineStr">
        <is>
          <t>Faux plafond couloir</t>
        </is>
      </c>
      <c r="E242" s="60" t="inlineStr">
        <is>
          <t>Soufflage</t>
        </is>
      </c>
      <c r="F242" s="60" t="inlineStr">
        <is>
          <t>LOG02 chariots, DET01 détente, LOG06 linge P, LOG03 réserve magasin, HEB04 salle à manger</t>
        </is>
      </c>
      <c r="G242" s="61" t="n">
        <v>11.728</v>
      </c>
      <c r="H242" s="46" t="n">
        <v>567</v>
      </c>
      <c r="I242" s="62">
        <f>IF(A242="CTA 5",MIN(INDEX(Hypothèses!$C$6:$C$16,MATCH(H242,Hypothèses!$A$6:$A$16,1)),Hypothèses!$B$30),INDEX(Hypothèses!$C$6:$C$16,MATCH(H242,Hypothèses!$A$6:$A$16,1)))</f>
        <v/>
      </c>
      <c r="J242" s="63">
        <f>H242/3600/I242</f>
        <v/>
      </c>
      <c r="K242" s="60">
        <f>IF(A242="CTA 4",Hypothèses!$B$25,IF(AND(A242="CTA 5",H242&gt;4000),Hypothèses!$B$29,IF(H242&lt;=2000,Hypothèses!$B$23,Hypothèses!$B$24)))</f>
        <v/>
      </c>
      <c r="L242" s="60">
        <f>MAX(Hypothèses!$B$26,CEILING(J242/(K242/1000)*1000,Hypothèses!$B$27))</f>
        <v/>
      </c>
      <c r="M242" s="63">
        <f>L242*K242/1000000</f>
        <v/>
      </c>
      <c r="N242" s="64">
        <f>H242/3600/M242</f>
        <v/>
      </c>
      <c r="O242" s="60">
        <f>IF(N242&lt;=I242,"oui","NON")</f>
        <v/>
      </c>
      <c r="P242" s="63">
        <f>1.3*((L242/1000)*(K242/1000))^0.625/((L242/1000)+(K242/1000))^0.25</f>
        <v/>
      </c>
      <c r="Q242" s="65">
        <f>N242*P242/Hypothèses!$B$20</f>
        <v/>
      </c>
      <c r="R242" s="66">
        <f>0.25/(LOG10(Hypothèses!$B$21/(3.7*P242)+5.74/Q242^0.9))^2</f>
        <v/>
      </c>
      <c r="S242" s="64">
        <f>R242/P242*Hypothèses!$B$19*N242^2/2</f>
        <v/>
      </c>
      <c r="T242" s="62">
        <f>S242*G242*(1+Hypothèses!$B$22)</f>
        <v/>
      </c>
      <c r="U242" s="45" t="n"/>
      <c r="V242" s="60">
        <f>IF(K242&lt;=Hypothèses!$B$28-100,"oui","NON")</f>
        <v/>
      </c>
    </row>
    <row r="243" ht="15" customHeight="1" s="40">
      <c r="A243" s="60" t="inlineStr">
        <is>
          <t>CTA 5</t>
        </is>
      </c>
      <c r="B243" s="60" t="inlineStr">
        <is>
          <t>CTA5-R45</t>
        </is>
      </c>
      <c r="C243" s="60" t="inlineStr">
        <is>
          <t>Toiture</t>
        </is>
      </c>
      <c r="D243" s="60" t="inlineStr">
        <is>
          <t>Toiture (CTA → descente)</t>
        </is>
      </c>
      <c r="E243" s="60" t="inlineStr">
        <is>
          <t>Reprise</t>
        </is>
      </c>
      <c r="F243" s="60" t="inlineStr">
        <is>
          <t>Sortie CTA → descente (trémie en toiture)</t>
        </is>
      </c>
      <c r="G243" s="61" t="n">
        <v>3</v>
      </c>
      <c r="H243" s="46" t="n">
        <v>6123</v>
      </c>
      <c r="I243" s="62">
        <f>IF(A243="CTA 5",MIN(INDEX(Hypothèses!$C$6:$C$16,MATCH(H243,Hypothèses!$A$6:$A$16,1)),Hypothèses!$B$30),INDEX(Hypothèses!$C$6:$C$16,MATCH(H243,Hypothèses!$A$6:$A$16,1)))</f>
        <v/>
      </c>
      <c r="J243" s="63">
        <f>H243/3600/I243</f>
        <v/>
      </c>
      <c r="K243" s="60">
        <f>IF(A243="CTA 4",Hypothèses!$B$25,IF(AND(A243="CTA 5",H243&gt;4000),Hypothèses!$B$29,IF(H243&lt;=2000,Hypothèses!$B$23,Hypothèses!$B$24)))</f>
        <v/>
      </c>
      <c r="L243" s="60">
        <f>MAX(Hypothèses!$B$26,CEILING(J243/(K243/1000)*1000,Hypothèses!$B$27))</f>
        <v/>
      </c>
      <c r="M243" s="63">
        <f>L243*K243/1000000</f>
        <v/>
      </c>
      <c r="N243" s="64">
        <f>H243/3600/M243</f>
        <v/>
      </c>
      <c r="O243" s="60">
        <f>IF(N243&lt;=I243,"oui","NON")</f>
        <v/>
      </c>
      <c r="P243" s="63">
        <f>1.3*((L243/1000)*(K243/1000))^0.625/((L243/1000)+(K243/1000))^0.25</f>
        <v/>
      </c>
      <c r="Q243" s="65">
        <f>N243*P243/Hypothèses!$B$20</f>
        <v/>
      </c>
      <c r="R243" s="66">
        <f>0.25/(LOG10(Hypothèses!$B$21/(3.7*P243)+5.74/Q243^0.9))^2</f>
        <v/>
      </c>
      <c r="S243" s="64">
        <f>R243/P243*Hypothèses!$B$19*N243^2/2</f>
        <v/>
      </c>
      <c r="T243" s="62">
        <f>S243*G243*(1+Hypothèses!$B$22)</f>
        <v/>
      </c>
      <c r="U243" s="45" t="inlineStr">
        <is>
          <t>X</t>
        </is>
      </c>
      <c r="V243" s="60" t="inlineStr">
        <is>
          <t>–</t>
        </is>
      </c>
    </row>
    <row r="244" ht="15" customHeight="1" s="40">
      <c r="A244" s="60" t="inlineStr">
        <is>
          <t>CTA 5</t>
        </is>
      </c>
      <c r="B244" s="60" t="inlineStr">
        <is>
          <t>CTA5-R46</t>
        </is>
      </c>
      <c r="C244" s="60" t="inlineStr">
        <is>
          <t>N00</t>
        </is>
      </c>
      <c r="D244" s="60" t="inlineStr">
        <is>
          <t>Descente verticale</t>
        </is>
      </c>
      <c r="E244" s="60" t="inlineStr">
        <is>
          <t>Reprise</t>
        </is>
      </c>
      <c r="F244" s="60" t="inlineStr">
        <is>
          <t>Gaine verticale : étage → plénum RDC</t>
        </is>
      </c>
      <c r="G244" s="61" t="n">
        <v>4.65</v>
      </c>
      <c r="H244" s="46" t="n">
        <v>6123</v>
      </c>
      <c r="I244" s="62">
        <f>IF(A244="CTA 5",MIN(INDEX(Hypothèses!$C$6:$C$16,MATCH(H244,Hypothèses!$A$6:$A$16,1)),Hypothèses!$B$30),INDEX(Hypothèses!$C$6:$C$16,MATCH(H244,Hypothèses!$A$6:$A$16,1)))</f>
        <v/>
      </c>
      <c r="J244" s="63">
        <f>H244/3600/I244</f>
        <v/>
      </c>
      <c r="K244" s="60">
        <f>IF(A244="CTA 4",Hypothèses!$B$25,IF(AND(A244="CTA 5",H244&gt;4000),Hypothèses!$B$29,IF(H244&lt;=2000,Hypothèses!$B$23,Hypothèses!$B$24)))</f>
        <v/>
      </c>
      <c r="L244" s="60">
        <f>MAX(Hypothèses!$B$26,CEILING(J244/(K244/1000)*1000,Hypothèses!$B$27))</f>
        <v/>
      </c>
      <c r="M244" s="63">
        <f>L244*K244/1000000</f>
        <v/>
      </c>
      <c r="N244" s="64">
        <f>H244/3600/M244</f>
        <v/>
      </c>
      <c r="O244" s="60">
        <f>IF(N244&lt;=I244,"oui","NON")</f>
        <v/>
      </c>
      <c r="P244" s="63">
        <f>1.3*((L244/1000)*(K244/1000))^0.625/((L244/1000)+(K244/1000))^0.25</f>
        <v/>
      </c>
      <c r="Q244" s="65">
        <f>N244*P244/Hypothèses!$B$20</f>
        <v/>
      </c>
      <c r="R244" s="66">
        <f>0.25/(LOG10(Hypothèses!$B$21/(3.7*P244)+5.74/Q244^0.9))^2</f>
        <v/>
      </c>
      <c r="S244" s="64">
        <f>R244/P244*Hypothèses!$B$19*N244^2/2</f>
        <v/>
      </c>
      <c r="T244" s="62">
        <f>S244*G244*(1+Hypothèses!$B$22)</f>
        <v/>
      </c>
      <c r="U244" s="45" t="inlineStr">
        <is>
          <t>X</t>
        </is>
      </c>
      <c r="V244" s="60" t="inlineStr">
        <is>
          <t>–</t>
        </is>
      </c>
    </row>
    <row r="245" ht="15" customHeight="1" s="40">
      <c r="A245" s="60" t="inlineStr">
        <is>
          <t>CTA 5</t>
        </is>
      </c>
      <c r="B245" s="60" t="inlineStr">
        <is>
          <t>CTA5-R47</t>
        </is>
      </c>
      <c r="C245" s="60" t="inlineStr">
        <is>
          <t>N01</t>
        </is>
      </c>
      <c r="D245" s="60" t="inlineStr">
        <is>
          <t>Descente verticale</t>
        </is>
      </c>
      <c r="E245" s="60" t="inlineStr">
        <is>
          <t>Reprise</t>
        </is>
      </c>
      <c r="F245" s="60" t="inlineStr">
        <is>
          <t>Gaine verticale : RDC → étage (local linge S)</t>
        </is>
      </c>
      <c r="G245" s="61" t="n">
        <v>3.32</v>
      </c>
      <c r="H245" s="46" t="n">
        <v>2030</v>
      </c>
      <c r="I245" s="62">
        <f>IF(A245="CTA 5",MIN(INDEX(Hypothèses!$C$6:$C$16,MATCH(H245,Hypothèses!$A$6:$A$16,1)),Hypothèses!$B$30),INDEX(Hypothèses!$C$6:$C$16,MATCH(H245,Hypothèses!$A$6:$A$16,1)))</f>
        <v/>
      </c>
      <c r="J245" s="63">
        <f>H245/3600/I245</f>
        <v/>
      </c>
      <c r="K245" s="60">
        <f>IF(A245="CTA 4",Hypothèses!$B$25,IF(AND(A245="CTA 5",H245&gt;4000),Hypothèses!$B$29,IF(H245&lt;=2000,Hypothèses!$B$23,Hypothèses!$B$24)))</f>
        <v/>
      </c>
      <c r="L245" s="60">
        <f>MAX(Hypothèses!$B$26,CEILING(J245/(K245/1000)*1000,Hypothèses!$B$27))</f>
        <v/>
      </c>
      <c r="M245" s="63">
        <f>L245*K245/1000000</f>
        <v/>
      </c>
      <c r="N245" s="64">
        <f>H245/3600/M245</f>
        <v/>
      </c>
      <c r="O245" s="60">
        <f>IF(N245&lt;=I245,"oui","NON")</f>
        <v/>
      </c>
      <c r="P245" s="63">
        <f>1.3*((L245/1000)*(K245/1000))^0.625/((L245/1000)+(K245/1000))^0.25</f>
        <v/>
      </c>
      <c r="Q245" s="65">
        <f>N245*P245/Hypothèses!$B$20</f>
        <v/>
      </c>
      <c r="R245" s="66">
        <f>0.25/(LOG10(Hypothèses!$B$21/(3.7*P245)+5.74/Q245^0.9))^2</f>
        <v/>
      </c>
      <c r="S245" s="64">
        <f>R245/P245*Hypothèses!$B$19*N245^2/2</f>
        <v/>
      </c>
      <c r="T245" s="62">
        <f>S245*G245*(1+Hypothèses!$B$22)</f>
        <v/>
      </c>
      <c r="U245" s="45" t="inlineStr">
        <is>
          <t>X</t>
        </is>
      </c>
      <c r="V245" s="60" t="inlineStr">
        <is>
          <t>–</t>
        </is>
      </c>
    </row>
    <row r="246" ht="15" customHeight="1" s="40">
      <c r="A246" s="60" t="inlineStr">
        <is>
          <t>CTA 5</t>
        </is>
      </c>
      <c r="B246" s="60" t="inlineStr">
        <is>
          <t>CTA5-R48</t>
        </is>
      </c>
      <c r="C246" s="60" t="inlineStr">
        <is>
          <t>N00</t>
        </is>
      </c>
      <c r="D246" s="60" t="inlineStr">
        <is>
          <t>Faux plafond couloir</t>
        </is>
      </c>
      <c r="E246" s="60" t="inlineStr">
        <is>
          <t>Reprise</t>
        </is>
      </c>
      <c r="F246" s="60" t="inlineStr">
        <is>
          <t>LOG10 vêtements, BUR01 bur. mut., LOG02 chariots, SOI03 soins</t>
        </is>
      </c>
      <c r="G246" s="61" t="n">
        <v>1.3</v>
      </c>
      <c r="H246" s="46" t="n">
        <v>6123</v>
      </c>
      <c r="I246" s="62">
        <f>IF(A246="CTA 5",MIN(INDEX(Hypothèses!$C$6:$C$16,MATCH(H246,Hypothèses!$A$6:$A$16,1)),Hypothèses!$B$30),INDEX(Hypothèses!$C$6:$C$16,MATCH(H246,Hypothèses!$A$6:$A$16,1)))</f>
        <v/>
      </c>
      <c r="J246" s="63">
        <f>H246/3600/I246</f>
        <v/>
      </c>
      <c r="K246" s="60">
        <f>IF(A246="CTA 4",Hypothèses!$B$25,IF(AND(A246="CTA 5",H246&gt;4000),Hypothèses!$B$29,IF(H246&lt;=2000,Hypothèses!$B$23,Hypothèses!$B$24)))</f>
        <v/>
      </c>
      <c r="L246" s="60">
        <f>MAX(Hypothèses!$B$26,CEILING(J246/(K246/1000)*1000,Hypothèses!$B$27))</f>
        <v/>
      </c>
      <c r="M246" s="63">
        <f>L246*K246/1000000</f>
        <v/>
      </c>
      <c r="N246" s="64">
        <f>H246/3600/M246</f>
        <v/>
      </c>
      <c r="O246" s="60">
        <f>IF(N246&lt;=I246,"oui","NON")</f>
        <v/>
      </c>
      <c r="P246" s="63">
        <f>1.3*((L246/1000)*(K246/1000))^0.625/((L246/1000)+(K246/1000))^0.25</f>
        <v/>
      </c>
      <c r="Q246" s="65">
        <f>N246*P246/Hypothèses!$B$20</f>
        <v/>
      </c>
      <c r="R246" s="66">
        <f>0.25/(LOG10(Hypothèses!$B$21/(3.7*P246)+5.74/Q246^0.9))^2</f>
        <v/>
      </c>
      <c r="S246" s="64">
        <f>R246/P246*Hypothèses!$B$19*N246^2/2</f>
        <v/>
      </c>
      <c r="T246" s="62">
        <f>S246*G246*(1+Hypothèses!$B$22)</f>
        <v/>
      </c>
      <c r="U246" s="45" t="inlineStr">
        <is>
          <t>X</t>
        </is>
      </c>
      <c r="V246" s="60">
        <f>IF(K246&lt;=Hypothèses!$B$28-100,"oui","NON")</f>
        <v/>
      </c>
    </row>
    <row r="247" ht="15" customHeight="1" s="40">
      <c r="A247" s="60" t="inlineStr">
        <is>
          <t>CTA 5</t>
        </is>
      </c>
      <c r="B247" s="60" t="inlineStr">
        <is>
          <t>CTA5-R49</t>
        </is>
      </c>
      <c r="C247" s="60" t="inlineStr">
        <is>
          <t>N00</t>
        </is>
      </c>
      <c r="D247" s="60" t="inlineStr">
        <is>
          <t>Faux plafond couloir</t>
        </is>
      </c>
      <c r="E247" s="60" t="inlineStr">
        <is>
          <t>Reprise</t>
        </is>
      </c>
      <c r="F247" s="60" t="n"/>
      <c r="G247" s="61" t="n">
        <v>2.3</v>
      </c>
      <c r="H247" s="46" t="n">
        <v>5991</v>
      </c>
      <c r="I247" s="62">
        <f>IF(A247="CTA 5",MIN(INDEX(Hypothèses!$C$6:$C$16,MATCH(H247,Hypothèses!$A$6:$A$16,1)),Hypothèses!$B$30),INDEX(Hypothèses!$C$6:$C$16,MATCH(H247,Hypothèses!$A$6:$A$16,1)))</f>
        <v/>
      </c>
      <c r="J247" s="63">
        <f>H247/3600/I247</f>
        <v/>
      </c>
      <c r="K247" s="60">
        <f>IF(A247="CTA 4",Hypothèses!$B$25,IF(AND(A247="CTA 5",H247&gt;4000),Hypothèses!$B$29,IF(H247&lt;=2000,Hypothèses!$B$23,Hypothèses!$B$24)))</f>
        <v/>
      </c>
      <c r="L247" s="60">
        <f>MAX(Hypothèses!$B$26,CEILING(J247/(K247/1000)*1000,Hypothèses!$B$27))</f>
        <v/>
      </c>
      <c r="M247" s="63">
        <f>L247*K247/1000000</f>
        <v/>
      </c>
      <c r="N247" s="64">
        <f>H247/3600/M247</f>
        <v/>
      </c>
      <c r="O247" s="60">
        <f>IF(N247&lt;=I247,"oui","NON")</f>
        <v/>
      </c>
      <c r="P247" s="63">
        <f>1.3*((L247/1000)*(K247/1000))^0.625/((L247/1000)+(K247/1000))^0.25</f>
        <v/>
      </c>
      <c r="Q247" s="65">
        <f>N247*P247/Hypothèses!$B$20</f>
        <v/>
      </c>
      <c r="R247" s="66">
        <f>0.25/(LOG10(Hypothèses!$B$21/(3.7*P247)+5.74/Q247^0.9))^2</f>
        <v/>
      </c>
      <c r="S247" s="64">
        <f>R247/P247*Hypothèses!$B$19*N247^2/2</f>
        <v/>
      </c>
      <c r="T247" s="62">
        <f>S247*G247*(1+Hypothèses!$B$22)</f>
        <v/>
      </c>
      <c r="U247" s="45" t="inlineStr">
        <is>
          <t>X</t>
        </is>
      </c>
      <c r="V247" s="60">
        <f>IF(K247&lt;=Hypothèses!$B$28-100,"oui","NON")</f>
        <v/>
      </c>
    </row>
    <row r="248" ht="15" customHeight="1" s="40">
      <c r="A248" s="60" t="inlineStr">
        <is>
          <t>CTA 5</t>
        </is>
      </c>
      <c r="B248" s="60" t="inlineStr">
        <is>
          <t>CTA5-R50</t>
        </is>
      </c>
      <c r="C248" s="60" t="inlineStr">
        <is>
          <t>N00</t>
        </is>
      </c>
      <c r="D248" s="60" t="inlineStr">
        <is>
          <t>Faux plafond couloir</t>
        </is>
      </c>
      <c r="E248" s="60" t="inlineStr">
        <is>
          <t>Reprise</t>
        </is>
      </c>
      <c r="F248" s="60" t="inlineStr">
        <is>
          <t>BUR01 bur. ben.</t>
        </is>
      </c>
      <c r="G248" s="61" t="n">
        <v>2.175</v>
      </c>
      <c r="H248" s="46" t="n">
        <v>5991</v>
      </c>
      <c r="I248" s="62">
        <f>IF(A248="CTA 5",MIN(INDEX(Hypothèses!$C$6:$C$16,MATCH(H248,Hypothèses!$A$6:$A$16,1)),Hypothèses!$B$30),INDEX(Hypothèses!$C$6:$C$16,MATCH(H248,Hypothèses!$A$6:$A$16,1)))</f>
        <v/>
      </c>
      <c r="J248" s="63">
        <f>H248/3600/I248</f>
        <v/>
      </c>
      <c r="K248" s="60">
        <f>IF(A248="CTA 4",Hypothèses!$B$25,IF(AND(A248="CTA 5",H248&gt;4000),Hypothèses!$B$29,IF(H248&lt;=2000,Hypothèses!$B$23,Hypothèses!$B$24)))</f>
        <v/>
      </c>
      <c r="L248" s="60">
        <f>MAX(Hypothèses!$B$26,CEILING(J248/(K248/1000)*1000,Hypothèses!$B$27))</f>
        <v/>
      </c>
      <c r="M248" s="63">
        <f>L248*K248/1000000</f>
        <v/>
      </c>
      <c r="N248" s="64">
        <f>H248/3600/M248</f>
        <v/>
      </c>
      <c r="O248" s="60">
        <f>IF(N248&lt;=I248,"oui","NON")</f>
        <v/>
      </c>
      <c r="P248" s="63">
        <f>1.3*((L248/1000)*(K248/1000))^0.625/((L248/1000)+(K248/1000))^0.25</f>
        <v/>
      </c>
      <c r="Q248" s="65">
        <f>N248*P248/Hypothèses!$B$20</f>
        <v/>
      </c>
      <c r="R248" s="66">
        <f>0.25/(LOG10(Hypothèses!$B$21/(3.7*P248)+5.74/Q248^0.9))^2</f>
        <v/>
      </c>
      <c r="S248" s="64">
        <f>R248/P248*Hypothèses!$B$19*N248^2/2</f>
        <v/>
      </c>
      <c r="T248" s="62">
        <f>S248*G248*(1+Hypothèses!$B$22)</f>
        <v/>
      </c>
      <c r="U248" s="45" t="inlineStr">
        <is>
          <t>X</t>
        </is>
      </c>
      <c r="V248" s="60">
        <f>IF(K248&lt;=Hypothèses!$B$28-100,"oui","NON")</f>
        <v/>
      </c>
    </row>
    <row r="249" ht="15" customHeight="1" s="40">
      <c r="A249" s="60" t="inlineStr">
        <is>
          <t>CTA 5</t>
        </is>
      </c>
      <c r="B249" s="60" t="inlineStr">
        <is>
          <t>CTA5-R51</t>
        </is>
      </c>
      <c r="C249" s="60" t="inlineStr">
        <is>
          <t>N00</t>
        </is>
      </c>
      <c r="D249" s="60" t="inlineStr">
        <is>
          <t>Faux plafond couloir</t>
        </is>
      </c>
      <c r="E249" s="60" t="inlineStr">
        <is>
          <t>Reprise</t>
        </is>
      </c>
      <c r="F249" s="60" t="inlineStr">
        <is>
          <t>BUR01 convivialité</t>
        </is>
      </c>
      <c r="G249" s="61" t="n">
        <v>3.025</v>
      </c>
      <c r="H249" s="46" t="n">
        <v>5916</v>
      </c>
      <c r="I249" s="62">
        <f>IF(A249="CTA 5",MIN(INDEX(Hypothèses!$C$6:$C$16,MATCH(H249,Hypothèses!$A$6:$A$16,1)),Hypothèses!$B$30),INDEX(Hypothèses!$C$6:$C$16,MATCH(H249,Hypothèses!$A$6:$A$16,1)))</f>
        <v/>
      </c>
      <c r="J249" s="63">
        <f>H249/3600/I249</f>
        <v/>
      </c>
      <c r="K249" s="60">
        <f>IF(A249="CTA 4",Hypothèses!$B$25,IF(AND(A249="CTA 5",H249&gt;4000),Hypothèses!$B$29,IF(H249&lt;=2000,Hypothèses!$B$23,Hypothèses!$B$24)))</f>
        <v/>
      </c>
      <c r="L249" s="60">
        <f>MAX(Hypothèses!$B$26,CEILING(J249/(K249/1000)*1000,Hypothèses!$B$27))</f>
        <v/>
      </c>
      <c r="M249" s="63">
        <f>L249*K249/1000000</f>
        <v/>
      </c>
      <c r="N249" s="64">
        <f>H249/3600/M249</f>
        <v/>
      </c>
      <c r="O249" s="60">
        <f>IF(N249&lt;=I249,"oui","NON")</f>
        <v/>
      </c>
      <c r="P249" s="63">
        <f>1.3*((L249/1000)*(K249/1000))^0.625/((L249/1000)+(K249/1000))^0.25</f>
        <v/>
      </c>
      <c r="Q249" s="65">
        <f>N249*P249/Hypothèses!$B$20</f>
        <v/>
      </c>
      <c r="R249" s="66">
        <f>0.25/(LOG10(Hypothèses!$B$21/(3.7*P249)+5.74/Q249^0.9))^2</f>
        <v/>
      </c>
      <c r="S249" s="64">
        <f>R249/P249*Hypothèses!$B$19*N249^2/2</f>
        <v/>
      </c>
      <c r="T249" s="62">
        <f>S249*G249*(1+Hypothèses!$B$22)</f>
        <v/>
      </c>
      <c r="U249" s="45" t="inlineStr">
        <is>
          <t>X</t>
        </is>
      </c>
      <c r="V249" s="60">
        <f>IF(K249&lt;=Hypothèses!$B$28-100,"oui","NON")</f>
        <v/>
      </c>
    </row>
    <row r="250" ht="15" customHeight="1" s="40">
      <c r="A250" s="60" t="inlineStr">
        <is>
          <t>CTA 5</t>
        </is>
      </c>
      <c r="B250" s="60" t="inlineStr">
        <is>
          <t>CTA5-R52</t>
        </is>
      </c>
      <c r="C250" s="60" t="inlineStr">
        <is>
          <t>N00</t>
        </is>
      </c>
      <c r="D250" s="60" t="inlineStr">
        <is>
          <t>Faux plafond couloir</t>
        </is>
      </c>
      <c r="E250" s="60" t="inlineStr">
        <is>
          <t>Reprise</t>
        </is>
      </c>
      <c r="F250" s="60" t="inlineStr">
        <is>
          <t>BUR01 bur. poly.</t>
        </is>
      </c>
      <c r="G250" s="61" t="n">
        <v>3.188</v>
      </c>
      <c r="H250" s="46" t="n">
        <v>5808</v>
      </c>
      <c r="I250" s="62">
        <f>IF(A250="CTA 5",MIN(INDEX(Hypothèses!$C$6:$C$16,MATCH(H250,Hypothèses!$A$6:$A$16,1)),Hypothèses!$B$30),INDEX(Hypothèses!$C$6:$C$16,MATCH(H250,Hypothèses!$A$6:$A$16,1)))</f>
        <v/>
      </c>
      <c r="J250" s="63">
        <f>H250/3600/I250</f>
        <v/>
      </c>
      <c r="K250" s="60">
        <f>IF(A250="CTA 4",Hypothèses!$B$25,IF(AND(A250="CTA 5",H250&gt;4000),Hypothèses!$B$29,IF(H250&lt;=2000,Hypothèses!$B$23,Hypothèses!$B$24)))</f>
        <v/>
      </c>
      <c r="L250" s="60">
        <f>MAX(Hypothèses!$B$26,CEILING(J250/(K250/1000)*1000,Hypothèses!$B$27))</f>
        <v/>
      </c>
      <c r="M250" s="63">
        <f>L250*K250/1000000</f>
        <v/>
      </c>
      <c r="N250" s="64">
        <f>H250/3600/M250</f>
        <v/>
      </c>
      <c r="O250" s="60">
        <f>IF(N250&lt;=I250,"oui","NON")</f>
        <v/>
      </c>
      <c r="P250" s="63">
        <f>1.3*((L250/1000)*(K250/1000))^0.625/((L250/1000)+(K250/1000))^0.25</f>
        <v/>
      </c>
      <c r="Q250" s="65">
        <f>N250*P250/Hypothèses!$B$20</f>
        <v/>
      </c>
      <c r="R250" s="66">
        <f>0.25/(LOG10(Hypothèses!$B$21/(3.7*P250)+5.74/Q250^0.9))^2</f>
        <v/>
      </c>
      <c r="S250" s="64">
        <f>R250/P250*Hypothèses!$B$19*N250^2/2</f>
        <v/>
      </c>
      <c r="T250" s="62">
        <f>S250*G250*(1+Hypothèses!$B$22)</f>
        <v/>
      </c>
      <c r="U250" s="45" t="inlineStr">
        <is>
          <t>X</t>
        </is>
      </c>
      <c r="V250" s="60">
        <f>IF(K250&lt;=Hypothèses!$B$28-100,"oui","NON")</f>
        <v/>
      </c>
    </row>
    <row r="251" ht="15" customHeight="1" s="40">
      <c r="A251" s="60" t="inlineStr">
        <is>
          <t>CTA 5</t>
        </is>
      </c>
      <c r="B251" s="60" t="inlineStr">
        <is>
          <t>CTA5-R53</t>
        </is>
      </c>
      <c r="C251" s="60" t="inlineStr">
        <is>
          <t>N00</t>
        </is>
      </c>
      <c r="D251" s="60" t="inlineStr">
        <is>
          <t>Faux plafond couloir</t>
        </is>
      </c>
      <c r="E251" s="60" t="inlineStr">
        <is>
          <t>Reprise</t>
        </is>
      </c>
      <c r="F251" s="60" t="inlineStr">
        <is>
          <t>BUR02 pc médical</t>
        </is>
      </c>
      <c r="G251" s="61" t="n">
        <v>0.374</v>
      </c>
      <c r="H251" s="46" t="n">
        <v>5808</v>
      </c>
      <c r="I251" s="62">
        <f>IF(A251="CTA 5",MIN(INDEX(Hypothèses!$C$6:$C$16,MATCH(H251,Hypothèses!$A$6:$A$16,1)),Hypothèses!$B$30),INDEX(Hypothèses!$C$6:$C$16,MATCH(H251,Hypothèses!$A$6:$A$16,1)))</f>
        <v/>
      </c>
      <c r="J251" s="63">
        <f>H251/3600/I251</f>
        <v/>
      </c>
      <c r="K251" s="60">
        <f>IF(A251="CTA 4",Hypothèses!$B$25,IF(AND(A251="CTA 5",H251&gt;4000),Hypothèses!$B$29,IF(H251&lt;=2000,Hypothèses!$B$23,Hypothèses!$B$24)))</f>
        <v/>
      </c>
      <c r="L251" s="60">
        <f>MAX(Hypothèses!$B$26,CEILING(J251/(K251/1000)*1000,Hypothèses!$B$27))</f>
        <v/>
      </c>
      <c r="M251" s="63">
        <f>L251*K251/1000000</f>
        <v/>
      </c>
      <c r="N251" s="64">
        <f>H251/3600/M251</f>
        <v/>
      </c>
      <c r="O251" s="60">
        <f>IF(N251&lt;=I251,"oui","NON")</f>
        <v/>
      </c>
      <c r="P251" s="63">
        <f>1.3*((L251/1000)*(K251/1000))^0.625/((L251/1000)+(K251/1000))^0.25</f>
        <v/>
      </c>
      <c r="Q251" s="65">
        <f>N251*P251/Hypothèses!$B$20</f>
        <v/>
      </c>
      <c r="R251" s="66">
        <f>0.25/(LOG10(Hypothèses!$B$21/(3.7*P251)+5.74/Q251^0.9))^2</f>
        <v/>
      </c>
      <c r="S251" s="64">
        <f>R251/P251*Hypothèses!$B$19*N251^2/2</f>
        <v/>
      </c>
      <c r="T251" s="62">
        <f>S251*G251*(1+Hypothèses!$B$22)</f>
        <v/>
      </c>
      <c r="U251" s="45" t="inlineStr">
        <is>
          <t>X</t>
        </is>
      </c>
      <c r="V251" s="60">
        <f>IF(K251&lt;=Hypothèses!$B$28-100,"oui","NON")</f>
        <v/>
      </c>
    </row>
    <row r="252" ht="15" customHeight="1" s="40">
      <c r="A252" s="60" t="inlineStr">
        <is>
          <t>CTA 5</t>
        </is>
      </c>
      <c r="B252" s="60" t="inlineStr">
        <is>
          <t>CTA5-R54</t>
        </is>
      </c>
      <c r="C252" s="60" t="inlineStr">
        <is>
          <t>N00</t>
        </is>
      </c>
      <c r="D252" s="60" t="inlineStr">
        <is>
          <t>Faux plafond couloir</t>
        </is>
      </c>
      <c r="E252" s="60" t="inlineStr">
        <is>
          <t>Reprise</t>
        </is>
      </c>
      <c r="F252" s="60" t="inlineStr">
        <is>
          <t>SOI01 pc ide</t>
        </is>
      </c>
      <c r="G252" s="61" t="n">
        <v>4.664</v>
      </c>
      <c r="H252" s="46" t="n">
        <v>5733</v>
      </c>
      <c r="I252" s="62">
        <f>IF(A252="CTA 5",MIN(INDEX(Hypothèses!$C$6:$C$16,MATCH(H252,Hypothèses!$A$6:$A$16,1)),Hypothèses!$B$30),INDEX(Hypothèses!$C$6:$C$16,MATCH(H252,Hypothèses!$A$6:$A$16,1)))</f>
        <v/>
      </c>
      <c r="J252" s="63">
        <f>H252/3600/I252</f>
        <v/>
      </c>
      <c r="K252" s="60">
        <f>IF(A252="CTA 4",Hypothèses!$B$25,IF(AND(A252="CTA 5",H252&gt;4000),Hypothèses!$B$29,IF(H252&lt;=2000,Hypothèses!$B$23,Hypothèses!$B$24)))</f>
        <v/>
      </c>
      <c r="L252" s="60">
        <f>MAX(Hypothèses!$B$26,CEILING(J252/(K252/1000)*1000,Hypothèses!$B$27))</f>
        <v/>
      </c>
      <c r="M252" s="63">
        <f>L252*K252/1000000</f>
        <v/>
      </c>
      <c r="N252" s="64">
        <f>H252/3600/M252</f>
        <v/>
      </c>
      <c r="O252" s="60">
        <f>IF(N252&lt;=I252,"oui","NON")</f>
        <v/>
      </c>
      <c r="P252" s="63">
        <f>1.3*((L252/1000)*(K252/1000))^0.625/((L252/1000)+(K252/1000))^0.25</f>
        <v/>
      </c>
      <c r="Q252" s="65">
        <f>N252*P252/Hypothèses!$B$20</f>
        <v/>
      </c>
      <c r="R252" s="66">
        <f>0.25/(LOG10(Hypothèses!$B$21/(3.7*P252)+5.74/Q252^0.9))^2</f>
        <v/>
      </c>
      <c r="S252" s="64">
        <f>R252/P252*Hypothèses!$B$19*N252^2/2</f>
        <v/>
      </c>
      <c r="T252" s="62">
        <f>S252*G252*(1+Hypothèses!$B$22)</f>
        <v/>
      </c>
      <c r="U252" s="45" t="inlineStr">
        <is>
          <t>X</t>
        </is>
      </c>
      <c r="V252" s="60">
        <f>IF(K252&lt;=Hypothèses!$B$28-100,"oui","NON")</f>
        <v/>
      </c>
    </row>
    <row r="253" ht="15" customHeight="1" s="40">
      <c r="A253" s="60" t="inlineStr">
        <is>
          <t>CTA 5</t>
        </is>
      </c>
      <c r="B253" s="60" t="inlineStr">
        <is>
          <t>CTA5-R55</t>
        </is>
      </c>
      <c r="C253" s="60" t="inlineStr">
        <is>
          <t>N00</t>
        </is>
      </c>
      <c r="D253" s="60" t="inlineStr">
        <is>
          <t>Faux plafond couloir</t>
        </is>
      </c>
      <c r="E253" s="60" t="inlineStr">
        <is>
          <t>Reprise</t>
        </is>
      </c>
      <c r="F253" s="60" t="inlineStr">
        <is>
          <t>VIE05 rééducation</t>
        </is>
      </c>
      <c r="G253" s="61" t="n">
        <v>0.074</v>
      </c>
      <c r="H253" s="46" t="n">
        <v>5608</v>
      </c>
      <c r="I253" s="62">
        <f>IF(A253="CTA 5",MIN(INDEX(Hypothèses!$C$6:$C$16,MATCH(H253,Hypothèses!$A$6:$A$16,1)),Hypothèses!$B$30),INDEX(Hypothèses!$C$6:$C$16,MATCH(H253,Hypothèses!$A$6:$A$16,1)))</f>
        <v/>
      </c>
      <c r="J253" s="63">
        <f>H253/3600/I253</f>
        <v/>
      </c>
      <c r="K253" s="60">
        <f>IF(A253="CTA 4",Hypothèses!$B$25,IF(AND(A253="CTA 5",H253&gt;4000),Hypothèses!$B$29,IF(H253&lt;=2000,Hypothèses!$B$23,Hypothèses!$B$24)))</f>
        <v/>
      </c>
      <c r="L253" s="60">
        <f>MAX(Hypothèses!$B$26,CEILING(J253/(K253/1000)*1000,Hypothèses!$B$27))</f>
        <v/>
      </c>
      <c r="M253" s="63">
        <f>L253*K253/1000000</f>
        <v/>
      </c>
      <c r="N253" s="64">
        <f>H253/3600/M253</f>
        <v/>
      </c>
      <c r="O253" s="60">
        <f>IF(N253&lt;=I253,"oui","NON")</f>
        <v/>
      </c>
      <c r="P253" s="63">
        <f>1.3*((L253/1000)*(K253/1000))^0.625/((L253/1000)+(K253/1000))^0.25</f>
        <v/>
      </c>
      <c r="Q253" s="65">
        <f>N253*P253/Hypothèses!$B$20</f>
        <v/>
      </c>
      <c r="R253" s="66">
        <f>0.25/(LOG10(Hypothèses!$B$21/(3.7*P253)+5.74/Q253^0.9))^2</f>
        <v/>
      </c>
      <c r="S253" s="64">
        <f>R253/P253*Hypothèses!$B$19*N253^2/2</f>
        <v/>
      </c>
      <c r="T253" s="62">
        <f>S253*G253*(1+Hypothèses!$B$22)</f>
        <v/>
      </c>
      <c r="U253" s="45" t="inlineStr">
        <is>
          <t>X</t>
        </is>
      </c>
      <c r="V253" s="60">
        <f>IF(K253&lt;=Hypothèses!$B$28-100,"oui","NON")</f>
        <v/>
      </c>
    </row>
    <row r="254" ht="15" customHeight="1" s="40">
      <c r="A254" s="60" t="inlineStr">
        <is>
          <t>CTA 5</t>
        </is>
      </c>
      <c r="B254" s="60" t="inlineStr">
        <is>
          <t>CTA5-R56</t>
        </is>
      </c>
      <c r="C254" s="60" t="inlineStr">
        <is>
          <t>N00</t>
        </is>
      </c>
      <c r="D254" s="60" t="inlineStr">
        <is>
          <t>Faux plafond couloir</t>
        </is>
      </c>
      <c r="E254" s="60" t="inlineStr">
        <is>
          <t>Reprise</t>
        </is>
      </c>
      <c r="F254" s="60" t="n"/>
      <c r="G254" s="61" t="n">
        <v>6.15</v>
      </c>
      <c r="H254" s="46" t="n">
        <v>5374</v>
      </c>
      <c r="I254" s="62">
        <f>IF(A254="CTA 5",MIN(INDEX(Hypothèses!$C$6:$C$16,MATCH(H254,Hypothèses!$A$6:$A$16,1)),Hypothèses!$B$30),INDEX(Hypothèses!$C$6:$C$16,MATCH(H254,Hypothèses!$A$6:$A$16,1)))</f>
        <v/>
      </c>
      <c r="J254" s="63">
        <f>H254/3600/I254</f>
        <v/>
      </c>
      <c r="K254" s="60">
        <f>IF(A254="CTA 4",Hypothèses!$B$25,IF(AND(A254="CTA 5",H254&gt;4000),Hypothèses!$B$29,IF(H254&lt;=2000,Hypothèses!$B$23,Hypothèses!$B$24)))</f>
        <v/>
      </c>
      <c r="L254" s="60">
        <f>MAX(Hypothèses!$B$26,CEILING(J254/(K254/1000)*1000,Hypothèses!$B$27))</f>
        <v/>
      </c>
      <c r="M254" s="63">
        <f>L254*K254/1000000</f>
        <v/>
      </c>
      <c r="N254" s="64">
        <f>H254/3600/M254</f>
        <v/>
      </c>
      <c r="O254" s="60">
        <f>IF(N254&lt;=I254,"oui","NON")</f>
        <v/>
      </c>
      <c r="P254" s="63">
        <f>1.3*((L254/1000)*(K254/1000))^0.625/((L254/1000)+(K254/1000))^0.25</f>
        <v/>
      </c>
      <c r="Q254" s="65">
        <f>N254*P254/Hypothèses!$B$20</f>
        <v/>
      </c>
      <c r="R254" s="66">
        <f>0.25/(LOG10(Hypothèses!$B$21/(3.7*P254)+5.74/Q254^0.9))^2</f>
        <v/>
      </c>
      <c r="S254" s="64">
        <f>R254/P254*Hypothèses!$B$19*N254^2/2</f>
        <v/>
      </c>
      <c r="T254" s="62">
        <f>S254*G254*(1+Hypothèses!$B$22)</f>
        <v/>
      </c>
      <c r="U254" s="45" t="inlineStr">
        <is>
          <t>X</t>
        </is>
      </c>
      <c r="V254" s="60">
        <f>IF(K254&lt;=Hypothèses!$B$28-100,"oui","NON")</f>
        <v/>
      </c>
    </row>
    <row r="255" ht="15" customHeight="1" s="40">
      <c r="A255" s="60" t="inlineStr">
        <is>
          <t>CTA 5</t>
        </is>
      </c>
      <c r="B255" s="60" t="inlineStr">
        <is>
          <t>CTA5-R57</t>
        </is>
      </c>
      <c r="C255" s="60" t="inlineStr">
        <is>
          <t>N00</t>
        </is>
      </c>
      <c r="D255" s="60" t="inlineStr">
        <is>
          <t>Faux plafond couloir</t>
        </is>
      </c>
      <c r="E255" s="60" t="inlineStr">
        <is>
          <t>Reprise</t>
        </is>
      </c>
      <c r="F255" s="60" t="n"/>
      <c r="G255" s="61" t="n">
        <v>1.4</v>
      </c>
      <c r="H255" s="46" t="n">
        <v>5374</v>
      </c>
      <c r="I255" s="62">
        <f>IF(A255="CTA 5",MIN(INDEX(Hypothèses!$C$6:$C$16,MATCH(H255,Hypothèses!$A$6:$A$16,1)),Hypothèses!$B$30),INDEX(Hypothèses!$C$6:$C$16,MATCH(H255,Hypothèses!$A$6:$A$16,1)))</f>
        <v/>
      </c>
      <c r="J255" s="63">
        <f>H255/3600/I255</f>
        <v/>
      </c>
      <c r="K255" s="60">
        <f>IF(A255="CTA 4",Hypothèses!$B$25,IF(AND(A255="CTA 5",H255&gt;4000),Hypothèses!$B$29,IF(H255&lt;=2000,Hypothèses!$B$23,Hypothèses!$B$24)))</f>
        <v/>
      </c>
      <c r="L255" s="60">
        <f>MAX(Hypothèses!$B$26,CEILING(J255/(K255/1000)*1000,Hypothèses!$B$27))</f>
        <v/>
      </c>
      <c r="M255" s="63">
        <f>L255*K255/1000000</f>
        <v/>
      </c>
      <c r="N255" s="64">
        <f>H255/3600/M255</f>
        <v/>
      </c>
      <c r="O255" s="60">
        <f>IF(N255&lt;=I255,"oui","NON")</f>
        <v/>
      </c>
      <c r="P255" s="63">
        <f>1.3*((L255/1000)*(K255/1000))^0.625/((L255/1000)+(K255/1000))^0.25</f>
        <v/>
      </c>
      <c r="Q255" s="65">
        <f>N255*P255/Hypothèses!$B$20</f>
        <v/>
      </c>
      <c r="R255" s="66">
        <f>0.25/(LOG10(Hypothèses!$B$21/(3.7*P255)+5.74/Q255^0.9))^2</f>
        <v/>
      </c>
      <c r="S255" s="64">
        <f>R255/P255*Hypothèses!$B$19*N255^2/2</f>
        <v/>
      </c>
      <c r="T255" s="62">
        <f>S255*G255*(1+Hypothèses!$B$22)</f>
        <v/>
      </c>
      <c r="U255" s="45" t="inlineStr">
        <is>
          <t>X</t>
        </is>
      </c>
      <c r="V255" s="60">
        <f>IF(K255&lt;=Hypothèses!$B$28-100,"oui","NON")</f>
        <v/>
      </c>
    </row>
    <row r="256" ht="15" customHeight="1" s="40">
      <c r="A256" s="60" t="inlineStr">
        <is>
          <t>CTA 5</t>
        </is>
      </c>
      <c r="B256" s="60" t="inlineStr">
        <is>
          <t>CTA5-R58</t>
        </is>
      </c>
      <c r="C256" s="60" t="inlineStr">
        <is>
          <t>N00</t>
        </is>
      </c>
      <c r="D256" s="60" t="inlineStr">
        <is>
          <t>Faux plafond couloir</t>
        </is>
      </c>
      <c r="E256" s="60" t="inlineStr">
        <is>
          <t>Reprise</t>
        </is>
      </c>
      <c r="F256" s="60" t="inlineStr">
        <is>
          <t>BUR01 bur. cadre, SOI02 prépa., SOI05 transmissions</t>
        </is>
      </c>
      <c r="G256" s="61" t="n">
        <v>1.3</v>
      </c>
      <c r="H256" s="46" t="n">
        <v>5374</v>
      </c>
      <c r="I256" s="62">
        <f>IF(A256="CTA 5",MIN(INDEX(Hypothèses!$C$6:$C$16,MATCH(H256,Hypothèses!$A$6:$A$16,1)),Hypothèses!$B$30),INDEX(Hypothèses!$C$6:$C$16,MATCH(H256,Hypothèses!$A$6:$A$16,1)))</f>
        <v/>
      </c>
      <c r="J256" s="63">
        <f>H256/3600/I256</f>
        <v/>
      </c>
      <c r="K256" s="60">
        <f>IF(A256="CTA 4",Hypothèses!$B$25,IF(AND(A256="CTA 5",H256&gt;4000),Hypothèses!$B$29,IF(H256&lt;=2000,Hypothèses!$B$23,Hypothèses!$B$24)))</f>
        <v/>
      </c>
      <c r="L256" s="60">
        <f>MAX(Hypothèses!$B$26,CEILING(J256/(K256/1000)*1000,Hypothèses!$B$27))</f>
        <v/>
      </c>
      <c r="M256" s="63">
        <f>L256*K256/1000000</f>
        <v/>
      </c>
      <c r="N256" s="64">
        <f>H256/3600/M256</f>
        <v/>
      </c>
      <c r="O256" s="60">
        <f>IF(N256&lt;=I256,"oui","NON")</f>
        <v/>
      </c>
      <c r="P256" s="63">
        <f>1.3*((L256/1000)*(K256/1000))^0.625/((L256/1000)+(K256/1000))^0.25</f>
        <v/>
      </c>
      <c r="Q256" s="65">
        <f>N256*P256/Hypothèses!$B$20</f>
        <v/>
      </c>
      <c r="R256" s="66">
        <f>0.25/(LOG10(Hypothèses!$B$21/(3.7*P256)+5.74/Q256^0.9))^2</f>
        <v/>
      </c>
      <c r="S256" s="64">
        <f>R256/P256*Hypothèses!$B$19*N256^2/2</f>
        <v/>
      </c>
      <c r="T256" s="62">
        <f>S256*G256*(1+Hypothèses!$B$22)</f>
        <v/>
      </c>
      <c r="U256" s="45" t="inlineStr">
        <is>
          <t>X</t>
        </is>
      </c>
      <c r="V256" s="60">
        <f>IF(K256&lt;=Hypothèses!$B$28-100,"oui","NON")</f>
        <v/>
      </c>
    </row>
    <row r="257" ht="15" customHeight="1" s="40">
      <c r="A257" s="60" t="inlineStr">
        <is>
          <t>CTA 5</t>
        </is>
      </c>
      <c r="B257" s="60" t="inlineStr">
        <is>
          <t>CTA5-R59</t>
        </is>
      </c>
      <c r="C257" s="60" t="inlineStr">
        <is>
          <t>N00</t>
        </is>
      </c>
      <c r="D257" s="60" t="inlineStr">
        <is>
          <t>Faux plafond couloir</t>
        </is>
      </c>
      <c r="E257" s="60" t="inlineStr">
        <is>
          <t>Reprise</t>
        </is>
      </c>
      <c r="F257" s="60" t="inlineStr">
        <is>
          <t>LOG02 stock</t>
        </is>
      </c>
      <c r="G257" s="61" t="n">
        <v>0.474</v>
      </c>
      <c r="H257" s="46" t="n">
        <v>5149</v>
      </c>
      <c r="I257" s="62">
        <f>IF(A257="CTA 5",MIN(INDEX(Hypothèses!$C$6:$C$16,MATCH(H257,Hypothèses!$A$6:$A$16,1)),Hypothèses!$B$30),INDEX(Hypothèses!$C$6:$C$16,MATCH(H257,Hypothèses!$A$6:$A$16,1)))</f>
        <v/>
      </c>
      <c r="J257" s="63">
        <f>H257/3600/I257</f>
        <v/>
      </c>
      <c r="K257" s="60">
        <f>IF(A257="CTA 4",Hypothèses!$B$25,IF(AND(A257="CTA 5",H257&gt;4000),Hypothèses!$B$29,IF(H257&lt;=2000,Hypothèses!$B$23,Hypothèses!$B$24)))</f>
        <v/>
      </c>
      <c r="L257" s="60">
        <f>MAX(Hypothèses!$B$26,CEILING(J257/(K257/1000)*1000,Hypothèses!$B$27))</f>
        <v/>
      </c>
      <c r="M257" s="63">
        <f>L257*K257/1000000</f>
        <v/>
      </c>
      <c r="N257" s="64">
        <f>H257/3600/M257</f>
        <v/>
      </c>
      <c r="O257" s="60">
        <f>IF(N257&lt;=I257,"oui","NON")</f>
        <v/>
      </c>
      <c r="P257" s="63">
        <f>1.3*((L257/1000)*(K257/1000))^0.625/((L257/1000)+(K257/1000))^0.25</f>
        <v/>
      </c>
      <c r="Q257" s="65">
        <f>N257*P257/Hypothèses!$B$20</f>
        <v/>
      </c>
      <c r="R257" s="66">
        <f>0.25/(LOG10(Hypothèses!$B$21/(3.7*P257)+5.74/Q257^0.9))^2</f>
        <v/>
      </c>
      <c r="S257" s="64">
        <f>R257/P257*Hypothèses!$B$19*N257^2/2</f>
        <v/>
      </c>
      <c r="T257" s="62">
        <f>S257*G257*(1+Hypothèses!$B$22)</f>
        <v/>
      </c>
      <c r="U257" s="45" t="inlineStr">
        <is>
          <t>X</t>
        </is>
      </c>
      <c r="V257" s="60">
        <f>IF(K257&lt;=Hypothèses!$B$28-100,"oui","NON")</f>
        <v/>
      </c>
    </row>
    <row r="258" ht="15" customHeight="1" s="40">
      <c r="A258" s="60" t="inlineStr">
        <is>
          <t>CTA 5</t>
        </is>
      </c>
      <c r="B258" s="60" t="inlineStr">
        <is>
          <t>CTA5-R60</t>
        </is>
      </c>
      <c r="C258" s="60" t="inlineStr">
        <is>
          <t>N00</t>
        </is>
      </c>
      <c r="D258" s="60" t="inlineStr">
        <is>
          <t>Faux plafond couloir</t>
        </is>
      </c>
      <c r="E258" s="60" t="inlineStr">
        <is>
          <t>Reprise</t>
        </is>
      </c>
      <c r="F258" s="60" t="n"/>
      <c r="G258" s="61" t="n">
        <v>4.476</v>
      </c>
      <c r="H258" s="46" t="n">
        <v>5149</v>
      </c>
      <c r="I258" s="62">
        <f>IF(A258="CTA 5",MIN(INDEX(Hypothèses!$C$6:$C$16,MATCH(H258,Hypothèses!$A$6:$A$16,1)),Hypothèses!$B$30),INDEX(Hypothèses!$C$6:$C$16,MATCH(H258,Hypothèses!$A$6:$A$16,1)))</f>
        <v/>
      </c>
      <c r="J258" s="63">
        <f>H258/3600/I258</f>
        <v/>
      </c>
      <c r="K258" s="60">
        <f>IF(A258="CTA 4",Hypothèses!$B$25,IF(AND(A258="CTA 5",H258&gt;4000),Hypothèses!$B$29,IF(H258&lt;=2000,Hypothèses!$B$23,Hypothèses!$B$24)))</f>
        <v/>
      </c>
      <c r="L258" s="60">
        <f>MAX(Hypothèses!$B$26,CEILING(J258/(K258/1000)*1000,Hypothèses!$B$27))</f>
        <v/>
      </c>
      <c r="M258" s="63">
        <f>L258*K258/1000000</f>
        <v/>
      </c>
      <c r="N258" s="64">
        <f>H258/3600/M258</f>
        <v/>
      </c>
      <c r="O258" s="60">
        <f>IF(N258&lt;=I258,"oui","NON")</f>
        <v/>
      </c>
      <c r="P258" s="63">
        <f>1.3*((L258/1000)*(K258/1000))^0.625/((L258/1000)+(K258/1000))^0.25</f>
        <v/>
      </c>
      <c r="Q258" s="65">
        <f>N258*P258/Hypothèses!$B$20</f>
        <v/>
      </c>
      <c r="R258" s="66">
        <f>0.25/(LOG10(Hypothèses!$B$21/(3.7*P258)+5.74/Q258^0.9))^2</f>
        <v/>
      </c>
      <c r="S258" s="64">
        <f>R258/P258*Hypothèses!$B$19*N258^2/2</f>
        <v/>
      </c>
      <c r="T258" s="62">
        <f>S258*G258*(1+Hypothèses!$B$22)</f>
        <v/>
      </c>
      <c r="U258" s="45" t="inlineStr">
        <is>
          <t>X</t>
        </is>
      </c>
      <c r="V258" s="60">
        <f>IF(K258&lt;=Hypothèses!$B$28-100,"oui","NON")</f>
        <v/>
      </c>
    </row>
    <row r="259" ht="15" customHeight="1" s="40">
      <c r="A259" s="60" t="inlineStr">
        <is>
          <t>CTA 5</t>
        </is>
      </c>
      <c r="B259" s="60" t="inlineStr">
        <is>
          <t>CTA5-R61</t>
        </is>
      </c>
      <c r="C259" s="60" t="inlineStr">
        <is>
          <t>N00</t>
        </is>
      </c>
      <c r="D259" s="60" t="inlineStr">
        <is>
          <t>Faux plafond couloir</t>
        </is>
      </c>
      <c r="E259" s="60" t="inlineStr">
        <is>
          <t>Reprise</t>
        </is>
      </c>
      <c r="F259" s="60" t="inlineStr">
        <is>
          <t>LOG02 réserve centrale</t>
        </is>
      </c>
      <c r="G259" s="61" t="n">
        <v>1.3</v>
      </c>
      <c r="H259" s="46" t="n">
        <v>5147</v>
      </c>
      <c r="I259" s="62">
        <f>IF(A259="CTA 5",MIN(INDEX(Hypothèses!$C$6:$C$16,MATCH(H259,Hypothèses!$A$6:$A$16,1)),Hypothèses!$B$30),INDEX(Hypothèses!$C$6:$C$16,MATCH(H259,Hypothèses!$A$6:$A$16,1)))</f>
        <v/>
      </c>
      <c r="J259" s="63">
        <f>H259/3600/I259</f>
        <v/>
      </c>
      <c r="K259" s="60">
        <f>IF(A259="CTA 4",Hypothèses!$B$25,IF(AND(A259="CTA 5",H259&gt;4000),Hypothèses!$B$29,IF(H259&lt;=2000,Hypothèses!$B$23,Hypothèses!$B$24)))</f>
        <v/>
      </c>
      <c r="L259" s="60">
        <f>MAX(Hypothèses!$B$26,CEILING(J259/(K259/1000)*1000,Hypothèses!$B$27))</f>
        <v/>
      </c>
      <c r="M259" s="63">
        <f>L259*K259/1000000</f>
        <v/>
      </c>
      <c r="N259" s="64">
        <f>H259/3600/M259</f>
        <v/>
      </c>
      <c r="O259" s="60">
        <f>IF(N259&lt;=I259,"oui","NON")</f>
        <v/>
      </c>
      <c r="P259" s="63">
        <f>1.3*((L259/1000)*(K259/1000))^0.625/((L259/1000)+(K259/1000))^0.25</f>
        <v/>
      </c>
      <c r="Q259" s="65">
        <f>N259*P259/Hypothèses!$B$20</f>
        <v/>
      </c>
      <c r="R259" s="66">
        <f>0.25/(LOG10(Hypothèses!$B$21/(3.7*P259)+5.74/Q259^0.9))^2</f>
        <v/>
      </c>
      <c r="S259" s="64">
        <f>R259/P259*Hypothèses!$B$19*N259^2/2</f>
        <v/>
      </c>
      <c r="T259" s="62">
        <f>S259*G259*(1+Hypothèses!$B$22)</f>
        <v/>
      </c>
      <c r="U259" s="45" t="inlineStr">
        <is>
          <t>X</t>
        </is>
      </c>
      <c r="V259" s="60">
        <f>IF(K259&lt;=Hypothèses!$B$28-100,"oui","NON")</f>
        <v/>
      </c>
    </row>
    <row r="260" ht="15" customHeight="1" s="40">
      <c r="A260" s="60" t="inlineStr">
        <is>
          <t>CTA 5</t>
        </is>
      </c>
      <c r="B260" s="60" t="inlineStr">
        <is>
          <t>CTA5-R62</t>
        </is>
      </c>
      <c r="C260" s="60" t="inlineStr">
        <is>
          <t>N00</t>
        </is>
      </c>
      <c r="D260" s="60" t="inlineStr">
        <is>
          <t>Faux plafond couloir</t>
        </is>
      </c>
      <c r="E260" s="60" t="inlineStr">
        <is>
          <t>Reprise</t>
        </is>
      </c>
      <c r="F260" s="60" t="inlineStr">
        <is>
          <t>départ vers l'étage (local linge S)</t>
        </is>
      </c>
      <c r="G260" s="61" t="n">
        <v>0.9</v>
      </c>
      <c r="H260" s="46" t="n">
        <v>5143</v>
      </c>
      <c r="I260" s="62">
        <f>IF(A260="CTA 5",MIN(INDEX(Hypothèses!$C$6:$C$16,MATCH(H260,Hypothèses!$A$6:$A$16,1)),Hypothèses!$B$30),INDEX(Hypothèses!$C$6:$C$16,MATCH(H260,Hypothèses!$A$6:$A$16,1)))</f>
        <v/>
      </c>
      <c r="J260" s="63">
        <f>H260/3600/I260</f>
        <v/>
      </c>
      <c r="K260" s="60">
        <f>IF(A260="CTA 4",Hypothèses!$B$25,IF(AND(A260="CTA 5",H260&gt;4000),Hypothèses!$B$29,IF(H260&lt;=2000,Hypothèses!$B$23,Hypothèses!$B$24)))</f>
        <v/>
      </c>
      <c r="L260" s="60">
        <f>MAX(Hypothèses!$B$26,CEILING(J260/(K260/1000)*1000,Hypothèses!$B$27))</f>
        <v/>
      </c>
      <c r="M260" s="63">
        <f>L260*K260/1000000</f>
        <v/>
      </c>
      <c r="N260" s="64">
        <f>H260/3600/M260</f>
        <v/>
      </c>
      <c r="O260" s="60">
        <f>IF(N260&lt;=I260,"oui","NON")</f>
        <v/>
      </c>
      <c r="P260" s="63">
        <f>1.3*((L260/1000)*(K260/1000))^0.625/((L260/1000)+(K260/1000))^0.25</f>
        <v/>
      </c>
      <c r="Q260" s="65">
        <f>N260*P260/Hypothèses!$B$20</f>
        <v/>
      </c>
      <c r="R260" s="66">
        <f>0.25/(LOG10(Hypothèses!$B$21/(3.7*P260)+5.74/Q260^0.9))^2</f>
        <v/>
      </c>
      <c r="S260" s="64">
        <f>R260/P260*Hypothèses!$B$19*N260^2/2</f>
        <v/>
      </c>
      <c r="T260" s="62">
        <f>S260*G260*(1+Hypothèses!$B$22)</f>
        <v/>
      </c>
      <c r="U260" s="45" t="inlineStr">
        <is>
          <t>X</t>
        </is>
      </c>
      <c r="V260" s="60">
        <f>IF(K260&lt;=Hypothèses!$B$28-100,"oui","NON")</f>
        <v/>
      </c>
    </row>
    <row r="261" ht="15" customHeight="1" s="40">
      <c r="A261" s="60" t="inlineStr">
        <is>
          <t>CTA 5</t>
        </is>
      </c>
      <c r="B261" s="60" t="inlineStr">
        <is>
          <t>CTA5-R63</t>
        </is>
      </c>
      <c r="C261" s="60" t="inlineStr">
        <is>
          <t>N00</t>
        </is>
      </c>
      <c r="D261" s="60" t="inlineStr">
        <is>
          <t>Faux plafond couloir</t>
        </is>
      </c>
      <c r="E261" s="60" t="inlineStr">
        <is>
          <t>Reprise</t>
        </is>
      </c>
      <c r="F261" s="60" t="n"/>
      <c r="G261" s="61" t="n">
        <v>2.9</v>
      </c>
      <c r="H261" s="46" t="n">
        <v>3113</v>
      </c>
      <c r="I261" s="62">
        <f>IF(A261="CTA 5",MIN(INDEX(Hypothèses!$C$6:$C$16,MATCH(H261,Hypothèses!$A$6:$A$16,1)),Hypothèses!$B$30),INDEX(Hypothèses!$C$6:$C$16,MATCH(H261,Hypothèses!$A$6:$A$16,1)))</f>
        <v/>
      </c>
      <c r="J261" s="63">
        <f>H261/3600/I261</f>
        <v/>
      </c>
      <c r="K261" s="60">
        <f>IF(A261="CTA 4",Hypothèses!$B$25,IF(AND(A261="CTA 5",H261&gt;4000),Hypothèses!$B$29,IF(H261&lt;=2000,Hypothèses!$B$23,Hypothèses!$B$24)))</f>
        <v/>
      </c>
      <c r="L261" s="60">
        <f>MAX(Hypothèses!$B$26,CEILING(J261/(K261/1000)*1000,Hypothèses!$B$27))</f>
        <v/>
      </c>
      <c r="M261" s="63">
        <f>L261*K261/1000000</f>
        <v/>
      </c>
      <c r="N261" s="64">
        <f>H261/3600/M261</f>
        <v/>
      </c>
      <c r="O261" s="60">
        <f>IF(N261&lt;=I261,"oui","NON")</f>
        <v/>
      </c>
      <c r="P261" s="63">
        <f>1.3*((L261/1000)*(K261/1000))^0.625/((L261/1000)+(K261/1000))^0.25</f>
        <v/>
      </c>
      <c r="Q261" s="65">
        <f>N261*P261/Hypothèses!$B$20</f>
        <v/>
      </c>
      <c r="R261" s="66">
        <f>0.25/(LOG10(Hypothèses!$B$21/(3.7*P261)+5.74/Q261^0.9))^2</f>
        <v/>
      </c>
      <c r="S261" s="64">
        <f>R261/P261*Hypothèses!$B$19*N261^2/2</f>
        <v/>
      </c>
      <c r="T261" s="62">
        <f>S261*G261*(1+Hypothèses!$B$22)</f>
        <v/>
      </c>
      <c r="U261" s="45" t="inlineStr">
        <is>
          <t>X</t>
        </is>
      </c>
      <c r="V261" s="60">
        <f>IF(K261&lt;=Hypothèses!$B$28-100,"oui","NON")</f>
        <v/>
      </c>
    </row>
    <row r="262" ht="15" customHeight="1" s="40">
      <c r="A262" s="60" t="inlineStr">
        <is>
          <t>CTA 5</t>
        </is>
      </c>
      <c r="B262" s="60" t="inlineStr">
        <is>
          <t>CTA5-R64</t>
        </is>
      </c>
      <c r="C262" s="60" t="inlineStr">
        <is>
          <t>N00</t>
        </is>
      </c>
      <c r="D262" s="60" t="inlineStr">
        <is>
          <t>Faux plafond couloir</t>
        </is>
      </c>
      <c r="E262" s="60" t="inlineStr">
        <is>
          <t>Reprise</t>
        </is>
      </c>
      <c r="F262" s="60" t="inlineStr">
        <is>
          <t>LOG02 chariots, BUR02 accueil</t>
        </is>
      </c>
      <c r="G262" s="61" t="n">
        <v>1.3</v>
      </c>
      <c r="H262" s="46" t="n">
        <v>3113</v>
      </c>
      <c r="I262" s="62">
        <f>IF(A262="CTA 5",MIN(INDEX(Hypothèses!$C$6:$C$16,MATCH(H262,Hypothèses!$A$6:$A$16,1)),Hypothèses!$B$30),INDEX(Hypothèses!$C$6:$C$16,MATCH(H262,Hypothèses!$A$6:$A$16,1)))</f>
        <v/>
      </c>
      <c r="J262" s="63">
        <f>H262/3600/I262</f>
        <v/>
      </c>
      <c r="K262" s="60">
        <f>IF(A262="CTA 4",Hypothèses!$B$25,IF(AND(A262="CTA 5",H262&gt;4000),Hypothèses!$B$29,IF(H262&lt;=2000,Hypothèses!$B$23,Hypothèses!$B$24)))</f>
        <v/>
      </c>
      <c r="L262" s="60">
        <f>MAX(Hypothèses!$B$26,CEILING(J262/(K262/1000)*1000,Hypothèses!$B$27))</f>
        <v/>
      </c>
      <c r="M262" s="63">
        <f>L262*K262/1000000</f>
        <v/>
      </c>
      <c r="N262" s="64">
        <f>H262/3600/M262</f>
        <v/>
      </c>
      <c r="O262" s="60">
        <f>IF(N262&lt;=I262,"oui","NON")</f>
        <v/>
      </c>
      <c r="P262" s="63">
        <f>1.3*((L262/1000)*(K262/1000))^0.625/((L262/1000)+(K262/1000))^0.25</f>
        <v/>
      </c>
      <c r="Q262" s="65">
        <f>N262*P262/Hypothèses!$B$20</f>
        <v/>
      </c>
      <c r="R262" s="66">
        <f>0.25/(LOG10(Hypothèses!$B$21/(3.7*P262)+5.74/Q262^0.9))^2</f>
        <v/>
      </c>
      <c r="S262" s="64">
        <f>R262/P262*Hypothèses!$B$19*N262^2/2</f>
        <v/>
      </c>
      <c r="T262" s="62">
        <f>S262*G262*(1+Hypothèses!$B$22)</f>
        <v/>
      </c>
      <c r="U262" s="45" t="inlineStr">
        <is>
          <t>X</t>
        </is>
      </c>
      <c r="V262" s="60">
        <f>IF(K262&lt;=Hypothèses!$B$28-100,"oui","NON")</f>
        <v/>
      </c>
    </row>
    <row r="263" ht="15" customHeight="1" s="40">
      <c r="A263" s="60" t="inlineStr">
        <is>
          <t>CTA 5</t>
        </is>
      </c>
      <c r="B263" s="60" t="inlineStr">
        <is>
          <t>CTA5-R65</t>
        </is>
      </c>
      <c r="C263" s="60" t="inlineStr">
        <is>
          <t>N00</t>
        </is>
      </c>
      <c r="D263" s="60" t="inlineStr">
        <is>
          <t>Faux plafond couloir</t>
        </is>
      </c>
      <c r="E263" s="60" t="inlineStr">
        <is>
          <t>Reprise</t>
        </is>
      </c>
      <c r="F263" s="60" t="n"/>
      <c r="G263" s="61" t="n">
        <v>2.23</v>
      </c>
      <c r="H263" s="46" t="n">
        <v>3061</v>
      </c>
      <c r="I263" s="62">
        <f>IF(A263="CTA 5",MIN(INDEX(Hypothèses!$C$6:$C$16,MATCH(H263,Hypothèses!$A$6:$A$16,1)),Hypothèses!$B$30),INDEX(Hypothèses!$C$6:$C$16,MATCH(H263,Hypothèses!$A$6:$A$16,1)))</f>
        <v/>
      </c>
      <c r="J263" s="63">
        <f>H263/3600/I263</f>
        <v/>
      </c>
      <c r="K263" s="60">
        <f>IF(A263="CTA 4",Hypothèses!$B$25,IF(AND(A263="CTA 5",H263&gt;4000),Hypothèses!$B$29,IF(H263&lt;=2000,Hypothèses!$B$23,Hypothèses!$B$24)))</f>
        <v/>
      </c>
      <c r="L263" s="60">
        <f>MAX(Hypothèses!$B$26,CEILING(J263/(K263/1000)*1000,Hypothèses!$B$27))</f>
        <v/>
      </c>
      <c r="M263" s="63">
        <f>L263*K263/1000000</f>
        <v/>
      </c>
      <c r="N263" s="64">
        <f>H263/3600/M263</f>
        <v/>
      </c>
      <c r="O263" s="60">
        <f>IF(N263&lt;=I263,"oui","NON")</f>
        <v/>
      </c>
      <c r="P263" s="63">
        <f>1.3*((L263/1000)*(K263/1000))^0.625/((L263/1000)+(K263/1000))^0.25</f>
        <v/>
      </c>
      <c r="Q263" s="65">
        <f>N263*P263/Hypothèses!$B$20</f>
        <v/>
      </c>
      <c r="R263" s="66">
        <f>0.25/(LOG10(Hypothèses!$B$21/(3.7*P263)+5.74/Q263^0.9))^2</f>
        <v/>
      </c>
      <c r="S263" s="64">
        <f>R263/P263*Hypothèses!$B$19*N263^2/2</f>
        <v/>
      </c>
      <c r="T263" s="62">
        <f>S263*G263*(1+Hypothèses!$B$22)</f>
        <v/>
      </c>
      <c r="U263" s="45" t="inlineStr">
        <is>
          <t>X</t>
        </is>
      </c>
      <c r="V263" s="60">
        <f>IF(K263&lt;=Hypothèses!$B$28-100,"oui","NON")</f>
        <v/>
      </c>
    </row>
    <row r="264" ht="15" customHeight="1" s="40">
      <c r="A264" s="60" t="inlineStr">
        <is>
          <t>CTA 5</t>
        </is>
      </c>
      <c r="B264" s="60" t="inlineStr">
        <is>
          <t>CTA5-R66</t>
        </is>
      </c>
      <c r="C264" s="60" t="inlineStr">
        <is>
          <t>N00</t>
        </is>
      </c>
      <c r="D264" s="60" t="inlineStr">
        <is>
          <t>Faux plafond couloir</t>
        </is>
      </c>
      <c r="E264" s="60" t="inlineStr">
        <is>
          <t>Reprise</t>
        </is>
      </c>
      <c r="F264" s="60" t="inlineStr">
        <is>
          <t>LOG06 linge P, LOG03 réserve magasin, BUR02A b. animation, VIE06 coiffure, LOG02 stock</t>
        </is>
      </c>
      <c r="G264" s="61" t="n">
        <v>1.3</v>
      </c>
      <c r="H264" s="46" t="n">
        <v>3061</v>
      </c>
      <c r="I264" s="62">
        <f>IF(A264="CTA 5",MIN(INDEX(Hypothèses!$C$6:$C$16,MATCH(H264,Hypothèses!$A$6:$A$16,1)),Hypothèses!$B$30),INDEX(Hypothèses!$C$6:$C$16,MATCH(H264,Hypothèses!$A$6:$A$16,1)))</f>
        <v/>
      </c>
      <c r="J264" s="63">
        <f>H264/3600/I264</f>
        <v/>
      </c>
      <c r="K264" s="60">
        <f>IF(A264="CTA 4",Hypothèses!$B$25,IF(AND(A264="CTA 5",H264&gt;4000),Hypothèses!$B$29,IF(H264&lt;=2000,Hypothèses!$B$23,Hypothèses!$B$24)))</f>
        <v/>
      </c>
      <c r="L264" s="60">
        <f>MAX(Hypothèses!$B$26,CEILING(J264/(K264/1000)*1000,Hypothèses!$B$27))</f>
        <v/>
      </c>
      <c r="M264" s="63">
        <f>L264*K264/1000000</f>
        <v/>
      </c>
      <c r="N264" s="64">
        <f>H264/3600/M264</f>
        <v/>
      </c>
      <c r="O264" s="60">
        <f>IF(N264&lt;=I264,"oui","NON")</f>
        <v/>
      </c>
      <c r="P264" s="63">
        <f>1.3*((L264/1000)*(K264/1000))^0.625/((L264/1000)+(K264/1000))^0.25</f>
        <v/>
      </c>
      <c r="Q264" s="65">
        <f>N264*P264/Hypothèses!$B$20</f>
        <v/>
      </c>
      <c r="R264" s="66">
        <f>0.25/(LOG10(Hypothèses!$B$21/(3.7*P264)+5.74/Q264^0.9))^2</f>
        <v/>
      </c>
      <c r="S264" s="64">
        <f>R264/P264*Hypothèses!$B$19*N264^2/2</f>
        <v/>
      </c>
      <c r="T264" s="62">
        <f>S264*G264*(1+Hypothèses!$B$22)</f>
        <v/>
      </c>
      <c r="U264" s="45" t="inlineStr">
        <is>
          <t>X</t>
        </is>
      </c>
      <c r="V264" s="60">
        <f>IF(K264&lt;=Hypothèses!$B$28-100,"oui","NON")</f>
        <v/>
      </c>
    </row>
    <row r="265" ht="15" customHeight="1" s="40">
      <c r="A265" s="60" t="inlineStr">
        <is>
          <t>CTA 5</t>
        </is>
      </c>
      <c r="B265" s="60" t="inlineStr">
        <is>
          <t>CTA5-R67</t>
        </is>
      </c>
      <c r="C265" s="60" t="inlineStr">
        <is>
          <t>N00</t>
        </is>
      </c>
      <c r="D265" s="60" t="inlineStr">
        <is>
          <t>Faux plafond couloir</t>
        </is>
      </c>
      <c r="E265" s="60" t="inlineStr">
        <is>
          <t>Reprise</t>
        </is>
      </c>
      <c r="F265" s="60" t="n"/>
      <c r="G265" s="61" t="n">
        <v>3.88</v>
      </c>
      <c r="H265" s="46" t="n">
        <v>2852</v>
      </c>
      <c r="I265" s="62">
        <f>IF(A265="CTA 5",MIN(INDEX(Hypothèses!$C$6:$C$16,MATCH(H265,Hypothèses!$A$6:$A$16,1)),Hypothèses!$B$30),INDEX(Hypothèses!$C$6:$C$16,MATCH(H265,Hypothèses!$A$6:$A$16,1)))</f>
        <v/>
      </c>
      <c r="J265" s="63">
        <f>H265/3600/I265</f>
        <v/>
      </c>
      <c r="K265" s="60">
        <f>IF(A265="CTA 4",Hypothèses!$B$25,IF(AND(A265="CTA 5",H265&gt;4000),Hypothèses!$B$29,IF(H265&lt;=2000,Hypothèses!$B$23,Hypothèses!$B$24)))</f>
        <v/>
      </c>
      <c r="L265" s="60">
        <f>MAX(Hypothèses!$B$26,CEILING(J265/(K265/1000)*1000,Hypothèses!$B$27))</f>
        <v/>
      </c>
      <c r="M265" s="63">
        <f>L265*K265/1000000</f>
        <v/>
      </c>
      <c r="N265" s="64">
        <f>H265/3600/M265</f>
        <v/>
      </c>
      <c r="O265" s="60">
        <f>IF(N265&lt;=I265,"oui","NON")</f>
        <v/>
      </c>
      <c r="P265" s="63">
        <f>1.3*((L265/1000)*(K265/1000))^0.625/((L265/1000)+(K265/1000))^0.25</f>
        <v/>
      </c>
      <c r="Q265" s="65">
        <f>N265*P265/Hypothèses!$B$20</f>
        <v/>
      </c>
      <c r="R265" s="66">
        <f>0.25/(LOG10(Hypothèses!$B$21/(3.7*P265)+5.74/Q265^0.9))^2</f>
        <v/>
      </c>
      <c r="S265" s="64">
        <f>R265/P265*Hypothèses!$B$19*N265^2/2</f>
        <v/>
      </c>
      <c r="T265" s="62">
        <f>S265*G265*(1+Hypothèses!$B$22)</f>
        <v/>
      </c>
      <c r="U265" s="45" t="inlineStr">
        <is>
          <t>X</t>
        </is>
      </c>
      <c r="V265" s="60">
        <f>IF(K265&lt;=Hypothèses!$B$28-100,"oui","NON")</f>
        <v/>
      </c>
    </row>
    <row r="266" ht="15" customHeight="1" s="40">
      <c r="A266" s="60" t="inlineStr">
        <is>
          <t>CTA 5</t>
        </is>
      </c>
      <c r="B266" s="60" t="inlineStr">
        <is>
          <t>CTA5-R68</t>
        </is>
      </c>
      <c r="C266" s="60" t="inlineStr">
        <is>
          <t>N00</t>
        </is>
      </c>
      <c r="D266" s="60" t="inlineStr">
        <is>
          <t>Faux plafond couloir</t>
        </is>
      </c>
      <c r="E266" s="60" t="inlineStr">
        <is>
          <t>Reprise</t>
        </is>
      </c>
      <c r="F266" s="60" t="inlineStr">
        <is>
          <t>LOG06 linge P</t>
        </is>
      </c>
      <c r="G266" s="61" t="n">
        <v>3.251</v>
      </c>
      <c r="H266" s="46" t="n">
        <v>2852</v>
      </c>
      <c r="I266" s="62">
        <f>IF(A266="CTA 5",MIN(INDEX(Hypothèses!$C$6:$C$16,MATCH(H266,Hypothèses!$A$6:$A$16,1)),Hypothèses!$B$30),INDEX(Hypothèses!$C$6:$C$16,MATCH(H266,Hypothèses!$A$6:$A$16,1)))</f>
        <v/>
      </c>
      <c r="J266" s="63">
        <f>H266/3600/I266</f>
        <v/>
      </c>
      <c r="K266" s="60">
        <f>IF(A266="CTA 4",Hypothèses!$B$25,IF(AND(A266="CTA 5",H266&gt;4000),Hypothèses!$B$29,IF(H266&lt;=2000,Hypothèses!$B$23,Hypothèses!$B$24)))</f>
        <v/>
      </c>
      <c r="L266" s="60">
        <f>MAX(Hypothèses!$B$26,CEILING(J266/(K266/1000)*1000,Hypothèses!$B$27))</f>
        <v/>
      </c>
      <c r="M266" s="63">
        <f>L266*K266/1000000</f>
        <v/>
      </c>
      <c r="N266" s="64">
        <f>H266/3600/M266</f>
        <v/>
      </c>
      <c r="O266" s="60">
        <f>IF(N266&lt;=I266,"oui","NON")</f>
        <v/>
      </c>
      <c r="P266" s="63">
        <f>1.3*((L266/1000)*(K266/1000))^0.625/((L266/1000)+(K266/1000))^0.25</f>
        <v/>
      </c>
      <c r="Q266" s="65">
        <f>N266*P266/Hypothèses!$B$20</f>
        <v/>
      </c>
      <c r="R266" s="66">
        <f>0.25/(LOG10(Hypothèses!$B$21/(3.7*P266)+5.74/Q266^0.9))^2</f>
        <v/>
      </c>
      <c r="S266" s="64">
        <f>R266/P266*Hypothèses!$B$19*N266^2/2</f>
        <v/>
      </c>
      <c r="T266" s="62">
        <f>S266*G266*(1+Hypothèses!$B$22)</f>
        <v/>
      </c>
      <c r="U266" s="45" t="inlineStr">
        <is>
          <t>X</t>
        </is>
      </c>
      <c r="V266" s="60">
        <f>IF(K266&lt;=Hypothèses!$B$28-100,"oui","NON")</f>
        <v/>
      </c>
    </row>
    <row r="267" ht="15" customHeight="1" s="40">
      <c r="A267" s="60" t="inlineStr">
        <is>
          <t>CTA 5</t>
        </is>
      </c>
      <c r="B267" s="60" t="inlineStr">
        <is>
          <t>CTA5-R69</t>
        </is>
      </c>
      <c r="C267" s="60" t="inlineStr">
        <is>
          <t>N00</t>
        </is>
      </c>
      <c r="D267" s="60" t="inlineStr">
        <is>
          <t>Faux plafond couloir</t>
        </is>
      </c>
      <c r="E267" s="60" t="inlineStr">
        <is>
          <t>Reprise</t>
        </is>
      </c>
      <c r="F267" s="60" t="inlineStr">
        <is>
          <t>LOG09 atelier</t>
        </is>
      </c>
      <c r="G267" s="61" t="n">
        <v>1.602</v>
      </c>
      <c r="H267" s="46" t="n">
        <v>2847</v>
      </c>
      <c r="I267" s="62">
        <f>IF(A267="CTA 5",MIN(INDEX(Hypothèses!$C$6:$C$16,MATCH(H267,Hypothèses!$A$6:$A$16,1)),Hypothèses!$B$30),INDEX(Hypothèses!$C$6:$C$16,MATCH(H267,Hypothèses!$A$6:$A$16,1)))</f>
        <v/>
      </c>
      <c r="J267" s="63">
        <f>H267/3600/I267</f>
        <v/>
      </c>
      <c r="K267" s="60">
        <f>IF(A267="CTA 4",Hypothèses!$B$25,IF(AND(A267="CTA 5",H267&gt;4000),Hypothèses!$B$29,IF(H267&lt;=2000,Hypothèses!$B$23,Hypothèses!$B$24)))</f>
        <v/>
      </c>
      <c r="L267" s="60">
        <f>MAX(Hypothèses!$B$26,CEILING(J267/(K267/1000)*1000,Hypothèses!$B$27))</f>
        <v/>
      </c>
      <c r="M267" s="63">
        <f>L267*K267/1000000</f>
        <v/>
      </c>
      <c r="N267" s="64">
        <f>H267/3600/M267</f>
        <v/>
      </c>
      <c r="O267" s="60">
        <f>IF(N267&lt;=I267,"oui","NON")</f>
        <v/>
      </c>
      <c r="P267" s="63">
        <f>1.3*((L267/1000)*(K267/1000))^0.625/((L267/1000)+(K267/1000))^0.25</f>
        <v/>
      </c>
      <c r="Q267" s="65">
        <f>N267*P267/Hypothèses!$B$20</f>
        <v/>
      </c>
      <c r="R267" s="66">
        <f>0.25/(LOG10(Hypothèses!$B$21/(3.7*P267)+5.74/Q267^0.9))^2</f>
        <v/>
      </c>
      <c r="S267" s="64">
        <f>R267/P267*Hypothèses!$B$19*N267^2/2</f>
        <v/>
      </c>
      <c r="T267" s="62">
        <f>S267*G267*(1+Hypothèses!$B$22)</f>
        <v/>
      </c>
      <c r="U267" s="45" t="inlineStr">
        <is>
          <t>X</t>
        </is>
      </c>
      <c r="V267" s="60">
        <f>IF(K267&lt;=Hypothèses!$B$28-100,"oui","NON")</f>
        <v/>
      </c>
    </row>
    <row r="268" ht="15" customHeight="1" s="40">
      <c r="A268" s="60" t="inlineStr">
        <is>
          <t>CTA 5</t>
        </is>
      </c>
      <c r="B268" s="60" t="inlineStr">
        <is>
          <t>CTA5-R70</t>
        </is>
      </c>
      <c r="C268" s="60" t="inlineStr">
        <is>
          <t>N00</t>
        </is>
      </c>
      <c r="D268" s="60" t="inlineStr">
        <is>
          <t>Faux plafond couloir</t>
        </is>
      </c>
      <c r="E268" s="60" t="inlineStr">
        <is>
          <t>Reprise</t>
        </is>
      </c>
      <c r="F268" s="60" t="inlineStr">
        <is>
          <t>LOG02 stock anim.</t>
        </is>
      </c>
      <c r="G268" s="61" t="n">
        <v>2.352</v>
      </c>
      <c r="H268" s="46" t="n">
        <v>2847</v>
      </c>
      <c r="I268" s="62">
        <f>IF(A268="CTA 5",MIN(INDEX(Hypothèses!$C$6:$C$16,MATCH(H268,Hypothèses!$A$6:$A$16,1)),Hypothèses!$B$30),INDEX(Hypothèses!$C$6:$C$16,MATCH(H268,Hypothèses!$A$6:$A$16,1)))</f>
        <v/>
      </c>
      <c r="J268" s="63">
        <f>H268/3600/I268</f>
        <v/>
      </c>
      <c r="K268" s="60">
        <f>IF(A268="CTA 4",Hypothèses!$B$25,IF(AND(A268="CTA 5",H268&gt;4000),Hypothèses!$B$29,IF(H268&lt;=2000,Hypothèses!$B$23,Hypothèses!$B$24)))</f>
        <v/>
      </c>
      <c r="L268" s="60">
        <f>MAX(Hypothèses!$B$26,CEILING(J268/(K268/1000)*1000,Hypothèses!$B$27))</f>
        <v/>
      </c>
      <c r="M268" s="63">
        <f>L268*K268/1000000</f>
        <v/>
      </c>
      <c r="N268" s="64">
        <f>H268/3600/M268</f>
        <v/>
      </c>
      <c r="O268" s="60">
        <f>IF(N268&lt;=I268,"oui","NON")</f>
        <v/>
      </c>
      <c r="P268" s="63">
        <f>1.3*((L268/1000)*(K268/1000))^0.625/((L268/1000)+(K268/1000))^0.25</f>
        <v/>
      </c>
      <c r="Q268" s="65">
        <f>N268*P268/Hypothèses!$B$20</f>
        <v/>
      </c>
      <c r="R268" s="66">
        <f>0.25/(LOG10(Hypothèses!$B$21/(3.7*P268)+5.74/Q268^0.9))^2</f>
        <v/>
      </c>
      <c r="S268" s="64">
        <f>R268/P268*Hypothèses!$B$19*N268^2/2</f>
        <v/>
      </c>
      <c r="T268" s="62">
        <f>S268*G268*(1+Hypothèses!$B$22)</f>
        <v/>
      </c>
      <c r="U268" s="45" t="inlineStr">
        <is>
          <t>X</t>
        </is>
      </c>
      <c r="V268" s="60">
        <f>IF(K268&lt;=Hypothèses!$B$28-100,"oui","NON")</f>
        <v/>
      </c>
    </row>
    <row r="269" ht="15" customHeight="1" s="40">
      <c r="A269" s="60" t="inlineStr">
        <is>
          <t>CTA 5</t>
        </is>
      </c>
      <c r="B269" s="60" t="inlineStr">
        <is>
          <t>CTA5-R71</t>
        </is>
      </c>
      <c r="C269" s="60" t="inlineStr">
        <is>
          <t>N00</t>
        </is>
      </c>
      <c r="D269" s="60" t="inlineStr">
        <is>
          <t>Faux plafond couloir</t>
        </is>
      </c>
      <c r="E269" s="60" t="inlineStr">
        <is>
          <t>Reprise</t>
        </is>
      </c>
      <c r="F269" s="60" t="inlineStr">
        <is>
          <t>EXT03 espaces verts</t>
        </is>
      </c>
      <c r="G269" s="61" t="n">
        <v>2.268</v>
      </c>
      <c r="H269" s="46" t="n">
        <v>2752</v>
      </c>
      <c r="I269" s="62">
        <f>IF(A269="CTA 5",MIN(INDEX(Hypothèses!$C$6:$C$16,MATCH(H269,Hypothèses!$A$6:$A$16,1)),Hypothèses!$B$30),INDEX(Hypothèses!$C$6:$C$16,MATCH(H269,Hypothèses!$A$6:$A$16,1)))</f>
        <v/>
      </c>
      <c r="J269" s="63">
        <f>H269/3600/I269</f>
        <v/>
      </c>
      <c r="K269" s="60">
        <f>IF(A269="CTA 4",Hypothèses!$B$25,IF(AND(A269="CTA 5",H269&gt;4000),Hypothèses!$B$29,IF(H269&lt;=2000,Hypothèses!$B$23,Hypothèses!$B$24)))</f>
        <v/>
      </c>
      <c r="L269" s="60">
        <f>MAX(Hypothèses!$B$26,CEILING(J269/(K269/1000)*1000,Hypothèses!$B$27))</f>
        <v/>
      </c>
      <c r="M269" s="63">
        <f>L269*K269/1000000</f>
        <v/>
      </c>
      <c r="N269" s="64">
        <f>H269/3600/M269</f>
        <v/>
      </c>
      <c r="O269" s="60">
        <f>IF(N269&lt;=I269,"oui","NON")</f>
        <v/>
      </c>
      <c r="P269" s="63">
        <f>1.3*((L269/1000)*(K269/1000))^0.625/((L269/1000)+(K269/1000))^0.25</f>
        <v/>
      </c>
      <c r="Q269" s="65">
        <f>N269*P269/Hypothèses!$B$20</f>
        <v/>
      </c>
      <c r="R269" s="66">
        <f>0.25/(LOG10(Hypothèses!$B$21/(3.7*P269)+5.74/Q269^0.9))^2</f>
        <v/>
      </c>
      <c r="S269" s="64">
        <f>R269/P269*Hypothèses!$B$19*N269^2/2</f>
        <v/>
      </c>
      <c r="T269" s="62">
        <f>S269*G269*(1+Hypothèses!$B$22)</f>
        <v/>
      </c>
      <c r="U269" s="45" t="inlineStr">
        <is>
          <t>X</t>
        </is>
      </c>
      <c r="V269" s="60">
        <f>IF(K269&lt;=Hypothèses!$B$28-100,"oui","NON")</f>
        <v/>
      </c>
    </row>
    <row r="270" ht="15" customHeight="1" s="40">
      <c r="A270" s="60" t="inlineStr">
        <is>
          <t>CTA 5</t>
        </is>
      </c>
      <c r="B270" s="60" t="inlineStr">
        <is>
          <t>CTA5-R72</t>
        </is>
      </c>
      <c r="C270" s="60" t="inlineStr">
        <is>
          <t>N00</t>
        </is>
      </c>
      <c r="D270" s="60" t="inlineStr">
        <is>
          <t>Faux plafond couloir</t>
        </is>
      </c>
      <c r="E270" s="60" t="inlineStr">
        <is>
          <t>Reprise</t>
        </is>
      </c>
      <c r="F270" s="60" t="inlineStr">
        <is>
          <t>LOG03 stock mat.</t>
        </is>
      </c>
      <c r="G270" s="61" t="n">
        <v>0.498</v>
      </c>
      <c r="H270" s="46" t="n">
        <v>2748</v>
      </c>
      <c r="I270" s="62">
        <f>IF(A270="CTA 5",MIN(INDEX(Hypothèses!$C$6:$C$16,MATCH(H270,Hypothèses!$A$6:$A$16,1)),Hypothèses!$B$30),INDEX(Hypothèses!$C$6:$C$16,MATCH(H270,Hypothèses!$A$6:$A$16,1)))</f>
        <v/>
      </c>
      <c r="J270" s="63">
        <f>H270/3600/I270</f>
        <v/>
      </c>
      <c r="K270" s="60">
        <f>IF(A270="CTA 4",Hypothèses!$B$25,IF(AND(A270="CTA 5",H270&gt;4000),Hypothèses!$B$29,IF(H270&lt;=2000,Hypothèses!$B$23,Hypothèses!$B$24)))</f>
        <v/>
      </c>
      <c r="L270" s="60">
        <f>MAX(Hypothèses!$B$26,CEILING(J270/(K270/1000)*1000,Hypothèses!$B$27))</f>
        <v/>
      </c>
      <c r="M270" s="63">
        <f>L270*K270/1000000</f>
        <v/>
      </c>
      <c r="N270" s="64">
        <f>H270/3600/M270</f>
        <v/>
      </c>
      <c r="O270" s="60">
        <f>IF(N270&lt;=I270,"oui","NON")</f>
        <v/>
      </c>
      <c r="P270" s="63">
        <f>1.3*((L270/1000)*(K270/1000))^0.625/((L270/1000)+(K270/1000))^0.25</f>
        <v/>
      </c>
      <c r="Q270" s="65">
        <f>N270*P270/Hypothèses!$B$20</f>
        <v/>
      </c>
      <c r="R270" s="66">
        <f>0.25/(LOG10(Hypothèses!$B$21/(3.7*P270)+5.74/Q270^0.9))^2</f>
        <v/>
      </c>
      <c r="S270" s="64">
        <f>R270/P270*Hypothèses!$B$19*N270^2/2</f>
        <v/>
      </c>
      <c r="T270" s="62">
        <f>S270*G270*(1+Hypothèses!$B$22)</f>
        <v/>
      </c>
      <c r="U270" s="45" t="inlineStr">
        <is>
          <t>X</t>
        </is>
      </c>
      <c r="V270" s="60">
        <f>IF(K270&lt;=Hypothèses!$B$28-100,"oui","NON")</f>
        <v/>
      </c>
    </row>
    <row r="271" ht="15" customHeight="1" s="40">
      <c r="A271" s="60" t="inlineStr">
        <is>
          <t>CTA 5</t>
        </is>
      </c>
      <c r="B271" s="60" t="inlineStr">
        <is>
          <t>CTA5-R73</t>
        </is>
      </c>
      <c r="C271" s="60" t="inlineStr">
        <is>
          <t>N00</t>
        </is>
      </c>
      <c r="D271" s="60" t="inlineStr">
        <is>
          <t>Faux plafond couloir</t>
        </is>
      </c>
      <c r="E271" s="60" t="inlineStr">
        <is>
          <t>Reprise</t>
        </is>
      </c>
      <c r="F271" s="60" t="inlineStr">
        <is>
          <t>LOG02 boi.</t>
        </is>
      </c>
      <c r="G271" s="61" t="n">
        <v>0.264</v>
      </c>
      <c r="H271" s="46" t="n">
        <v>2727</v>
      </c>
      <c r="I271" s="62">
        <f>IF(A271="CTA 5",MIN(INDEX(Hypothèses!$C$6:$C$16,MATCH(H271,Hypothèses!$A$6:$A$16,1)),Hypothèses!$B$30),INDEX(Hypothèses!$C$6:$C$16,MATCH(H271,Hypothèses!$A$6:$A$16,1)))</f>
        <v/>
      </c>
      <c r="J271" s="63">
        <f>H271/3600/I271</f>
        <v/>
      </c>
      <c r="K271" s="60">
        <f>IF(A271="CTA 4",Hypothèses!$B$25,IF(AND(A271="CTA 5",H271&gt;4000),Hypothèses!$B$29,IF(H271&lt;=2000,Hypothèses!$B$23,Hypothèses!$B$24)))</f>
        <v/>
      </c>
      <c r="L271" s="60">
        <f>MAX(Hypothèses!$B$26,CEILING(J271/(K271/1000)*1000,Hypothèses!$B$27))</f>
        <v/>
      </c>
      <c r="M271" s="63">
        <f>L271*K271/1000000</f>
        <v/>
      </c>
      <c r="N271" s="64">
        <f>H271/3600/M271</f>
        <v/>
      </c>
      <c r="O271" s="60">
        <f>IF(N271&lt;=I271,"oui","NON")</f>
        <v/>
      </c>
      <c r="P271" s="63">
        <f>1.3*((L271/1000)*(K271/1000))^0.625/((L271/1000)+(K271/1000))^0.25</f>
        <v/>
      </c>
      <c r="Q271" s="65">
        <f>N271*P271/Hypothèses!$B$20</f>
        <v/>
      </c>
      <c r="R271" s="66">
        <f>0.25/(LOG10(Hypothèses!$B$21/(3.7*P271)+5.74/Q271^0.9))^2</f>
        <v/>
      </c>
      <c r="S271" s="64">
        <f>R271/P271*Hypothèses!$B$19*N271^2/2</f>
        <v/>
      </c>
      <c r="T271" s="62">
        <f>S271*G271*(1+Hypothèses!$B$22)</f>
        <v/>
      </c>
      <c r="U271" s="45" t="inlineStr">
        <is>
          <t>X</t>
        </is>
      </c>
      <c r="V271" s="60">
        <f>IF(K271&lt;=Hypothèses!$B$28-100,"oui","NON")</f>
        <v/>
      </c>
    </row>
    <row r="272" ht="15" customHeight="1" s="40">
      <c r="A272" s="60" t="inlineStr">
        <is>
          <t>CTA 5</t>
        </is>
      </c>
      <c r="B272" s="60" t="inlineStr">
        <is>
          <t>CTA5-R74</t>
        </is>
      </c>
      <c r="C272" s="60" t="inlineStr">
        <is>
          <t>N00</t>
        </is>
      </c>
      <c r="D272" s="60" t="inlineStr">
        <is>
          <t>Faux plafond couloir</t>
        </is>
      </c>
      <c r="E272" s="60" t="inlineStr">
        <is>
          <t>Reprise</t>
        </is>
      </c>
      <c r="F272" s="60" t="inlineStr">
        <is>
          <t>EXT02 mat. jardin</t>
        </is>
      </c>
      <c r="G272" s="61" t="n">
        <v>2.145</v>
      </c>
      <c r="H272" s="46" t="n">
        <v>2725</v>
      </c>
      <c r="I272" s="62">
        <f>IF(A272="CTA 5",MIN(INDEX(Hypothèses!$C$6:$C$16,MATCH(H272,Hypothèses!$A$6:$A$16,1)),Hypothèses!$B$30),INDEX(Hypothèses!$C$6:$C$16,MATCH(H272,Hypothèses!$A$6:$A$16,1)))</f>
        <v/>
      </c>
      <c r="J272" s="63">
        <f>H272/3600/I272</f>
        <v/>
      </c>
      <c r="K272" s="60">
        <f>IF(A272="CTA 4",Hypothèses!$B$25,IF(AND(A272="CTA 5",H272&gt;4000),Hypothèses!$B$29,IF(H272&lt;=2000,Hypothèses!$B$23,Hypothèses!$B$24)))</f>
        <v/>
      </c>
      <c r="L272" s="60">
        <f>MAX(Hypothèses!$B$26,CEILING(J272/(K272/1000)*1000,Hypothèses!$B$27))</f>
        <v/>
      </c>
      <c r="M272" s="63">
        <f>L272*K272/1000000</f>
        <v/>
      </c>
      <c r="N272" s="64">
        <f>H272/3600/M272</f>
        <v/>
      </c>
      <c r="O272" s="60">
        <f>IF(N272&lt;=I272,"oui","NON")</f>
        <v/>
      </c>
      <c r="P272" s="63">
        <f>1.3*((L272/1000)*(K272/1000))^0.625/((L272/1000)+(K272/1000))^0.25</f>
        <v/>
      </c>
      <c r="Q272" s="65">
        <f>N272*P272/Hypothèses!$B$20</f>
        <v/>
      </c>
      <c r="R272" s="66">
        <f>0.25/(LOG10(Hypothèses!$B$21/(3.7*P272)+5.74/Q272^0.9))^2</f>
        <v/>
      </c>
      <c r="S272" s="64">
        <f>R272/P272*Hypothèses!$B$19*N272^2/2</f>
        <v/>
      </c>
      <c r="T272" s="62">
        <f>S272*G272*(1+Hypothèses!$B$22)</f>
        <v/>
      </c>
      <c r="U272" s="45" t="inlineStr">
        <is>
          <t>X</t>
        </is>
      </c>
      <c r="V272" s="60">
        <f>IF(K272&lt;=Hypothèses!$B$28-100,"oui","NON")</f>
        <v/>
      </c>
    </row>
    <row r="273" ht="15" customHeight="1" s="40">
      <c r="A273" s="60" t="inlineStr">
        <is>
          <t>CTA 5</t>
        </is>
      </c>
      <c r="B273" s="60" t="inlineStr">
        <is>
          <t>CTA5-R75</t>
        </is>
      </c>
      <c r="C273" s="60" t="inlineStr">
        <is>
          <t>N00</t>
        </is>
      </c>
      <c r="D273" s="60" t="inlineStr">
        <is>
          <t>Faux plafond couloir</t>
        </is>
      </c>
      <c r="E273" s="60" t="inlineStr">
        <is>
          <t>Reprise</t>
        </is>
      </c>
      <c r="F273" s="60" t="inlineStr">
        <is>
          <t>VIE02 salle à manger</t>
        </is>
      </c>
      <c r="G273" s="61" t="n">
        <v>1.062</v>
      </c>
      <c r="H273" s="46" t="n">
        <v>2720</v>
      </c>
      <c r="I273" s="62">
        <f>IF(A273="CTA 5",MIN(INDEX(Hypothèses!$C$6:$C$16,MATCH(H273,Hypothèses!$A$6:$A$16,1)),Hypothèses!$B$30),INDEX(Hypothèses!$C$6:$C$16,MATCH(H273,Hypothèses!$A$6:$A$16,1)))</f>
        <v/>
      </c>
      <c r="J273" s="63">
        <f>H273/3600/I273</f>
        <v/>
      </c>
      <c r="K273" s="60">
        <f>IF(A273="CTA 4",Hypothèses!$B$25,IF(AND(A273="CTA 5",H273&gt;4000),Hypothèses!$B$29,IF(H273&lt;=2000,Hypothèses!$B$23,Hypothèses!$B$24)))</f>
        <v/>
      </c>
      <c r="L273" s="60">
        <f>MAX(Hypothèses!$B$26,CEILING(J273/(K273/1000)*1000,Hypothèses!$B$27))</f>
        <v/>
      </c>
      <c r="M273" s="63">
        <f>L273*K273/1000000</f>
        <v/>
      </c>
      <c r="N273" s="64">
        <f>H273/3600/M273</f>
        <v/>
      </c>
      <c r="O273" s="60">
        <f>IF(N273&lt;=I273,"oui","NON")</f>
        <v/>
      </c>
      <c r="P273" s="63">
        <f>1.3*((L273/1000)*(K273/1000))^0.625/((L273/1000)+(K273/1000))^0.25</f>
        <v/>
      </c>
      <c r="Q273" s="65">
        <f>N273*P273/Hypothèses!$B$20</f>
        <v/>
      </c>
      <c r="R273" s="66">
        <f>0.25/(LOG10(Hypothèses!$B$21/(3.7*P273)+5.74/Q273^0.9))^2</f>
        <v/>
      </c>
      <c r="S273" s="64">
        <f>R273/P273*Hypothèses!$B$19*N273^2/2</f>
        <v/>
      </c>
      <c r="T273" s="62">
        <f>S273*G273*(1+Hypothèses!$B$22)</f>
        <v/>
      </c>
      <c r="U273" s="45" t="inlineStr">
        <is>
          <t>X</t>
        </is>
      </c>
      <c r="V273" s="60">
        <f>IF(K273&lt;=Hypothèses!$B$28-100,"oui","NON")</f>
        <v/>
      </c>
    </row>
    <row r="274" ht="15" customHeight="1" s="40">
      <c r="A274" s="60" t="inlineStr">
        <is>
          <t>CTA 5</t>
        </is>
      </c>
      <c r="B274" s="60" t="inlineStr">
        <is>
          <t>CTA5-R76</t>
        </is>
      </c>
      <c r="C274" s="60" t="inlineStr">
        <is>
          <t>N00</t>
        </is>
      </c>
      <c r="D274" s="60" t="inlineStr">
        <is>
          <t>Faux plafond couloir</t>
        </is>
      </c>
      <c r="E274" s="60" t="inlineStr">
        <is>
          <t>Reprise</t>
        </is>
      </c>
      <c r="F274" s="60" t="inlineStr">
        <is>
          <t>VIE04 famille</t>
        </is>
      </c>
      <c r="G274" s="61" t="n">
        <v>1.378</v>
      </c>
      <c r="H274" s="46" t="n">
        <v>2720</v>
      </c>
      <c r="I274" s="62">
        <f>IF(A274="CTA 5",MIN(INDEX(Hypothèses!$C$6:$C$16,MATCH(H274,Hypothèses!$A$6:$A$16,1)),Hypothèses!$B$30),INDEX(Hypothèses!$C$6:$C$16,MATCH(H274,Hypothèses!$A$6:$A$16,1)))</f>
        <v/>
      </c>
      <c r="J274" s="63">
        <f>H274/3600/I274</f>
        <v/>
      </c>
      <c r="K274" s="60">
        <f>IF(A274="CTA 4",Hypothèses!$B$25,IF(AND(A274="CTA 5",H274&gt;4000),Hypothèses!$B$29,IF(H274&lt;=2000,Hypothèses!$B$23,Hypothèses!$B$24)))</f>
        <v/>
      </c>
      <c r="L274" s="60">
        <f>MAX(Hypothèses!$B$26,CEILING(J274/(K274/1000)*1000,Hypothèses!$B$27))</f>
        <v/>
      </c>
      <c r="M274" s="63">
        <f>L274*K274/1000000</f>
        <v/>
      </c>
      <c r="N274" s="64">
        <f>H274/3600/M274</f>
        <v/>
      </c>
      <c r="O274" s="60">
        <f>IF(N274&lt;=I274,"oui","NON")</f>
        <v/>
      </c>
      <c r="P274" s="63">
        <f>1.3*((L274/1000)*(K274/1000))^0.625/((L274/1000)+(K274/1000))^0.25</f>
        <v/>
      </c>
      <c r="Q274" s="65">
        <f>N274*P274/Hypothèses!$B$20</f>
        <v/>
      </c>
      <c r="R274" s="66">
        <f>0.25/(LOG10(Hypothèses!$B$21/(3.7*P274)+5.74/Q274^0.9))^2</f>
        <v/>
      </c>
      <c r="S274" s="64">
        <f>R274/P274*Hypothèses!$B$19*N274^2/2</f>
        <v/>
      </c>
      <c r="T274" s="62">
        <f>S274*G274*(1+Hypothèses!$B$22)</f>
        <v/>
      </c>
      <c r="U274" s="45" t="inlineStr">
        <is>
          <t>X</t>
        </is>
      </c>
      <c r="V274" s="60">
        <f>IF(K274&lt;=Hypothèses!$B$28-100,"oui","NON")</f>
        <v/>
      </c>
    </row>
    <row r="275" ht="15" customHeight="1" s="40">
      <c r="A275" s="60" t="inlineStr">
        <is>
          <t>CTA 5</t>
        </is>
      </c>
      <c r="B275" s="60" t="inlineStr">
        <is>
          <t>CTA5-R77</t>
        </is>
      </c>
      <c r="C275" s="60" t="inlineStr">
        <is>
          <t>N01</t>
        </is>
      </c>
      <c r="D275" s="60" t="inlineStr">
        <is>
          <t>Faux plafond couloir</t>
        </is>
      </c>
      <c r="E275" s="60" t="inlineStr">
        <is>
          <t>Reprise</t>
        </is>
      </c>
      <c r="F275" s="60" t="n"/>
      <c r="G275" s="61" t="n">
        <v>2</v>
      </c>
      <c r="H275" s="46" t="n">
        <v>2030</v>
      </c>
      <c r="I275" s="62">
        <f>IF(A275="CTA 5",MIN(INDEX(Hypothèses!$C$6:$C$16,MATCH(H275,Hypothèses!$A$6:$A$16,1)),Hypothèses!$B$30),INDEX(Hypothèses!$C$6:$C$16,MATCH(H275,Hypothèses!$A$6:$A$16,1)))</f>
        <v/>
      </c>
      <c r="J275" s="63">
        <f>H275/3600/I275</f>
        <v/>
      </c>
      <c r="K275" s="60">
        <f>IF(A275="CTA 4",Hypothèses!$B$25,IF(AND(A275="CTA 5",H275&gt;4000),Hypothèses!$B$29,IF(H275&lt;=2000,Hypothèses!$B$23,Hypothèses!$B$24)))</f>
        <v/>
      </c>
      <c r="L275" s="60">
        <f>MAX(Hypothèses!$B$26,CEILING(J275/(K275/1000)*1000,Hypothèses!$B$27))</f>
        <v/>
      </c>
      <c r="M275" s="63">
        <f>L275*K275/1000000</f>
        <v/>
      </c>
      <c r="N275" s="64">
        <f>H275/3600/M275</f>
        <v/>
      </c>
      <c r="O275" s="60">
        <f>IF(N275&lt;=I275,"oui","NON")</f>
        <v/>
      </c>
      <c r="P275" s="63">
        <f>1.3*((L275/1000)*(K275/1000))^0.625/((L275/1000)+(K275/1000))^0.25</f>
        <v/>
      </c>
      <c r="Q275" s="65">
        <f>N275*P275/Hypothèses!$B$20</f>
        <v/>
      </c>
      <c r="R275" s="66">
        <f>0.25/(LOG10(Hypothèses!$B$21/(3.7*P275)+5.74/Q275^0.9))^2</f>
        <v/>
      </c>
      <c r="S275" s="64">
        <f>R275/P275*Hypothèses!$B$19*N275^2/2</f>
        <v/>
      </c>
      <c r="T275" s="62">
        <f>S275*G275*(1+Hypothèses!$B$22)</f>
        <v/>
      </c>
      <c r="U275" s="45" t="n"/>
      <c r="V275" s="60">
        <f>IF(K275&lt;=Hypothèses!$B$28-100,"oui","NON")</f>
        <v/>
      </c>
    </row>
    <row r="276" ht="15" customHeight="1" s="40">
      <c r="A276" s="60" t="inlineStr">
        <is>
          <t>CTA 5</t>
        </is>
      </c>
      <c r="B276" s="60" t="inlineStr">
        <is>
          <t>CTA5-R78</t>
        </is>
      </c>
      <c r="C276" s="60" t="inlineStr">
        <is>
          <t>N01</t>
        </is>
      </c>
      <c r="D276" s="60" t="inlineStr">
        <is>
          <t>Faux plafond couloir</t>
        </is>
      </c>
      <c r="E276" s="60" t="inlineStr">
        <is>
          <t>Reprise</t>
        </is>
      </c>
      <c r="F276" s="60" t="inlineStr">
        <is>
          <t>BUR06 bureau, LOG03 réserve magasin, LOG03 réserve magasin, LOG03 réserve matériel, HEB03 salle à manger salon, LOG02 ch</t>
        </is>
      </c>
      <c r="G276" s="61" t="n">
        <v>1.3</v>
      </c>
      <c r="H276" s="46" t="n">
        <v>2030</v>
      </c>
      <c r="I276" s="62">
        <f>IF(A276="CTA 5",MIN(INDEX(Hypothèses!$C$6:$C$16,MATCH(H276,Hypothèses!$A$6:$A$16,1)),Hypothèses!$B$30),INDEX(Hypothèses!$C$6:$C$16,MATCH(H276,Hypothèses!$A$6:$A$16,1)))</f>
        <v/>
      </c>
      <c r="J276" s="63">
        <f>H276/3600/I276</f>
        <v/>
      </c>
      <c r="K276" s="60">
        <f>IF(A276="CTA 4",Hypothèses!$B$25,IF(AND(A276="CTA 5",H276&gt;4000),Hypothèses!$B$29,IF(H276&lt;=2000,Hypothèses!$B$23,Hypothèses!$B$24)))</f>
        <v/>
      </c>
      <c r="L276" s="60">
        <f>MAX(Hypothèses!$B$26,CEILING(J276/(K276/1000)*1000,Hypothèses!$B$27))</f>
        <v/>
      </c>
      <c r="M276" s="63">
        <f>L276*K276/1000000</f>
        <v/>
      </c>
      <c r="N276" s="64">
        <f>H276/3600/M276</f>
        <v/>
      </c>
      <c r="O276" s="60">
        <f>IF(N276&lt;=I276,"oui","NON")</f>
        <v/>
      </c>
      <c r="P276" s="63">
        <f>1.3*((L276/1000)*(K276/1000))^0.625/((L276/1000)+(K276/1000))^0.25</f>
        <v/>
      </c>
      <c r="Q276" s="65">
        <f>N276*P276/Hypothèses!$B$20</f>
        <v/>
      </c>
      <c r="R276" s="66">
        <f>0.25/(LOG10(Hypothèses!$B$21/(3.7*P276)+5.74/Q276^0.9))^2</f>
        <v/>
      </c>
      <c r="S276" s="64">
        <f>R276/P276*Hypothèses!$B$19*N276^2/2</f>
        <v/>
      </c>
      <c r="T276" s="62">
        <f>S276*G276*(1+Hypothèses!$B$22)</f>
        <v/>
      </c>
      <c r="U276" s="45" t="n"/>
      <c r="V276" s="60">
        <f>IF(K276&lt;=Hypothèses!$B$28-100,"oui","NON")</f>
        <v/>
      </c>
    </row>
    <row r="277" ht="15" customHeight="1" s="40">
      <c r="A277" s="60" t="inlineStr">
        <is>
          <t>CTA 5</t>
        </is>
      </c>
      <c r="B277" s="60" t="inlineStr">
        <is>
          <t>CTA5-R79</t>
        </is>
      </c>
      <c r="C277" s="60" t="inlineStr">
        <is>
          <t>N01</t>
        </is>
      </c>
      <c r="D277" s="60" t="inlineStr">
        <is>
          <t>Faux plafond couloir</t>
        </is>
      </c>
      <c r="E277" s="60" t="inlineStr">
        <is>
          <t>Reprise</t>
        </is>
      </c>
      <c r="F277" s="60" t="inlineStr">
        <is>
          <t>LOG02 boi.</t>
        </is>
      </c>
      <c r="G277" s="61" t="n">
        <v>0.475</v>
      </c>
      <c r="H277" s="46" t="n">
        <v>816</v>
      </c>
      <c r="I277" s="62">
        <f>IF(A277="CTA 5",MIN(INDEX(Hypothèses!$C$6:$C$16,MATCH(H277,Hypothèses!$A$6:$A$16,1)),Hypothèses!$B$30),INDEX(Hypothèses!$C$6:$C$16,MATCH(H277,Hypothèses!$A$6:$A$16,1)))</f>
        <v/>
      </c>
      <c r="J277" s="63">
        <f>H277/3600/I277</f>
        <v/>
      </c>
      <c r="K277" s="60">
        <f>IF(A277="CTA 4",Hypothèses!$B$25,IF(AND(A277="CTA 5",H277&gt;4000),Hypothèses!$B$29,IF(H277&lt;=2000,Hypothèses!$B$23,Hypothèses!$B$24)))</f>
        <v/>
      </c>
      <c r="L277" s="60">
        <f>MAX(Hypothèses!$B$26,CEILING(J277/(K277/1000)*1000,Hypothèses!$B$27))</f>
        <v/>
      </c>
      <c r="M277" s="63">
        <f>L277*K277/1000000</f>
        <v/>
      </c>
      <c r="N277" s="64">
        <f>H277/3600/M277</f>
        <v/>
      </c>
      <c r="O277" s="60">
        <f>IF(N277&lt;=I277,"oui","NON")</f>
        <v/>
      </c>
      <c r="P277" s="63">
        <f>1.3*((L277/1000)*(K277/1000))^0.625/((L277/1000)+(K277/1000))^0.25</f>
        <v/>
      </c>
      <c r="Q277" s="65">
        <f>N277*P277/Hypothèses!$B$20</f>
        <v/>
      </c>
      <c r="R277" s="66">
        <f>0.25/(LOG10(Hypothèses!$B$21/(3.7*P277)+5.74/Q277^0.9))^2</f>
        <v/>
      </c>
      <c r="S277" s="64">
        <f>R277/P277*Hypothèses!$B$19*N277^2/2</f>
        <v/>
      </c>
      <c r="T277" s="62">
        <f>S277*G277*(1+Hypothèses!$B$22)</f>
        <v/>
      </c>
      <c r="U277" s="45" t="n"/>
      <c r="V277" s="60">
        <f>IF(K277&lt;=Hypothèses!$B$28-100,"oui","NON")</f>
        <v/>
      </c>
    </row>
    <row r="278" ht="15" customHeight="1" s="40">
      <c r="A278" s="60" t="inlineStr">
        <is>
          <t>CTA 5</t>
        </is>
      </c>
      <c r="B278" s="60" t="inlineStr">
        <is>
          <t>CTA5-R80</t>
        </is>
      </c>
      <c r="C278" s="60" t="inlineStr">
        <is>
          <t>N01</t>
        </is>
      </c>
      <c r="D278" s="60" t="inlineStr">
        <is>
          <t>Faux plafond couloir</t>
        </is>
      </c>
      <c r="E278" s="60" t="inlineStr">
        <is>
          <t>Reprise</t>
        </is>
      </c>
      <c r="F278" s="60" t="inlineStr">
        <is>
          <t>LOG04 linge P</t>
        </is>
      </c>
      <c r="G278" s="61" t="n">
        <v>4.281</v>
      </c>
      <c r="H278" s="46" t="n">
        <v>816</v>
      </c>
      <c r="I278" s="62">
        <f>IF(A278="CTA 5",MIN(INDEX(Hypothèses!$C$6:$C$16,MATCH(H278,Hypothèses!$A$6:$A$16,1)),Hypothèses!$B$30),INDEX(Hypothèses!$C$6:$C$16,MATCH(H278,Hypothèses!$A$6:$A$16,1)))</f>
        <v/>
      </c>
      <c r="J278" s="63">
        <f>H278/3600/I278</f>
        <v/>
      </c>
      <c r="K278" s="60">
        <f>IF(A278="CTA 4",Hypothèses!$B$25,IF(AND(A278="CTA 5",H278&gt;4000),Hypothèses!$B$29,IF(H278&lt;=2000,Hypothèses!$B$23,Hypothèses!$B$24)))</f>
        <v/>
      </c>
      <c r="L278" s="60">
        <f>MAX(Hypothèses!$B$26,CEILING(J278/(K278/1000)*1000,Hypothèses!$B$27))</f>
        <v/>
      </c>
      <c r="M278" s="63">
        <f>L278*K278/1000000</f>
        <v/>
      </c>
      <c r="N278" s="64">
        <f>H278/3600/M278</f>
        <v/>
      </c>
      <c r="O278" s="60">
        <f>IF(N278&lt;=I278,"oui","NON")</f>
        <v/>
      </c>
      <c r="P278" s="63">
        <f>1.3*((L278/1000)*(K278/1000))^0.625/((L278/1000)+(K278/1000))^0.25</f>
        <v/>
      </c>
      <c r="Q278" s="65">
        <f>N278*P278/Hypothèses!$B$20</f>
        <v/>
      </c>
      <c r="R278" s="66">
        <f>0.25/(LOG10(Hypothèses!$B$21/(3.7*P278)+5.74/Q278^0.9))^2</f>
        <v/>
      </c>
      <c r="S278" s="64">
        <f>R278/P278*Hypothèses!$B$19*N278^2/2</f>
        <v/>
      </c>
      <c r="T278" s="62">
        <f>S278*G278*(1+Hypothèses!$B$22)</f>
        <v/>
      </c>
      <c r="U278" s="45" t="n"/>
      <c r="V278" s="60">
        <f>IF(K278&lt;=Hypothèses!$B$28-100,"oui","NON")</f>
        <v/>
      </c>
    </row>
    <row r="279" ht="15" customHeight="1" s="40">
      <c r="A279" s="60" t="inlineStr">
        <is>
          <t>CTA 5</t>
        </is>
      </c>
      <c r="B279" s="60" t="inlineStr">
        <is>
          <t>CTA5-R81</t>
        </is>
      </c>
      <c r="C279" s="60" t="inlineStr">
        <is>
          <t>N01</t>
        </is>
      </c>
      <c r="D279" s="60" t="inlineStr">
        <is>
          <t>Faux plafond couloir</t>
        </is>
      </c>
      <c r="E279" s="60" t="inlineStr">
        <is>
          <t>Reprise</t>
        </is>
      </c>
      <c r="F279" s="60" t="inlineStr">
        <is>
          <t>HEB03 salle à manger salon, DET01 détente</t>
        </is>
      </c>
      <c r="G279" s="61" t="n">
        <v>1.294</v>
      </c>
      <c r="H279" s="46" t="n">
        <v>814</v>
      </c>
      <c r="I279" s="62">
        <f>IF(A279="CTA 5",MIN(INDEX(Hypothèses!$C$6:$C$16,MATCH(H279,Hypothèses!$A$6:$A$16,1)),Hypothèses!$B$30),INDEX(Hypothèses!$C$6:$C$16,MATCH(H279,Hypothèses!$A$6:$A$16,1)))</f>
        <v/>
      </c>
      <c r="J279" s="63">
        <f>H279/3600/I279</f>
        <v/>
      </c>
      <c r="K279" s="60">
        <f>IF(A279="CTA 4",Hypothèses!$B$25,IF(AND(A279="CTA 5",H279&gt;4000),Hypothèses!$B$29,IF(H279&lt;=2000,Hypothèses!$B$23,Hypothèses!$B$24)))</f>
        <v/>
      </c>
      <c r="L279" s="60">
        <f>MAX(Hypothèses!$B$26,CEILING(J279/(K279/1000)*1000,Hypothèses!$B$27))</f>
        <v/>
      </c>
      <c r="M279" s="63">
        <f>L279*K279/1000000</f>
        <v/>
      </c>
      <c r="N279" s="64">
        <f>H279/3600/M279</f>
        <v/>
      </c>
      <c r="O279" s="60">
        <f>IF(N279&lt;=I279,"oui","NON")</f>
        <v/>
      </c>
      <c r="P279" s="63">
        <f>1.3*((L279/1000)*(K279/1000))^0.625/((L279/1000)+(K279/1000))^0.25</f>
        <v/>
      </c>
      <c r="Q279" s="65">
        <f>N279*P279/Hypothèses!$B$20</f>
        <v/>
      </c>
      <c r="R279" s="66">
        <f>0.25/(LOG10(Hypothèses!$B$21/(3.7*P279)+5.74/Q279^0.9))^2</f>
        <v/>
      </c>
      <c r="S279" s="64">
        <f>R279/P279*Hypothèses!$B$19*N279^2/2</f>
        <v/>
      </c>
      <c r="T279" s="62">
        <f>S279*G279*(1+Hypothèses!$B$22)</f>
        <v/>
      </c>
      <c r="U279" s="45" t="n"/>
      <c r="V279" s="60">
        <f>IF(K279&lt;=Hypothèses!$B$28-100,"oui","NON")</f>
        <v/>
      </c>
    </row>
  </sheetData>
  <autoFilter ref="A4:V279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L6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39" min="1" max="1"/>
    <col width="9" customWidth="1" style="39" min="2" max="2"/>
    <col width="16" customWidth="1" style="39" min="3" max="3"/>
    <col width="46" customWidth="1" style="39" min="4" max="4"/>
    <col width="12" customWidth="1" style="39" min="5" max="6"/>
    <col width="14" customWidth="1" style="39" min="7" max="8"/>
    <col width="11" customWidth="1" style="39" min="9" max="10"/>
    <col width="13" customWidth="1" style="39" min="11" max="11"/>
    <col width="11" customWidth="1" style="39" min="12" max="12"/>
  </cols>
  <sheetData>
    <row r="1" ht="16.15" customHeight="1" s="40">
      <c r="A1" s="67" t="inlineStr">
        <is>
          <t>Réseaux VMC simple flux (CCTP lot 12 § 4.12) – gaines principales</t>
        </is>
      </c>
    </row>
    <row r="2" ht="15" customHeight="1" s="40">
      <c r="A2" s="42" t="inlineStr">
        <is>
          <t>En bleu : données de la maquette (débit, section dessinée). Vitesse maxi : tableau de l'onglet Hypothèses (CCTP § 2.2.5). Gaines rondes : Ø315 au raccord du caisson.</t>
        </is>
      </c>
    </row>
    <row r="4" ht="23.85" customHeight="1" s="40">
      <c r="A4" s="68" t="inlineStr">
        <is>
          <t>Réseau</t>
        </is>
      </c>
      <c r="B4" s="68" t="inlineStr">
        <is>
          <t>Niveau</t>
        </is>
      </c>
      <c r="C4" s="68" t="inlineStr">
        <is>
          <t>Type</t>
        </is>
      </c>
      <c r="D4" s="68" t="inlineStr">
        <is>
          <t>Tronçon</t>
        </is>
      </c>
      <c r="E4" s="68" t="inlineStr">
        <is>
          <t>Longueur (m)</t>
        </is>
      </c>
      <c r="F4" s="68" t="inlineStr">
        <is>
          <t>Débit (m³/h)</t>
        </is>
      </c>
      <c r="G4" s="68" t="inlineStr">
        <is>
          <t>Largeur L ou Ø (mm)</t>
        </is>
      </c>
      <c r="H4" s="68" t="inlineStr">
        <is>
          <t>Hauteur H (mm, 0 = rond)</t>
        </is>
      </c>
      <c r="I4" s="68" t="inlineStr">
        <is>
          <t>Section (m²)</t>
        </is>
      </c>
      <c r="J4" s="68" t="inlineStr">
        <is>
          <t>Vitesse (m/s)</t>
        </is>
      </c>
      <c r="K4" s="68" t="inlineStr">
        <is>
          <t>Vitesse maxi CCTP (m/s)</t>
        </is>
      </c>
      <c r="L4" s="68" t="inlineStr">
        <is>
          <t>Vitesse OK ?</t>
        </is>
      </c>
    </row>
    <row r="5" ht="15" customHeight="1" s="40">
      <c r="A5" s="60" t="inlineStr">
        <is>
          <t>VMC 1</t>
        </is>
      </c>
      <c r="B5" s="60" t="inlineStr">
        <is>
          <t>RDC</t>
        </is>
      </c>
      <c r="C5" s="60" t="inlineStr">
        <is>
          <t>Montée</t>
        </is>
      </c>
      <c r="D5" s="60" t="inlineStr">
        <is>
          <t>montée VMC RDC → étage</t>
        </is>
      </c>
      <c r="E5" s="54" t="n">
        <v>3.36</v>
      </c>
      <c r="F5" s="54" t="n">
        <v>1140</v>
      </c>
      <c r="G5" s="54" t="n">
        <v>400</v>
      </c>
      <c r="H5" s="54" t="n">
        <v>250</v>
      </c>
      <c r="I5" s="63">
        <f>IF(H5=0,PI()*(G5/1000)^2/4,G5*H5/1000000)</f>
        <v/>
      </c>
      <c r="J5" s="64">
        <f>F5/3600/I5</f>
        <v/>
      </c>
      <c r="K5" s="60">
        <f>INDEX(Hypothèses!$C$6:$C$16,MATCH(F5,Hypothèses!$A$6:$A$16,1))</f>
        <v/>
      </c>
      <c r="L5" s="60">
        <f>IF(J5&lt;=K5,"oui","NON")</f>
        <v/>
      </c>
    </row>
    <row r="6" ht="15" customHeight="1" s="40">
      <c r="A6" s="60" t="inlineStr">
        <is>
          <t>VMC 1</t>
        </is>
      </c>
      <c r="B6" s="60" t="inlineStr">
        <is>
          <t>R+1</t>
        </is>
      </c>
      <c r="C6" s="60" t="inlineStr">
        <is>
          <t>Montée</t>
        </is>
      </c>
      <c r="D6" s="60" t="inlineStr">
        <is>
          <t>montée VMC étage → toiture</t>
        </is>
      </c>
      <c r="E6" s="54" t="n">
        <v>1.18</v>
      </c>
      <c r="F6" s="54" t="n">
        <v>1785</v>
      </c>
      <c r="G6" s="54" t="n">
        <v>400</v>
      </c>
      <c r="H6" s="54" t="n">
        <v>250</v>
      </c>
      <c r="I6" s="63">
        <f>IF(H6=0,PI()*(G6/1000)^2/4,G6*H6/1000000)</f>
        <v/>
      </c>
      <c r="J6" s="64">
        <f>F6/3600/I6</f>
        <v/>
      </c>
      <c r="K6" s="60">
        <f>INDEX(Hypothèses!$C$6:$C$16,MATCH(F6,Hypothèses!$A$6:$A$16,1))</f>
        <v/>
      </c>
      <c r="L6" s="60">
        <f>IF(J6&lt;=K6,"oui","NON")</f>
        <v/>
      </c>
    </row>
    <row r="7" ht="15" customHeight="1" s="40">
      <c r="A7" s="60" t="inlineStr">
        <is>
          <t>VMC 1</t>
        </is>
      </c>
      <c r="B7" s="60" t="inlineStr">
        <is>
          <t>Toiture</t>
        </is>
      </c>
      <c r="C7" s="60" t="inlineStr">
        <is>
          <t>Toiture</t>
        </is>
      </c>
      <c r="D7" s="60" t="inlineStr">
        <is>
          <t>toiture → caisson</t>
        </is>
      </c>
      <c r="E7" s="54" t="n">
        <v>1.34</v>
      </c>
      <c r="F7" s="54" t="n">
        <v>1785</v>
      </c>
      <c r="G7" s="54" t="n">
        <v>400</v>
      </c>
      <c r="H7" s="54" t="n">
        <v>250</v>
      </c>
      <c r="I7" s="63">
        <f>IF(H7=0,PI()*(G7/1000)^2/4,G7*H7/1000000)</f>
        <v/>
      </c>
      <c r="J7" s="64">
        <f>F7/3600/I7</f>
        <v/>
      </c>
      <c r="K7" s="60">
        <f>INDEX(Hypothèses!$C$6:$C$16,MATCH(F7,Hypothèses!$A$6:$A$16,1))</f>
        <v/>
      </c>
      <c r="L7" s="60">
        <f>IF(J7&lt;=K7,"oui","NON")</f>
        <v/>
      </c>
    </row>
    <row r="8" ht="15" customHeight="1" s="40">
      <c r="A8" s="60" t="inlineStr">
        <is>
          <t>VMC 1</t>
        </is>
      </c>
      <c r="B8" s="60" t="inlineStr">
        <is>
          <t>Toiture</t>
        </is>
      </c>
      <c r="C8" s="60" t="inlineStr">
        <is>
          <t>Raccord caisson</t>
        </is>
      </c>
      <c r="D8" s="60" t="inlineStr">
        <is>
          <t>raccord caisson Ø315</t>
        </is>
      </c>
      <c r="E8" s="54" t="n">
        <v>0.5</v>
      </c>
      <c r="F8" s="54" t="n">
        <v>1785</v>
      </c>
      <c r="G8" s="54" t="n">
        <v>315</v>
      </c>
      <c r="H8" s="54" t="n">
        <v>0</v>
      </c>
      <c r="I8" s="63">
        <f>IF(H8=0,PI()*(G8/1000)^2/4,G8*H8/1000000)</f>
        <v/>
      </c>
      <c r="J8" s="64">
        <f>F8/3600/I8</f>
        <v/>
      </c>
      <c r="K8" s="60">
        <f>INDEX(Hypothèses!$C$6:$C$16,MATCH(F8,Hypothèses!$A$6:$A$16,1))</f>
        <v/>
      </c>
      <c r="L8" s="60">
        <f>IF(J8&lt;=K8,"oui","NON")</f>
        <v/>
      </c>
    </row>
    <row r="9" ht="15" customHeight="1" s="40">
      <c r="A9" s="60" t="inlineStr">
        <is>
          <t>VMC 1</t>
        </is>
      </c>
      <c r="B9" s="60" t="inlineStr">
        <is>
          <t>RDC</t>
        </is>
      </c>
      <c r="C9" s="60" t="inlineStr">
        <is>
          <t>Collecteur</t>
        </is>
      </c>
      <c r="D9" s="60" t="inlineStr">
        <is>
          <t>N00 collecteur nord</t>
        </is>
      </c>
      <c r="E9" s="54" t="n">
        <v>3.3</v>
      </c>
      <c r="F9" s="54" t="n">
        <v>1140</v>
      </c>
      <c r="G9" s="54" t="n">
        <v>400</v>
      </c>
      <c r="H9" s="54" t="n">
        <v>250</v>
      </c>
      <c r="I9" s="63">
        <f>IF(H9=0,PI()*(G9/1000)^2/4,G9*H9/1000000)</f>
        <v/>
      </c>
      <c r="J9" s="64">
        <f>F9/3600/I9</f>
        <v/>
      </c>
      <c r="K9" s="60">
        <f>INDEX(Hypothèses!$C$6:$C$16,MATCH(F9,Hypothèses!$A$6:$A$16,1))</f>
        <v/>
      </c>
      <c r="L9" s="60">
        <f>IF(J9&lt;=K9,"oui","NON")</f>
        <v/>
      </c>
    </row>
    <row r="10" ht="15" customHeight="1" s="40">
      <c r="A10" s="60" t="inlineStr">
        <is>
          <t>VMC 1</t>
        </is>
      </c>
      <c r="B10" s="60" t="inlineStr">
        <is>
          <t>RDC</t>
        </is>
      </c>
      <c r="C10" s="60" t="inlineStr">
        <is>
          <t>Collecteur</t>
        </is>
      </c>
      <c r="D10" s="60" t="inlineStr">
        <is>
          <t>N00 collecteur</t>
        </is>
      </c>
      <c r="E10" s="54" t="n">
        <v>8.199999999999999</v>
      </c>
      <c r="F10" s="54" t="n">
        <v>1140</v>
      </c>
      <c r="G10" s="54" t="n">
        <v>400</v>
      </c>
      <c r="H10" s="54" t="n">
        <v>250</v>
      </c>
      <c r="I10" s="63">
        <f>IF(H10=0,PI()*(G10/1000)^2/4,G10*H10/1000000)</f>
        <v/>
      </c>
      <c r="J10" s="64">
        <f>F10/3600/I10</f>
        <v/>
      </c>
      <c r="K10" s="60">
        <f>INDEX(Hypothèses!$C$6:$C$16,MATCH(F10,Hypothèses!$A$6:$A$16,1))</f>
        <v/>
      </c>
      <c r="L10" s="60">
        <f>IF(J10&lt;=K10,"oui","NON")</f>
        <v/>
      </c>
    </row>
    <row r="11" ht="15" customHeight="1" s="40">
      <c r="A11" s="60" t="inlineStr">
        <is>
          <t>VMC 1</t>
        </is>
      </c>
      <c r="B11" s="60" t="inlineStr">
        <is>
          <t>RDC</t>
        </is>
      </c>
      <c r="C11" s="60" t="inlineStr">
        <is>
          <t>Collecteur</t>
        </is>
      </c>
      <c r="D11" s="60" t="inlineStr">
        <is>
          <t>N00 collecteur sud</t>
        </is>
      </c>
      <c r="E11" s="54" t="n">
        <v>9</v>
      </c>
      <c r="F11" s="54" t="n">
        <v>750</v>
      </c>
      <c r="G11" s="54" t="n">
        <v>350</v>
      </c>
      <c r="H11" s="54" t="n">
        <v>150</v>
      </c>
      <c r="I11" s="63">
        <f>IF(H11=0,PI()*(G11/1000)^2/4,G11*H11/1000000)</f>
        <v/>
      </c>
      <c r="J11" s="64">
        <f>F11/3600/I11</f>
        <v/>
      </c>
      <c r="K11" s="60">
        <f>INDEX(Hypothèses!$C$6:$C$16,MATCH(F11,Hypothèses!$A$6:$A$16,1))</f>
        <v/>
      </c>
      <c r="L11" s="60">
        <f>IF(J11&lt;=K11,"oui","NON")</f>
        <v/>
      </c>
    </row>
    <row r="12" ht="15" customHeight="1" s="40">
      <c r="A12" s="60" t="inlineStr">
        <is>
          <t>VMC 1</t>
        </is>
      </c>
      <c r="B12" s="60" t="inlineStr">
        <is>
          <t>R+1</t>
        </is>
      </c>
      <c r="C12" s="60" t="inlineStr">
        <is>
          <t>Collecteur</t>
        </is>
      </c>
      <c r="D12" s="60" t="inlineStr">
        <is>
          <t>N01 collecteur nord</t>
        </is>
      </c>
      <c r="E12" s="54" t="n">
        <v>3.3</v>
      </c>
      <c r="F12" s="54" t="n">
        <v>645</v>
      </c>
      <c r="G12" s="54" t="n">
        <v>300</v>
      </c>
      <c r="H12" s="54" t="n">
        <v>150</v>
      </c>
      <c r="I12" s="63">
        <f>IF(H12=0,PI()*(G12/1000)^2/4,G12*H12/1000000)</f>
        <v/>
      </c>
      <c r="J12" s="64">
        <f>F12/3600/I12</f>
        <v/>
      </c>
      <c r="K12" s="60">
        <f>INDEX(Hypothèses!$C$6:$C$16,MATCH(F12,Hypothèses!$A$6:$A$16,1))</f>
        <v/>
      </c>
      <c r="L12" s="60">
        <f>IF(J12&lt;=K12,"oui","NON")</f>
        <v/>
      </c>
    </row>
    <row r="13" ht="15" customHeight="1" s="40">
      <c r="A13" s="60" t="inlineStr">
        <is>
          <t>VMC 1</t>
        </is>
      </c>
      <c r="B13" s="60" t="inlineStr">
        <is>
          <t>R+1</t>
        </is>
      </c>
      <c r="C13" s="60" t="inlineStr">
        <is>
          <t>Collecteur</t>
        </is>
      </c>
      <c r="D13" s="60" t="inlineStr">
        <is>
          <t>N01 collecteur</t>
        </is>
      </c>
      <c r="E13" s="54" t="n">
        <v>11.8</v>
      </c>
      <c r="F13" s="54" t="n">
        <v>645</v>
      </c>
      <c r="G13" s="54" t="n">
        <v>300</v>
      </c>
      <c r="H13" s="54" t="n">
        <v>150</v>
      </c>
      <c r="I13" s="63">
        <f>IF(H13=0,PI()*(G13/1000)^2/4,G13*H13/1000000)</f>
        <v/>
      </c>
      <c r="J13" s="64">
        <f>F13/3600/I13</f>
        <v/>
      </c>
      <c r="K13" s="60">
        <f>INDEX(Hypothèses!$C$6:$C$16,MATCH(F13,Hypothèses!$A$6:$A$16,1))</f>
        <v/>
      </c>
      <c r="L13" s="60">
        <f>IF(J13&lt;=K13,"oui","NON")</f>
        <v/>
      </c>
    </row>
    <row r="14" ht="15" customHeight="1" s="40">
      <c r="A14" s="60" t="inlineStr">
        <is>
          <t>VMC 2</t>
        </is>
      </c>
      <c r="B14" s="60" t="inlineStr">
        <is>
          <t>RDC</t>
        </is>
      </c>
      <c r="C14" s="60" t="inlineStr">
        <is>
          <t>Montée</t>
        </is>
      </c>
      <c r="D14" s="60" t="inlineStr">
        <is>
          <t>montée VMC N00 → toiture</t>
        </is>
      </c>
      <c r="E14" s="54" t="n">
        <v>4.54</v>
      </c>
      <c r="F14" s="54" t="n">
        <v>315</v>
      </c>
      <c r="G14" s="54" t="n">
        <v>200</v>
      </c>
      <c r="H14" s="54" t="n">
        <v>150</v>
      </c>
      <c r="I14" s="63">
        <f>IF(H14=0,PI()*(G14/1000)^2/4,G14*H14/1000000)</f>
        <v/>
      </c>
      <c r="J14" s="64">
        <f>F14/3600/I14</f>
        <v/>
      </c>
      <c r="K14" s="60">
        <f>INDEX(Hypothèses!$C$6:$C$16,MATCH(F14,Hypothèses!$A$6:$A$16,1))</f>
        <v/>
      </c>
      <c r="L14" s="60">
        <f>IF(J14&lt;=K14,"oui","NON")</f>
        <v/>
      </c>
    </row>
    <row r="15" ht="15" customHeight="1" s="40">
      <c r="A15" s="60" t="inlineStr">
        <is>
          <t>VMC 2</t>
        </is>
      </c>
      <c r="B15" s="60" t="inlineStr">
        <is>
          <t>Toiture</t>
        </is>
      </c>
      <c r="C15" s="60" t="inlineStr">
        <is>
          <t>Toiture</t>
        </is>
      </c>
      <c r="D15" s="60" t="inlineStr">
        <is>
          <t>toiture → caisson</t>
        </is>
      </c>
      <c r="E15" s="54" t="n">
        <v>3.1</v>
      </c>
      <c r="F15" s="54" t="n">
        <v>315</v>
      </c>
      <c r="G15" s="54" t="n">
        <v>200</v>
      </c>
      <c r="H15" s="54" t="n">
        <v>150</v>
      </c>
      <c r="I15" s="63">
        <f>IF(H15=0,PI()*(G15/1000)^2/4,G15*H15/1000000)</f>
        <v/>
      </c>
      <c r="J15" s="64">
        <f>F15/3600/I15</f>
        <v/>
      </c>
      <c r="K15" s="60">
        <f>INDEX(Hypothèses!$C$6:$C$16,MATCH(F15,Hypothèses!$A$6:$A$16,1))</f>
        <v/>
      </c>
      <c r="L15" s="60">
        <f>IF(J15&lt;=K15,"oui","NON")</f>
        <v/>
      </c>
    </row>
    <row r="16" ht="15" customHeight="1" s="40">
      <c r="A16" s="60" t="inlineStr">
        <is>
          <t>VMC 2</t>
        </is>
      </c>
      <c r="B16" s="60" t="inlineStr">
        <is>
          <t>Toiture</t>
        </is>
      </c>
      <c r="C16" s="60" t="inlineStr">
        <is>
          <t>Toiture</t>
        </is>
      </c>
      <c r="D16" s="60" t="inlineStr">
        <is>
          <t>toiture → caisson</t>
        </is>
      </c>
      <c r="E16" s="54" t="n">
        <v>5.62</v>
      </c>
      <c r="F16" s="54" t="n">
        <v>315</v>
      </c>
      <c r="G16" s="54" t="n">
        <v>200</v>
      </c>
      <c r="H16" s="54" t="n">
        <v>150</v>
      </c>
      <c r="I16" s="63">
        <f>IF(H16=0,PI()*(G16/1000)^2/4,G16*H16/1000000)</f>
        <v/>
      </c>
      <c r="J16" s="64">
        <f>F16/3600/I16</f>
        <v/>
      </c>
      <c r="K16" s="60">
        <f>INDEX(Hypothèses!$C$6:$C$16,MATCH(F16,Hypothèses!$A$6:$A$16,1))</f>
        <v/>
      </c>
      <c r="L16" s="60">
        <f>IF(J16&lt;=K16,"oui","NON")</f>
        <v/>
      </c>
    </row>
    <row r="17" ht="15" customHeight="1" s="40">
      <c r="A17" s="60" t="inlineStr">
        <is>
          <t>VMC 2</t>
        </is>
      </c>
      <c r="B17" s="60" t="inlineStr">
        <is>
          <t>Toiture</t>
        </is>
      </c>
      <c r="C17" s="60" t="inlineStr">
        <is>
          <t>Toiture</t>
        </is>
      </c>
      <c r="D17" s="60" t="inlineStr">
        <is>
          <t>toiture → caisson</t>
        </is>
      </c>
      <c r="E17" s="54" t="n">
        <v>0.64</v>
      </c>
      <c r="F17" s="54" t="n">
        <v>315</v>
      </c>
      <c r="G17" s="54" t="n">
        <v>200</v>
      </c>
      <c r="H17" s="54" t="n">
        <v>150</v>
      </c>
      <c r="I17" s="63">
        <f>IF(H17=0,PI()*(G17/1000)^2/4,G17*H17/1000000)</f>
        <v/>
      </c>
      <c r="J17" s="64">
        <f>F17/3600/I17</f>
        <v/>
      </c>
      <c r="K17" s="60">
        <f>INDEX(Hypothèses!$C$6:$C$16,MATCH(F17,Hypothèses!$A$6:$A$16,1))</f>
        <v/>
      </c>
      <c r="L17" s="60">
        <f>IF(J17&lt;=K17,"oui","NON")</f>
        <v/>
      </c>
    </row>
    <row r="18" ht="15" customHeight="1" s="40">
      <c r="A18" s="60" t="inlineStr">
        <is>
          <t>VMC 2</t>
        </is>
      </c>
      <c r="B18" s="60" t="inlineStr">
        <is>
          <t>Toiture</t>
        </is>
      </c>
      <c r="C18" s="60" t="inlineStr">
        <is>
          <t>Raccord caisson</t>
        </is>
      </c>
      <c r="D18" s="60" t="inlineStr">
        <is>
          <t>raccord caisson Ø315</t>
        </is>
      </c>
      <c r="E18" s="54" t="n">
        <v>0.5</v>
      </c>
      <c r="F18" s="54" t="n">
        <v>315</v>
      </c>
      <c r="G18" s="54" t="n">
        <v>315</v>
      </c>
      <c r="H18" s="54" t="n">
        <v>0</v>
      </c>
      <c r="I18" s="63">
        <f>IF(H18=0,PI()*(G18/1000)^2/4,G18*H18/1000000)</f>
        <v/>
      </c>
      <c r="J18" s="64">
        <f>F18/3600/I18</f>
        <v/>
      </c>
      <c r="K18" s="60">
        <f>INDEX(Hypothèses!$C$6:$C$16,MATCH(F18,Hypothèses!$A$6:$A$16,1))</f>
        <v/>
      </c>
      <c r="L18" s="60">
        <f>IF(J18&lt;=K18,"oui","NON")</f>
        <v/>
      </c>
    </row>
    <row r="19" ht="15" customHeight="1" s="40">
      <c r="A19" s="60" t="inlineStr">
        <is>
          <t>VMC 2</t>
        </is>
      </c>
      <c r="B19" s="60" t="inlineStr">
        <is>
          <t>RDC</t>
        </is>
      </c>
      <c r="C19" s="60" t="inlineStr">
        <is>
          <t>Collecteur</t>
        </is>
      </c>
      <c r="D19" s="60" t="inlineStr">
        <is>
          <t>N00 collecteur</t>
        </is>
      </c>
      <c r="E19" s="54" t="n">
        <v>4.1</v>
      </c>
      <c r="F19" s="54" t="n">
        <v>315</v>
      </c>
      <c r="G19" s="54" t="n">
        <v>200</v>
      </c>
      <c r="H19" s="54" t="n">
        <v>150</v>
      </c>
      <c r="I19" s="63">
        <f>IF(H19=0,PI()*(G19/1000)^2/4,G19*H19/1000000)</f>
        <v/>
      </c>
      <c r="J19" s="64">
        <f>F19/3600/I19</f>
        <v/>
      </c>
      <c r="K19" s="60">
        <f>INDEX(Hypothèses!$C$6:$C$16,MATCH(F19,Hypothèses!$A$6:$A$16,1))</f>
        <v/>
      </c>
      <c r="L19" s="60">
        <f>IF(J19&lt;=K19,"oui","NON")</f>
        <v/>
      </c>
    </row>
    <row r="20" ht="15" customHeight="1" s="40">
      <c r="A20" s="60" t="inlineStr">
        <is>
          <t>VMC 2</t>
        </is>
      </c>
      <c r="B20" s="60" t="inlineStr">
        <is>
          <t>RDC</t>
        </is>
      </c>
      <c r="C20" s="60" t="inlineStr">
        <is>
          <t>Collecteur</t>
        </is>
      </c>
      <c r="D20" s="60" t="inlineStr">
        <is>
          <t>N00 collecteur</t>
        </is>
      </c>
      <c r="E20" s="54" t="n">
        <v>2.65</v>
      </c>
      <c r="F20" s="54" t="n">
        <v>315</v>
      </c>
      <c r="G20" s="54" t="n">
        <v>200</v>
      </c>
      <c r="H20" s="54" t="n">
        <v>150</v>
      </c>
      <c r="I20" s="63">
        <f>IF(H20=0,PI()*(G20/1000)^2/4,G20*H20/1000000)</f>
        <v/>
      </c>
      <c r="J20" s="64">
        <f>F20/3600/I20</f>
        <v/>
      </c>
      <c r="K20" s="60">
        <f>INDEX(Hypothèses!$C$6:$C$16,MATCH(F20,Hypothèses!$A$6:$A$16,1))</f>
        <v/>
      </c>
      <c r="L20" s="60">
        <f>IF(J20&lt;=K20,"oui","NON")</f>
        <v/>
      </c>
    </row>
    <row r="21" ht="15" customHeight="1" s="40">
      <c r="A21" s="60" t="inlineStr">
        <is>
          <t>VMC 2</t>
        </is>
      </c>
      <c r="B21" s="60" t="inlineStr">
        <is>
          <t>RDC</t>
        </is>
      </c>
      <c r="C21" s="60" t="inlineStr">
        <is>
          <t>Collecteur</t>
        </is>
      </c>
      <c r="D21" s="60" t="inlineStr">
        <is>
          <t>N00 collecteur</t>
        </is>
      </c>
      <c r="E21" s="54" t="n">
        <v>4.3</v>
      </c>
      <c r="F21" s="54" t="n">
        <v>315</v>
      </c>
      <c r="G21" s="54" t="n">
        <v>200</v>
      </c>
      <c r="H21" s="54" t="n">
        <v>150</v>
      </c>
      <c r="I21" s="63">
        <f>IF(H21=0,PI()*(G21/1000)^2/4,G21*H21/1000000)</f>
        <v/>
      </c>
      <c r="J21" s="64">
        <f>F21/3600/I21</f>
        <v/>
      </c>
      <c r="K21" s="60">
        <f>INDEX(Hypothèses!$C$6:$C$16,MATCH(F21,Hypothèses!$A$6:$A$16,1))</f>
        <v/>
      </c>
      <c r="L21" s="60">
        <f>IF(J21&lt;=K21,"oui","NON")</f>
        <v/>
      </c>
    </row>
    <row r="22" ht="15" customHeight="1" s="40">
      <c r="A22" s="60" t="inlineStr">
        <is>
          <t>VMC 3</t>
        </is>
      </c>
      <c r="B22" s="60" t="inlineStr">
        <is>
          <t>RDC</t>
        </is>
      </c>
      <c r="C22" s="60" t="inlineStr">
        <is>
          <t>Montée</t>
        </is>
      </c>
      <c r="D22" s="60" t="inlineStr">
        <is>
          <t>montée VMC RDC → étage (gaine technique)</t>
        </is>
      </c>
      <c r="E22" s="54" t="n">
        <v>3.46</v>
      </c>
      <c r="F22" s="54" t="n">
        <v>105</v>
      </c>
      <c r="G22" s="54" t="n">
        <v>250</v>
      </c>
      <c r="H22" s="54" t="n">
        <v>150</v>
      </c>
      <c r="I22" s="63">
        <f>IF(H22=0,PI()*(G22/1000)^2/4,G22*H22/1000000)</f>
        <v/>
      </c>
      <c r="J22" s="64">
        <f>F22/3600/I22</f>
        <v/>
      </c>
      <c r="K22" s="60">
        <f>INDEX(Hypothèses!$C$6:$C$16,MATCH(F22,Hypothèses!$A$6:$A$16,1))</f>
        <v/>
      </c>
      <c r="L22" s="60">
        <f>IF(J22&lt;=K22,"oui","NON")</f>
        <v/>
      </c>
    </row>
    <row r="23" ht="15" customHeight="1" s="40">
      <c r="A23" s="60" t="inlineStr">
        <is>
          <t>VMC 3</t>
        </is>
      </c>
      <c r="B23" s="60" t="inlineStr">
        <is>
          <t>R+1</t>
        </is>
      </c>
      <c r="C23" s="60" t="inlineStr">
        <is>
          <t>Montée</t>
        </is>
      </c>
      <c r="D23" s="60" t="inlineStr">
        <is>
          <t>montée VMC étage → toiture</t>
        </is>
      </c>
      <c r="E23" s="54" t="n">
        <v>1.12</v>
      </c>
      <c r="F23" s="54" t="n">
        <v>255</v>
      </c>
      <c r="G23" s="54" t="n">
        <v>250</v>
      </c>
      <c r="H23" s="54" t="n">
        <v>150</v>
      </c>
      <c r="I23" s="63">
        <f>IF(H23=0,PI()*(G23/1000)^2/4,G23*H23/1000000)</f>
        <v/>
      </c>
      <c r="J23" s="64">
        <f>F23/3600/I23</f>
        <v/>
      </c>
      <c r="K23" s="60">
        <f>INDEX(Hypothèses!$C$6:$C$16,MATCH(F23,Hypothèses!$A$6:$A$16,1))</f>
        <v/>
      </c>
      <c r="L23" s="60">
        <f>IF(J23&lt;=K23,"oui","NON")</f>
        <v/>
      </c>
    </row>
    <row r="24" ht="15" customHeight="1" s="40">
      <c r="A24" s="60" t="inlineStr">
        <is>
          <t>VMC 3</t>
        </is>
      </c>
      <c r="B24" s="60" t="inlineStr">
        <is>
          <t>Toiture</t>
        </is>
      </c>
      <c r="C24" s="60" t="inlineStr">
        <is>
          <t>Toiture</t>
        </is>
      </c>
      <c r="D24" s="60" t="inlineStr">
        <is>
          <t>toiture → caisson</t>
        </is>
      </c>
      <c r="E24" s="54" t="n">
        <v>2.44</v>
      </c>
      <c r="F24" s="54" t="n">
        <v>255</v>
      </c>
      <c r="G24" s="54" t="n">
        <v>250</v>
      </c>
      <c r="H24" s="54" t="n">
        <v>150</v>
      </c>
      <c r="I24" s="63">
        <f>IF(H24=0,PI()*(G24/1000)^2/4,G24*H24/1000000)</f>
        <v/>
      </c>
      <c r="J24" s="64">
        <f>F24/3600/I24</f>
        <v/>
      </c>
      <c r="K24" s="60">
        <f>INDEX(Hypothèses!$C$6:$C$16,MATCH(F24,Hypothèses!$A$6:$A$16,1))</f>
        <v/>
      </c>
      <c r="L24" s="60">
        <f>IF(J24&lt;=K24,"oui","NON")</f>
        <v/>
      </c>
    </row>
    <row r="25" ht="15" customHeight="1" s="40">
      <c r="A25" s="60" t="inlineStr">
        <is>
          <t>VMC 3</t>
        </is>
      </c>
      <c r="B25" s="60" t="inlineStr">
        <is>
          <t>Toiture</t>
        </is>
      </c>
      <c r="C25" s="60" t="inlineStr">
        <is>
          <t>Raccord caisson</t>
        </is>
      </c>
      <c r="D25" s="60" t="inlineStr">
        <is>
          <t>raccord caisson Ø315</t>
        </is>
      </c>
      <c r="E25" s="54" t="n">
        <v>0.5</v>
      </c>
      <c r="F25" s="54" t="n">
        <v>255</v>
      </c>
      <c r="G25" s="54" t="n">
        <v>315</v>
      </c>
      <c r="H25" s="54" t="n">
        <v>0</v>
      </c>
      <c r="I25" s="63">
        <f>IF(H25=0,PI()*(G25/1000)^2/4,G25*H25/1000000)</f>
        <v/>
      </c>
      <c r="J25" s="64">
        <f>F25/3600/I25</f>
        <v/>
      </c>
      <c r="K25" s="60">
        <f>INDEX(Hypothèses!$C$6:$C$16,MATCH(F25,Hypothèses!$A$6:$A$16,1))</f>
        <v/>
      </c>
      <c r="L25" s="60">
        <f>IF(J25&lt;=K25,"oui","NON")</f>
        <v/>
      </c>
    </row>
    <row r="26" ht="15" customHeight="1" s="40">
      <c r="A26" s="60" t="inlineStr">
        <is>
          <t>VMC 3</t>
        </is>
      </c>
      <c r="B26" s="60" t="inlineStr">
        <is>
          <t>RDC</t>
        </is>
      </c>
      <c r="C26" s="60" t="inlineStr">
        <is>
          <t>Collecteur</t>
        </is>
      </c>
      <c r="D26" s="60" t="inlineStr">
        <is>
          <t>N00 collecteur ouest</t>
        </is>
      </c>
      <c r="E26" s="54" t="n">
        <v>9.300000000000001</v>
      </c>
      <c r="F26" s="54" t="n">
        <v>60</v>
      </c>
      <c r="G26" s="54" t="n">
        <v>250</v>
      </c>
      <c r="H26" s="54" t="n">
        <v>100</v>
      </c>
      <c r="I26" s="63">
        <f>IF(H26=0,PI()*(G26/1000)^2/4,G26*H26/1000000)</f>
        <v/>
      </c>
      <c r="J26" s="64">
        <f>F26/3600/I26</f>
        <v/>
      </c>
      <c r="K26" s="60">
        <f>INDEX(Hypothèses!$C$6:$C$16,MATCH(F26,Hypothèses!$A$6:$A$16,1))</f>
        <v/>
      </c>
      <c r="L26" s="60">
        <f>IF(J26&lt;=K26,"oui","NON")</f>
        <v/>
      </c>
    </row>
    <row r="27" ht="15" customHeight="1" s="40">
      <c r="A27" s="60" t="inlineStr">
        <is>
          <t>VMC 3</t>
        </is>
      </c>
      <c r="B27" s="60" t="inlineStr">
        <is>
          <t>RDC</t>
        </is>
      </c>
      <c r="C27" s="60" t="inlineStr">
        <is>
          <t>Collecteur</t>
        </is>
      </c>
      <c r="D27" s="60" t="inlineStr">
        <is>
          <t>N00 collecteur est</t>
        </is>
      </c>
      <c r="E27" s="54" t="n">
        <v>6.2</v>
      </c>
      <c r="F27" s="54" t="n">
        <v>45</v>
      </c>
      <c r="G27" s="54" t="n">
        <v>250</v>
      </c>
      <c r="H27" s="54" t="n">
        <v>100</v>
      </c>
      <c r="I27" s="63">
        <f>IF(H27=0,PI()*(G27/1000)^2/4,G27*H27/1000000)</f>
        <v/>
      </c>
      <c r="J27" s="64">
        <f>F27/3600/I27</f>
        <v/>
      </c>
      <c r="K27" s="60">
        <f>INDEX(Hypothèses!$C$6:$C$16,MATCH(F27,Hypothèses!$A$6:$A$16,1))</f>
        <v/>
      </c>
      <c r="L27" s="60">
        <f>IF(J27&lt;=K27,"oui","NON")</f>
        <v/>
      </c>
    </row>
    <row r="28" ht="15" customHeight="1" s="40">
      <c r="A28" s="60" t="inlineStr">
        <is>
          <t>VMC 3</t>
        </is>
      </c>
      <c r="B28" s="60" t="inlineStr">
        <is>
          <t>R+1</t>
        </is>
      </c>
      <c r="C28" s="60" t="inlineStr">
        <is>
          <t>Collecteur</t>
        </is>
      </c>
      <c r="D28" s="60" t="inlineStr">
        <is>
          <t>N01 collecteur</t>
        </is>
      </c>
      <c r="E28" s="54" t="n">
        <v>1.1</v>
      </c>
      <c r="F28" s="54" t="n">
        <v>150</v>
      </c>
      <c r="G28" s="54" t="n">
        <v>200</v>
      </c>
      <c r="H28" s="54" t="n">
        <v>100</v>
      </c>
      <c r="I28" s="63">
        <f>IF(H28=0,PI()*(G28/1000)^2/4,G28*H28/1000000)</f>
        <v/>
      </c>
      <c r="J28" s="64">
        <f>F28/3600/I28</f>
        <v/>
      </c>
      <c r="K28" s="60">
        <f>INDEX(Hypothèses!$C$6:$C$16,MATCH(F28,Hypothèses!$A$6:$A$16,1))</f>
        <v/>
      </c>
      <c r="L28" s="60">
        <f>IF(J28&lt;=K28,"oui","NON")</f>
        <v/>
      </c>
    </row>
    <row r="29" ht="15" customHeight="1" s="40">
      <c r="A29" s="60" t="inlineStr">
        <is>
          <t>VMC 3</t>
        </is>
      </c>
      <c r="B29" s="60" t="inlineStr">
        <is>
          <t>R+1</t>
        </is>
      </c>
      <c r="C29" s="60" t="inlineStr">
        <is>
          <t>Collecteur</t>
        </is>
      </c>
      <c r="D29" s="60" t="inlineStr">
        <is>
          <t>N01 collecteur ouest</t>
        </is>
      </c>
      <c r="E29" s="54" t="n">
        <v>1.4</v>
      </c>
      <c r="F29" s="54" t="n">
        <v>30</v>
      </c>
      <c r="G29" s="54" t="n">
        <v>200</v>
      </c>
      <c r="H29" s="54" t="n">
        <v>100</v>
      </c>
      <c r="I29" s="63">
        <f>IF(H29=0,PI()*(G29/1000)^2/4,G29*H29/1000000)</f>
        <v/>
      </c>
      <c r="J29" s="64">
        <f>F29/3600/I29</f>
        <v/>
      </c>
      <c r="K29" s="60">
        <f>INDEX(Hypothèses!$C$6:$C$16,MATCH(F29,Hypothèses!$A$6:$A$16,1))</f>
        <v/>
      </c>
      <c r="L29" s="60">
        <f>IF(J29&lt;=K29,"oui","NON")</f>
        <v/>
      </c>
    </row>
    <row r="30" ht="15" customHeight="1" s="40">
      <c r="A30" s="60" t="inlineStr">
        <is>
          <t>VMC 3</t>
        </is>
      </c>
      <c r="B30" s="60" t="inlineStr">
        <is>
          <t>R+1</t>
        </is>
      </c>
      <c r="C30" s="60" t="inlineStr">
        <is>
          <t>Collecteur</t>
        </is>
      </c>
      <c r="D30" s="60" t="inlineStr">
        <is>
          <t>N01 collecteur est</t>
        </is>
      </c>
      <c r="E30" s="54" t="n">
        <v>7.8</v>
      </c>
      <c r="F30" s="54" t="n">
        <v>120</v>
      </c>
      <c r="G30" s="54" t="n">
        <v>200</v>
      </c>
      <c r="H30" s="54" t="n">
        <v>100</v>
      </c>
      <c r="I30" s="63">
        <f>IF(H30=0,PI()*(G30/1000)^2/4,G30*H30/1000000)</f>
        <v/>
      </c>
      <c r="J30" s="64">
        <f>F30/3600/I30</f>
        <v/>
      </c>
      <c r="K30" s="60">
        <f>INDEX(Hypothèses!$C$6:$C$16,MATCH(F30,Hypothèses!$A$6:$A$16,1))</f>
        <v/>
      </c>
      <c r="L30" s="60">
        <f>IF(J30&lt;=K30,"oui","NON")</f>
        <v/>
      </c>
    </row>
    <row r="31" ht="15" customHeight="1" s="40">
      <c r="A31" s="60" t="inlineStr">
        <is>
          <t>VMC 4</t>
        </is>
      </c>
      <c r="B31" s="60" t="inlineStr">
        <is>
          <t>RDC</t>
        </is>
      </c>
      <c r="C31" s="60" t="inlineStr">
        <is>
          <t>Montée</t>
        </is>
      </c>
      <c r="D31" s="60" t="inlineStr">
        <is>
          <t>montée VMC RDC → étage</t>
        </is>
      </c>
      <c r="E31" s="54" t="n">
        <v>3.4</v>
      </c>
      <c r="F31" s="54" t="n">
        <v>630</v>
      </c>
      <c r="G31" s="54" t="n">
        <v>450</v>
      </c>
      <c r="H31" s="54" t="n">
        <v>150</v>
      </c>
      <c r="I31" s="63">
        <f>IF(H31=0,PI()*(G31/1000)^2/4,G31*H31/1000000)</f>
        <v/>
      </c>
      <c r="J31" s="64">
        <f>F31/3600/I31</f>
        <v/>
      </c>
      <c r="K31" s="60">
        <f>INDEX(Hypothèses!$C$6:$C$16,MATCH(F31,Hypothèses!$A$6:$A$16,1))</f>
        <v/>
      </c>
      <c r="L31" s="60">
        <f>IF(J31&lt;=K31,"oui","NON")</f>
        <v/>
      </c>
    </row>
    <row r="32" ht="15" customHeight="1" s="40">
      <c r="A32" s="60" t="inlineStr">
        <is>
          <t>VMC 4</t>
        </is>
      </c>
      <c r="B32" s="60" t="inlineStr">
        <is>
          <t>R+1</t>
        </is>
      </c>
      <c r="C32" s="60" t="inlineStr">
        <is>
          <t>Montée</t>
        </is>
      </c>
      <c r="D32" s="60" t="inlineStr">
        <is>
          <t>montée VMC étage → toiture</t>
        </is>
      </c>
      <c r="E32" s="54" t="n">
        <v>1.19</v>
      </c>
      <c r="F32" s="54" t="n">
        <v>630</v>
      </c>
      <c r="G32" s="54" t="n">
        <v>450</v>
      </c>
      <c r="H32" s="54" t="n">
        <v>150</v>
      </c>
      <c r="I32" s="63">
        <f>IF(H32=0,PI()*(G32/1000)^2/4,G32*H32/1000000)</f>
        <v/>
      </c>
      <c r="J32" s="64">
        <f>F32/3600/I32</f>
        <v/>
      </c>
      <c r="K32" s="60">
        <f>INDEX(Hypothèses!$C$6:$C$16,MATCH(F32,Hypothèses!$A$6:$A$16,1))</f>
        <v/>
      </c>
      <c r="L32" s="60">
        <f>IF(J32&lt;=K32,"oui","NON")</f>
        <v/>
      </c>
    </row>
    <row r="33" ht="15" customHeight="1" s="40">
      <c r="A33" s="60" t="inlineStr">
        <is>
          <t>VMC 4</t>
        </is>
      </c>
      <c r="B33" s="60" t="inlineStr">
        <is>
          <t>Toiture</t>
        </is>
      </c>
      <c r="C33" s="60" t="inlineStr">
        <is>
          <t>Toiture</t>
        </is>
      </c>
      <c r="D33" s="60" t="inlineStr">
        <is>
          <t>toiture → caisson</t>
        </is>
      </c>
      <c r="E33" s="54" t="n">
        <v>1.34</v>
      </c>
      <c r="F33" s="54" t="n">
        <v>630</v>
      </c>
      <c r="G33" s="54" t="n">
        <v>450</v>
      </c>
      <c r="H33" s="54" t="n">
        <v>150</v>
      </c>
      <c r="I33" s="63">
        <f>IF(H33=0,PI()*(G33/1000)^2/4,G33*H33/1000000)</f>
        <v/>
      </c>
      <c r="J33" s="64">
        <f>F33/3600/I33</f>
        <v/>
      </c>
      <c r="K33" s="60">
        <f>INDEX(Hypothèses!$C$6:$C$16,MATCH(F33,Hypothèses!$A$6:$A$16,1))</f>
        <v/>
      </c>
      <c r="L33" s="60">
        <f>IF(J33&lt;=K33,"oui","NON")</f>
        <v/>
      </c>
    </row>
    <row r="34" ht="15" customHeight="1" s="40">
      <c r="A34" s="60" t="inlineStr">
        <is>
          <t>VMC 4</t>
        </is>
      </c>
      <c r="B34" s="60" t="inlineStr">
        <is>
          <t>Toiture</t>
        </is>
      </c>
      <c r="C34" s="60" t="inlineStr">
        <is>
          <t>Raccord caisson</t>
        </is>
      </c>
      <c r="D34" s="60" t="inlineStr">
        <is>
          <t>raccord caisson Ø315</t>
        </is>
      </c>
      <c r="E34" s="54" t="n">
        <v>0.5</v>
      </c>
      <c r="F34" s="54" t="n">
        <v>630</v>
      </c>
      <c r="G34" s="54" t="n">
        <v>315</v>
      </c>
      <c r="H34" s="54" t="n">
        <v>0</v>
      </c>
      <c r="I34" s="63">
        <f>IF(H34=0,PI()*(G34/1000)^2/4,G34*H34/1000000)</f>
        <v/>
      </c>
      <c r="J34" s="64">
        <f>F34/3600/I34</f>
        <v/>
      </c>
      <c r="K34" s="60">
        <f>INDEX(Hypothèses!$C$6:$C$16,MATCH(F34,Hypothèses!$A$6:$A$16,1))</f>
        <v/>
      </c>
      <c r="L34" s="60">
        <f>IF(J34&lt;=K34,"oui","NON")</f>
        <v/>
      </c>
    </row>
    <row r="35" ht="15" customHeight="1" s="40">
      <c r="A35" s="60" t="inlineStr">
        <is>
          <t>VMC 4</t>
        </is>
      </c>
      <c r="B35" s="60" t="inlineStr">
        <is>
          <t>RDC</t>
        </is>
      </c>
      <c r="C35" s="60" t="inlineStr">
        <is>
          <t>Collecteur</t>
        </is>
      </c>
      <c r="D35" s="60" t="inlineStr">
        <is>
          <t>N00 collecteur ménage</t>
        </is>
      </c>
      <c r="E35" s="54" t="n">
        <v>1.6</v>
      </c>
      <c r="F35" s="54" t="n">
        <v>30</v>
      </c>
      <c r="G35" s="54" t="n">
        <v>450</v>
      </c>
      <c r="H35" s="54" t="n">
        <v>150</v>
      </c>
      <c r="I35" s="63">
        <f>IF(H35=0,PI()*(G35/1000)^2/4,G35*H35/1000000)</f>
        <v/>
      </c>
      <c r="J35" s="64">
        <f>F35/3600/I35</f>
        <v/>
      </c>
      <c r="K35" s="60">
        <f>INDEX(Hypothèses!$C$6:$C$16,MATCH(F35,Hypothèses!$A$6:$A$16,1))</f>
        <v/>
      </c>
      <c r="L35" s="60">
        <f>IF(J35&lt;=K35,"oui","NON")</f>
        <v/>
      </c>
    </row>
    <row r="36" ht="15" customHeight="1" s="40">
      <c r="A36" s="60" t="inlineStr">
        <is>
          <t>VMC 4</t>
        </is>
      </c>
      <c r="B36" s="60" t="inlineStr">
        <is>
          <t>R+1</t>
        </is>
      </c>
      <c r="C36" s="60" t="inlineStr">
        <is>
          <t>Collecteur</t>
        </is>
      </c>
      <c r="D36" s="60" t="inlineStr">
        <is>
          <t>N01 collecteur office</t>
        </is>
      </c>
      <c r="E36" s="54" t="n">
        <v>3.3</v>
      </c>
      <c r="F36" s="54" t="n">
        <v>600</v>
      </c>
      <c r="G36" s="54" t="n">
        <v>450</v>
      </c>
      <c r="H36" s="54" t="n">
        <v>100</v>
      </c>
      <c r="I36" s="63">
        <f>IF(H36=0,PI()*(G36/1000)^2/4,G36*H36/1000000)</f>
        <v/>
      </c>
      <c r="J36" s="64">
        <f>F36/3600/I36</f>
        <v/>
      </c>
      <c r="K36" s="60">
        <f>INDEX(Hypothèses!$C$6:$C$16,MATCH(F36,Hypothèses!$A$6:$A$16,1))</f>
        <v/>
      </c>
      <c r="L36" s="60">
        <f>IF(J36&lt;=K36,"oui","NON")</f>
        <v/>
      </c>
    </row>
    <row r="37" ht="15" customHeight="1" s="40">
      <c r="A37" s="60" t="inlineStr">
        <is>
          <t>VMC 4</t>
        </is>
      </c>
      <c r="B37" s="60" t="inlineStr">
        <is>
          <t>R+1</t>
        </is>
      </c>
      <c r="C37" s="60" t="inlineStr">
        <is>
          <t>Collecteur</t>
        </is>
      </c>
      <c r="D37" s="60" t="inlineStr">
        <is>
          <t>N01 collecteur office nord</t>
        </is>
      </c>
      <c r="E37" s="54" t="n">
        <v>5.5</v>
      </c>
      <c r="F37" s="54" t="n">
        <v>300</v>
      </c>
      <c r="G37" s="54" t="n">
        <v>300</v>
      </c>
      <c r="H37" s="54" t="n">
        <v>100</v>
      </c>
      <c r="I37" s="63">
        <f>IF(H37=0,PI()*(G37/1000)^2/4,G37*H37/1000000)</f>
        <v/>
      </c>
      <c r="J37" s="64">
        <f>F37/3600/I37</f>
        <v/>
      </c>
      <c r="K37" s="60">
        <f>INDEX(Hypothèses!$C$6:$C$16,MATCH(F37,Hypothèses!$A$6:$A$16,1))</f>
        <v/>
      </c>
      <c r="L37" s="60">
        <f>IF(J37&lt;=K37,"oui","NON")</f>
        <v/>
      </c>
    </row>
    <row r="38" ht="15" customHeight="1" s="40">
      <c r="A38" s="60" t="inlineStr">
        <is>
          <t>VMC 4</t>
        </is>
      </c>
      <c r="B38" s="60" t="inlineStr">
        <is>
          <t>R+1</t>
        </is>
      </c>
      <c r="C38" s="60" t="inlineStr">
        <is>
          <t>Collecteur</t>
        </is>
      </c>
      <c r="D38" s="60" t="inlineStr">
        <is>
          <t>N01 collecteur est</t>
        </is>
      </c>
      <c r="E38" s="54" t="n">
        <v>1.2</v>
      </c>
      <c r="F38" s="54" t="n">
        <v>150</v>
      </c>
      <c r="G38" s="54" t="n">
        <v>450</v>
      </c>
      <c r="H38" s="54" t="n">
        <v>100</v>
      </c>
      <c r="I38" s="63">
        <f>IF(H38=0,PI()*(G38/1000)^2/4,G38*H38/1000000)</f>
        <v/>
      </c>
      <c r="J38" s="64">
        <f>F38/3600/I38</f>
        <v/>
      </c>
      <c r="K38" s="60">
        <f>INDEX(Hypothèses!$C$6:$C$16,MATCH(F38,Hypothèses!$A$6:$A$16,1))</f>
        <v/>
      </c>
      <c r="L38" s="60">
        <f>IF(J38&lt;=K38,"oui","NON")</f>
        <v/>
      </c>
    </row>
    <row r="39" ht="15" customHeight="1" s="40">
      <c r="A39" s="60" t="inlineStr">
        <is>
          <t>VMC 4</t>
        </is>
      </c>
      <c r="B39" s="60" t="inlineStr">
        <is>
          <t>R+1</t>
        </is>
      </c>
      <c r="C39" s="60" t="inlineStr">
        <is>
          <t>Collecteur</t>
        </is>
      </c>
      <c r="D39" s="60" t="inlineStr">
        <is>
          <t>N01 collecteur est</t>
        </is>
      </c>
      <c r="E39" s="54" t="n">
        <v>4.8</v>
      </c>
      <c r="F39" s="54" t="n">
        <v>150</v>
      </c>
      <c r="G39" s="54" t="n">
        <v>250</v>
      </c>
      <c r="H39" s="54" t="n">
        <v>100</v>
      </c>
      <c r="I39" s="63">
        <f>IF(H39=0,PI()*(G39/1000)^2/4,G39*H39/1000000)</f>
        <v/>
      </c>
      <c r="J39" s="64">
        <f>F39/3600/I39</f>
        <v/>
      </c>
      <c r="K39" s="60">
        <f>INDEX(Hypothèses!$C$6:$C$16,MATCH(F39,Hypothèses!$A$6:$A$16,1))</f>
        <v/>
      </c>
      <c r="L39" s="60">
        <f>IF(J39&lt;=K39,"oui","NON")</f>
        <v/>
      </c>
    </row>
    <row r="40" ht="15" customHeight="1" s="40">
      <c r="A40" s="60" t="inlineStr">
        <is>
          <t>VMC 4</t>
        </is>
      </c>
      <c r="B40" s="60" t="inlineStr">
        <is>
          <t>R+1</t>
        </is>
      </c>
      <c r="C40" s="60" t="inlineStr">
        <is>
          <t>Collecteur</t>
        </is>
      </c>
      <c r="D40" s="60" t="inlineStr">
        <is>
          <t>N01 collecteur san.</t>
        </is>
      </c>
      <c r="E40" s="54" t="n">
        <v>6.3</v>
      </c>
      <c r="F40" s="54" t="n">
        <v>150</v>
      </c>
      <c r="G40" s="54" t="n">
        <v>250</v>
      </c>
      <c r="H40" s="54" t="n">
        <v>100</v>
      </c>
      <c r="I40" s="63">
        <f>IF(H40=0,PI()*(G40/1000)^2/4,G40*H40/1000000)</f>
        <v/>
      </c>
      <c r="J40" s="64">
        <f>F40/3600/I40</f>
        <v/>
      </c>
      <c r="K40" s="60">
        <f>INDEX(Hypothèses!$C$6:$C$16,MATCH(F40,Hypothèses!$A$6:$A$16,1))</f>
        <v/>
      </c>
      <c r="L40" s="60">
        <f>IF(J40&lt;=K40,"oui","NON")</f>
        <v/>
      </c>
    </row>
    <row r="41" ht="15" customHeight="1" s="40">
      <c r="A41" s="60" t="inlineStr">
        <is>
          <t>VMC 4</t>
        </is>
      </c>
      <c r="B41" s="60" t="inlineStr">
        <is>
          <t>RDC</t>
        </is>
      </c>
      <c r="C41" s="60" t="inlineStr">
        <is>
          <t>Montée</t>
        </is>
      </c>
      <c r="D41" s="60" t="inlineStr">
        <is>
          <t>descente vers WC résidents RDC</t>
        </is>
      </c>
      <c r="E41" s="54" t="n">
        <v>3.16</v>
      </c>
      <c r="F41" s="54" t="n">
        <v>60</v>
      </c>
      <c r="G41" s="54" t="n">
        <v>250</v>
      </c>
      <c r="H41" s="54" t="n">
        <v>100</v>
      </c>
      <c r="I41" s="63">
        <f>IF(H41=0,PI()*(G41/1000)^2/4,G41*H41/1000000)</f>
        <v/>
      </c>
      <c r="J41" s="64">
        <f>F41/3600/I41</f>
        <v/>
      </c>
      <c r="K41" s="60">
        <f>INDEX(Hypothèses!$C$6:$C$16,MATCH(F41,Hypothèses!$A$6:$A$16,1))</f>
        <v/>
      </c>
      <c r="L41" s="60">
        <f>IF(J41&lt;=K41,"oui","NON")</f>
        <v/>
      </c>
    </row>
    <row r="42" ht="15" customHeight="1" s="40">
      <c r="A42" s="60" t="inlineStr">
        <is>
          <t>VMC 4</t>
        </is>
      </c>
      <c r="B42" s="60" t="inlineStr">
        <is>
          <t>RDC</t>
        </is>
      </c>
      <c r="C42" s="60" t="inlineStr">
        <is>
          <t>Collecteur</t>
        </is>
      </c>
      <c r="D42" s="60" t="inlineStr">
        <is>
          <t>N00 WC résidents (au-dessus des gaines CTA 5)</t>
        </is>
      </c>
      <c r="E42" s="54" t="n">
        <v>5.1</v>
      </c>
      <c r="F42" s="54" t="n">
        <v>60</v>
      </c>
      <c r="G42" s="54" t="n">
        <v>250</v>
      </c>
      <c r="H42" s="54" t="n">
        <v>100</v>
      </c>
      <c r="I42" s="63">
        <f>IF(H42=0,PI()*(G42/1000)^2/4,G42*H42/1000000)</f>
        <v/>
      </c>
      <c r="J42" s="64">
        <f>F42/3600/I42</f>
        <v/>
      </c>
      <c r="K42" s="60">
        <f>INDEX(Hypothèses!$C$6:$C$16,MATCH(F42,Hypothèses!$A$6:$A$16,1))</f>
        <v/>
      </c>
      <c r="L42" s="60">
        <f>IF(J42&lt;=K42,"oui","NON")</f>
        <v/>
      </c>
    </row>
    <row r="43" ht="15" customHeight="1" s="40">
      <c r="A43" s="60" t="inlineStr">
        <is>
          <t>VMC 5</t>
        </is>
      </c>
      <c r="B43" s="60" t="inlineStr">
        <is>
          <t>RDC</t>
        </is>
      </c>
      <c r="C43" s="60" t="inlineStr">
        <is>
          <t>Montée</t>
        </is>
      </c>
      <c r="D43" s="60" t="inlineStr">
        <is>
          <t>montée VMC → terrasse</t>
        </is>
      </c>
      <c r="E43" s="54" t="n">
        <v>0.93</v>
      </c>
      <c r="F43" s="54" t="n">
        <v>60</v>
      </c>
      <c r="G43" s="54" t="n">
        <v>200</v>
      </c>
      <c r="H43" s="54" t="n">
        <v>100</v>
      </c>
      <c r="I43" s="63">
        <f>IF(H43=0,PI()*(G43/1000)^2/4,G43*H43/1000000)</f>
        <v/>
      </c>
      <c r="J43" s="64">
        <f>F43/3600/I43</f>
        <v/>
      </c>
      <c r="K43" s="60">
        <f>INDEX(Hypothèses!$C$6:$C$16,MATCH(F43,Hypothèses!$A$6:$A$16,1))</f>
        <v/>
      </c>
      <c r="L43" s="60">
        <f>IF(J43&lt;=K43,"oui","NON")</f>
        <v/>
      </c>
    </row>
    <row r="44" ht="15" customHeight="1" s="40">
      <c r="A44" s="60" t="inlineStr">
        <is>
          <t>VMC 5</t>
        </is>
      </c>
      <c r="B44" s="60" t="inlineStr">
        <is>
          <t>R+1</t>
        </is>
      </c>
      <c r="C44" s="60" t="inlineStr">
        <is>
          <t>Toiture</t>
        </is>
      </c>
      <c r="D44" s="60" t="inlineStr">
        <is>
          <t>toiture → caisson</t>
        </is>
      </c>
      <c r="E44" s="54" t="n">
        <v>1</v>
      </c>
      <c r="F44" s="54" t="n">
        <v>60</v>
      </c>
      <c r="G44" s="54" t="n">
        <v>200</v>
      </c>
      <c r="H44" s="54" t="n">
        <v>100</v>
      </c>
      <c r="I44" s="63">
        <f>IF(H44=0,PI()*(G44/1000)^2/4,G44*H44/1000000)</f>
        <v/>
      </c>
      <c r="J44" s="64">
        <f>F44/3600/I44</f>
        <v/>
      </c>
      <c r="K44" s="60">
        <f>INDEX(Hypothèses!$C$6:$C$16,MATCH(F44,Hypothèses!$A$6:$A$16,1))</f>
        <v/>
      </c>
      <c r="L44" s="60">
        <f>IF(J44&lt;=K44,"oui","NON")</f>
        <v/>
      </c>
    </row>
    <row r="45" ht="15" customHeight="1" s="40">
      <c r="A45" s="60" t="inlineStr">
        <is>
          <t>VMC 5</t>
        </is>
      </c>
      <c r="B45" s="60" t="inlineStr">
        <is>
          <t>R+1</t>
        </is>
      </c>
      <c r="C45" s="60" t="inlineStr">
        <is>
          <t>Raccord caisson</t>
        </is>
      </c>
      <c r="D45" s="60" t="inlineStr">
        <is>
          <t>raccord caisson Ø315</t>
        </is>
      </c>
      <c r="E45" s="54" t="n">
        <v>0.5</v>
      </c>
      <c r="F45" s="54" t="n">
        <v>60</v>
      </c>
      <c r="G45" s="54" t="n">
        <v>315</v>
      </c>
      <c r="H45" s="54" t="n">
        <v>0</v>
      </c>
      <c r="I45" s="63">
        <f>IF(H45=0,PI()*(G45/1000)^2/4,G45*H45/1000000)</f>
        <v/>
      </c>
      <c r="J45" s="64">
        <f>F45/3600/I45</f>
        <v/>
      </c>
      <c r="K45" s="60">
        <f>INDEX(Hypothèses!$C$6:$C$16,MATCH(F45,Hypothèses!$A$6:$A$16,1))</f>
        <v/>
      </c>
      <c r="L45" s="60">
        <f>IF(J45&lt;=K45,"oui","NON")</f>
        <v/>
      </c>
    </row>
    <row r="46" ht="15" customHeight="1" s="40">
      <c r="A46" s="60" t="inlineStr">
        <is>
          <t>VMC 5</t>
        </is>
      </c>
      <c r="B46" s="60" t="inlineStr">
        <is>
          <t>RDC</t>
        </is>
      </c>
      <c r="C46" s="60" t="inlineStr">
        <is>
          <t>Collecteur</t>
        </is>
      </c>
      <c r="D46" s="60" t="inlineStr">
        <is>
          <t>N00 collecteur ouest</t>
        </is>
      </c>
      <c r="E46" s="54" t="n">
        <v>5.3</v>
      </c>
      <c r="F46" s="54" t="n">
        <v>30</v>
      </c>
      <c r="G46" s="54" t="n">
        <v>200</v>
      </c>
      <c r="H46" s="54" t="n">
        <v>100</v>
      </c>
      <c r="I46" s="63">
        <f>IF(H46=0,PI()*(G46/1000)^2/4,G46*H46/1000000)</f>
        <v/>
      </c>
      <c r="J46" s="64">
        <f>F46/3600/I46</f>
        <v/>
      </c>
      <c r="K46" s="60">
        <f>INDEX(Hypothèses!$C$6:$C$16,MATCH(F46,Hypothèses!$A$6:$A$16,1))</f>
        <v/>
      </c>
      <c r="L46" s="60">
        <f>IF(J46&lt;=K46,"oui","NON")</f>
        <v/>
      </c>
    </row>
    <row r="47" ht="15" customHeight="1" s="40">
      <c r="A47" s="60" t="inlineStr">
        <is>
          <t>VMC 5</t>
        </is>
      </c>
      <c r="B47" s="60" t="inlineStr">
        <is>
          <t>RDC</t>
        </is>
      </c>
      <c r="C47" s="60" t="inlineStr">
        <is>
          <t>Collecteur</t>
        </is>
      </c>
      <c r="D47" s="60" t="inlineStr">
        <is>
          <t>N00 collecteur est</t>
        </is>
      </c>
      <c r="E47" s="54" t="n">
        <v>5.1</v>
      </c>
      <c r="F47" s="54" t="n">
        <v>30</v>
      </c>
      <c r="G47" s="54" t="n">
        <v>200</v>
      </c>
      <c r="H47" s="54" t="n">
        <v>100</v>
      </c>
      <c r="I47" s="63">
        <f>IF(H47=0,PI()*(G47/1000)^2/4,G47*H47/1000000)</f>
        <v/>
      </c>
      <c r="J47" s="64">
        <f>F47/3600/I47</f>
        <v/>
      </c>
      <c r="K47" s="60">
        <f>INDEX(Hypothèses!$C$6:$C$16,MATCH(F47,Hypothèses!$A$6:$A$16,1))</f>
        <v/>
      </c>
      <c r="L47" s="60">
        <f>IF(J47&lt;=K47,"oui","NON")</f>
        <v/>
      </c>
    </row>
    <row r="48" ht="15" customHeight="1" s="40">
      <c r="A48" s="60" t="inlineStr">
        <is>
          <t>VMC 6</t>
        </is>
      </c>
      <c r="B48" s="60" t="inlineStr">
        <is>
          <t>R+1</t>
        </is>
      </c>
      <c r="C48" s="60" t="inlineStr">
        <is>
          <t>Montée</t>
        </is>
      </c>
      <c r="D48" s="60" t="inlineStr">
        <is>
          <t>montée directe bouche san. étage → combles</t>
        </is>
      </c>
      <c r="E48" s="54" t="n">
        <v>1.39</v>
      </c>
      <c r="F48" s="54" t="n">
        <v>45</v>
      </c>
      <c r="G48" s="54" t="n">
        <v>200</v>
      </c>
      <c r="H48" s="54" t="n">
        <v>60</v>
      </c>
      <c r="I48" s="63">
        <f>IF(H48=0,PI()*(G48/1000)^2/4,G48*H48/1000000)</f>
        <v/>
      </c>
      <c r="J48" s="64">
        <f>F48/3600/I48</f>
        <v/>
      </c>
      <c r="K48" s="60">
        <f>INDEX(Hypothèses!$C$6:$C$16,MATCH(F48,Hypothèses!$A$6:$A$16,1))</f>
        <v/>
      </c>
      <c r="L48" s="60">
        <f>IF(J48&lt;=K48,"oui","NON")</f>
        <v/>
      </c>
    </row>
    <row r="49" ht="15" customHeight="1" s="40">
      <c r="A49" s="60" t="inlineStr">
        <is>
          <t>VMC 6</t>
        </is>
      </c>
      <c r="B49" s="60" t="inlineStr">
        <is>
          <t>Toiture</t>
        </is>
      </c>
      <c r="C49" s="60" t="inlineStr">
        <is>
          <t>Toiture</t>
        </is>
      </c>
      <c r="D49" s="60" t="inlineStr">
        <is>
          <t>combles → caisson</t>
        </is>
      </c>
      <c r="E49" s="54" t="n">
        <v>0.78</v>
      </c>
      <c r="F49" s="54" t="n">
        <v>45</v>
      </c>
      <c r="G49" s="54" t="n">
        <v>200</v>
      </c>
      <c r="H49" s="54" t="n">
        <v>60</v>
      </c>
      <c r="I49" s="63">
        <f>IF(H49=0,PI()*(G49/1000)^2/4,G49*H49/1000000)</f>
        <v/>
      </c>
      <c r="J49" s="64">
        <f>F49/3600/I49</f>
        <v/>
      </c>
      <c r="K49" s="60">
        <f>INDEX(Hypothèses!$C$6:$C$16,MATCH(F49,Hypothèses!$A$6:$A$16,1))</f>
        <v/>
      </c>
      <c r="L49" s="60">
        <f>IF(J49&lt;=K49,"oui","NON")</f>
        <v/>
      </c>
    </row>
    <row r="50" ht="15" customHeight="1" s="40">
      <c r="A50" s="60" t="inlineStr">
        <is>
          <t>VMC 6</t>
        </is>
      </c>
      <c r="B50" s="60" t="inlineStr">
        <is>
          <t>Toiture</t>
        </is>
      </c>
      <c r="C50" s="60" t="inlineStr">
        <is>
          <t>Raccord caisson</t>
        </is>
      </c>
      <c r="D50" s="60" t="inlineStr">
        <is>
          <t>raccord caisson Ø315</t>
        </is>
      </c>
      <c r="E50" s="54" t="n">
        <v>0.5</v>
      </c>
      <c r="F50" s="54" t="n">
        <v>45</v>
      </c>
      <c r="G50" s="54" t="n">
        <v>315</v>
      </c>
      <c r="H50" s="54" t="n">
        <v>0</v>
      </c>
      <c r="I50" s="63">
        <f>IF(H50=0,PI()*(G50/1000)^2/4,G50*H50/1000000)</f>
        <v/>
      </c>
      <c r="J50" s="64">
        <f>F50/3600/I50</f>
        <v/>
      </c>
      <c r="K50" s="60">
        <f>INDEX(Hypothèses!$C$6:$C$16,MATCH(F50,Hypothèses!$A$6:$A$16,1))</f>
        <v/>
      </c>
      <c r="L50" s="60">
        <f>IF(J50&lt;=K50,"oui","NON")</f>
        <v/>
      </c>
    </row>
    <row r="52" ht="15" customHeight="1" s="40">
      <c r="A52" s="69" t="inlineStr">
        <is>
          <t>Synthèse par caisson</t>
        </is>
      </c>
    </row>
    <row r="53" ht="35.05" customHeight="1" s="40">
      <c r="A53" s="70" t="inlineStr">
        <is>
          <t>Caisson</t>
        </is>
      </c>
      <c r="B53" s="70" t="inlineStr">
        <is>
          <t>Zone desservie</t>
        </is>
      </c>
      <c r="C53" s="70" t="inlineStr">
        <is>
          <t>Débit (m³/h)</t>
        </is>
      </c>
      <c r="D53" s="70" t="inlineStr">
        <is>
          <t>Nb de bouches</t>
        </is>
      </c>
      <c r="E53" s="70" t="inlineStr">
        <is>
          <t>Vitesse maxi dans le réseau (m/s)</t>
        </is>
      </c>
      <c r="F53" s="70" t="inlineStr">
        <is>
          <t>Tronçons hors vitesse</t>
        </is>
      </c>
    </row>
    <row r="54" ht="15" customHeight="1" s="40">
      <c r="A54" s="60" t="inlineStr">
        <is>
          <t>VMC 1</t>
        </is>
      </c>
      <c r="B54" s="60" t="inlineStr">
        <is>
          <t>Nord : offices, tisanerie, sanitaires, lingerie, ménage</t>
        </is>
      </c>
      <c r="C54" s="60">
        <f>SUMIFS($F$5:$F$50,$A$5:$A$50,A54,$C$5:$C$50,"Raccord caisson")</f>
        <v/>
      </c>
      <c r="D54" s="54" t="n">
        <v>20</v>
      </c>
      <c r="E54" s="64">
        <f>_xlfn.MAXIFS($J$5:$J$50,$A$5:$A$50,A54)</f>
        <v/>
      </c>
      <c r="F54" s="60">
        <f>COUNTIFS($A$5:$A$50,A54,$L$5:$L$50,"NON")</f>
        <v/>
      </c>
    </row>
    <row r="55" ht="15" customHeight="1" s="40">
      <c r="A55" s="60" t="inlineStr">
        <is>
          <t>VMC 2</t>
        </is>
      </c>
      <c r="B55" s="60" t="inlineStr">
        <is>
          <t>Ouest RDC : vestiaires, douches, WC, ménage</t>
        </is>
      </c>
      <c r="C55" s="60">
        <f>SUMIFS($F$5:$F$50,$A$5:$A$50,A55,$C$5:$C$50,"Raccord caisson")</f>
        <v/>
      </c>
      <c r="D55" s="54" t="n">
        <v>8</v>
      </c>
      <c r="E55" s="64">
        <f>_xlfn.MAXIFS($J$5:$J$50,$A$5:$A$50,A55)</f>
        <v/>
      </c>
      <c r="F55" s="60">
        <f>COUNTIFS($A$5:$A$50,A55,$L$5:$L$50,"NON")</f>
        <v/>
      </c>
    </row>
    <row r="56" ht="15" customHeight="1" s="40">
      <c r="A56" s="60" t="inlineStr">
        <is>
          <t>VMC 3</t>
        </is>
      </c>
      <c r="B56" s="60" t="inlineStr">
        <is>
          <t>Centre ouest : déchets, san., ménage, lingerie</t>
        </is>
      </c>
      <c r="C56" s="60">
        <f>SUMIFS($F$5:$F$50,$A$5:$A$50,A56,$C$5:$C$50,"Raccord caisson")</f>
        <v/>
      </c>
      <c r="D56" s="54" t="n">
        <v>7</v>
      </c>
      <c r="E56" s="64">
        <f>_xlfn.MAXIFS($J$5:$J$50,$A$5:$A$50,A56)</f>
        <v/>
      </c>
      <c r="F56" s="60">
        <f>COUNTIFS($A$5:$A$50,A56,$L$5:$L$50,"NON")</f>
        <v/>
      </c>
    </row>
    <row r="57" ht="15" customHeight="1" s="40">
      <c r="A57" s="60" t="inlineStr">
        <is>
          <t>VMC 4</t>
        </is>
      </c>
      <c r="B57" s="60" t="inlineStr">
        <is>
          <t>Centre est : office R+1, san., WC résidents, ménage RDC</t>
        </is>
      </c>
      <c r="C57" s="60">
        <f>SUMIFS($F$5:$F$50,$A$5:$A$50,A57,$C$5:$C$50,"Raccord caisson")</f>
        <v/>
      </c>
      <c r="D57" s="54" t="n">
        <v>8</v>
      </c>
      <c r="E57" s="64">
        <f>_xlfn.MAXIFS($J$5:$J$50,$A$5:$A$50,A57)</f>
        <v/>
      </c>
      <c r="F57" s="60">
        <f>COUNTIFS($A$5:$A$50,A57,$L$5:$L$50,"NON")</f>
        <v/>
      </c>
    </row>
    <row r="58" ht="15" customHeight="1" s="40">
      <c r="A58" s="60" t="inlineStr">
        <is>
          <t>VMC 5</t>
        </is>
      </c>
      <c r="B58" s="60" t="inlineStr">
        <is>
          <t>Sud RDC : local déchets, nettoyage matériel</t>
        </is>
      </c>
      <c r="C58" s="60">
        <f>SUMIFS($F$5:$F$50,$A$5:$A$50,A58,$C$5:$C$50,"Raccord caisson")</f>
        <v/>
      </c>
      <c r="D58" s="54" t="n">
        <v>2</v>
      </c>
      <c r="E58" s="64">
        <f>_xlfn.MAXIFS($J$5:$J$50,$A$5:$A$50,A58)</f>
        <v/>
      </c>
      <c r="F58" s="60">
        <f>COUNTIFS($A$5:$A$50,A58,$L$5:$L$50,"NON")</f>
        <v/>
      </c>
    </row>
    <row r="59" ht="15" customHeight="1" s="40">
      <c r="A59" s="60" t="inlineStr">
        <is>
          <t>VMC 6</t>
        </is>
      </c>
      <c r="B59" s="60" t="inlineStr">
        <is>
          <t>San. R+1 aile est</t>
        </is>
      </c>
      <c r="C59" s="60">
        <f>SUMIFS($F$5:$F$50,$A$5:$A$50,A59,$C$5:$C$50,"Raccord caisson")</f>
        <v/>
      </c>
      <c r="D59" s="54" t="n">
        <v>1</v>
      </c>
      <c r="E59" s="64">
        <f>_xlfn.MAXIFS($J$5:$J$50,$A$5:$A$50,A59)</f>
        <v/>
      </c>
      <c r="F59" s="60">
        <f>COUNTIFS($A$5:$A$50,A59,$L$5:$L$50,"NON")</f>
        <v/>
      </c>
    </row>
    <row r="61" ht="15" customHeight="1" s="40">
      <c r="A61" s="52" t="inlineStr">
        <is>
          <t>• 6 caissons C4 en toiture (VMC 5 sur la terrasse basse du RDC). Rejets à plus de 8 m des prises d'air neuf des CTA.</t>
        </is>
      </c>
    </row>
    <row r="62" ht="15" customHeight="1" s="40">
      <c r="A62" s="52" t="inlineStr">
        <is>
          <t>• Gaines rigides partout (pas de flexible) ; antennes 200 × 60 jusqu'aux bouches ALYZE S (non listées ici).</t>
        </is>
      </c>
    </row>
    <row r="63" ht="15" customHeight="1" s="40">
      <c r="A63" s="52" t="inlineStr">
        <is>
          <t>• Débit total extrait : 3 090 m³/h pour 46 bouches. Compensation : grilles de transfert pour offices et tisanerie (450 m³/h), détalonnage ailleurs.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8" customWidth="1" style="40" min="1" max="1"/>
    <col width="11" customWidth="1" style="40" min="2" max="2"/>
    <col width="8" customWidth="1" style="40" min="3" max="3"/>
    <col width="48" customWidth="1" style="40" min="4" max="4"/>
    <col width="12" customWidth="1" style="40" min="5" max="5"/>
    <col width="12" customWidth="1" style="40" min="6" max="6"/>
    <col width="12" customWidth="1" style="40" min="7" max="7"/>
    <col width="12" customWidth="1" style="40" min="8" max="8"/>
    <col width="12" customWidth="1" style="40" min="9" max="9"/>
    <col width="20" customWidth="1" style="40" min="10" max="10"/>
    <col width="11" customWidth="1" style="40" min="11" max="11"/>
  </cols>
  <sheetData>
    <row r="1">
      <c r="A1" s="71" t="inlineStr">
        <is>
          <t>Branches ajoutées le 27/10/2026 pour raccorder les 31 dernières bouches</t>
        </is>
      </c>
    </row>
    <row r="2">
      <c r="A2" s="39" t="inlineStr">
        <is>
          <t>Gaines plates de 60 mm de haut : seule hauteur qui passe au-dessus des troncs CTA 5 dans le plénum (0,57 m sous dalle). Vitesse maxi : onglet « Hypothèses » (CCTP § 2.2.5).</t>
        </is>
      </c>
    </row>
    <row r="4">
      <c r="A4" s="72" t="inlineStr">
        <is>
          <t>CTA</t>
        </is>
      </c>
      <c r="B4" s="72" t="inlineStr">
        <is>
          <t>Réseau</t>
        </is>
      </c>
      <c r="C4" s="72" t="inlineStr">
        <is>
          <t>Niveau</t>
        </is>
      </c>
      <c r="D4" s="72" t="inlineStr">
        <is>
          <t>Tronçon</t>
        </is>
      </c>
      <c r="E4" s="72" t="inlineStr">
        <is>
          <t>Débit (m³/h)</t>
        </is>
      </c>
      <c r="F4" s="72" t="inlineStr">
        <is>
          <t>Largeur (mm)</t>
        </is>
      </c>
      <c r="G4" s="72" t="inlineStr">
        <is>
          <t>Hauteur (mm)</t>
        </is>
      </c>
      <c r="H4" s="72" t="inlineStr">
        <is>
          <t>Section (m²)</t>
        </is>
      </c>
      <c r="I4" s="72" t="inlineStr">
        <is>
          <t>Vitesse (m/s)</t>
        </is>
      </c>
      <c r="J4" s="72" t="inlineStr">
        <is>
          <t>Vitesse maxi CCTP (m/s)</t>
        </is>
      </c>
      <c r="K4" s="72" t="inlineStr">
        <is>
          <t>Conforme ?</t>
        </is>
      </c>
    </row>
    <row r="5">
      <c r="A5" s="39" t="inlineStr">
        <is>
          <t>CTA 5</t>
        </is>
      </c>
      <c r="B5" s="39" t="inlineStr">
        <is>
          <t>Soufflage</t>
        </is>
      </c>
      <c r="C5" s="39" t="inlineStr">
        <is>
          <t>RDC</t>
        </is>
      </c>
      <c r="D5" s="39" t="inlineStr">
        <is>
          <t>Famille (B344) — 400 × 60 depuis le 28/10 (montée de 1 m restée en 300 × 60)</t>
        </is>
      </c>
      <c r="E5" s="73" t="n">
        <v>234</v>
      </c>
      <c r="F5" s="73" t="n">
        <v>400</v>
      </c>
      <c r="G5" s="73" t="n">
        <v>60</v>
      </c>
      <c r="H5" s="39">
        <f>F5*G5/1000000</f>
        <v/>
      </c>
      <c r="I5" s="39">
        <f>ROUND(E5/3600/H5,2)</f>
        <v/>
      </c>
      <c r="J5" s="39">
        <f>LOOKUP(E5,Hypothèses!$A$6:$A$16,Hypothèses!$C$6:$C$16)</f>
        <v/>
      </c>
      <c r="K5" s="39">
        <f>IF(I5&lt;=J5,"oui","NON")</f>
        <v/>
      </c>
    </row>
    <row r="6">
      <c r="A6" s="39" t="inlineStr">
        <is>
          <t>CTA 5</t>
        </is>
      </c>
      <c r="B6" s="39" t="inlineStr">
        <is>
          <t>Soufflage</t>
        </is>
      </c>
      <c r="C6" s="39" t="inlineStr">
        <is>
          <t>RDC</t>
        </is>
      </c>
      <c r="D6" s="39" t="inlineStr">
        <is>
          <t>Atelier (B386)</t>
        </is>
      </c>
      <c r="E6" s="73" t="n">
        <v>90</v>
      </c>
      <c r="F6" s="73" t="n">
        <v>200</v>
      </c>
      <c r="G6" s="73" t="n">
        <v>60</v>
      </c>
      <c r="H6" s="39">
        <f>F6*G6/1000000</f>
        <v/>
      </c>
      <c r="I6" s="39">
        <f>ROUND(E6/3600/H6,2)</f>
        <v/>
      </c>
      <c r="J6" s="39">
        <f>LOOKUP(E6,Hypothèses!$A$6:$A$16,Hypothèses!$C$6:$C$16)</f>
        <v/>
      </c>
      <c r="K6" s="39">
        <f>IF(I6&lt;=J6,"oui","NON")</f>
        <v/>
      </c>
    </row>
    <row r="7">
      <c r="A7" s="39" t="inlineStr">
        <is>
          <t>CTA 5</t>
        </is>
      </c>
      <c r="B7" s="39" t="inlineStr">
        <is>
          <t>Soufflage</t>
        </is>
      </c>
      <c r="C7" s="39" t="inlineStr">
        <is>
          <t>RDC</t>
        </is>
      </c>
      <c r="D7" s="39" t="inlineStr">
        <is>
          <t>Bureau mutualisé (B335)</t>
        </is>
      </c>
      <c r="E7" s="73" t="n">
        <v>50</v>
      </c>
      <c r="F7" s="73" t="n">
        <v>200</v>
      </c>
      <c r="G7" s="73" t="n">
        <v>60</v>
      </c>
      <c r="H7" s="39">
        <f>F7*G7/1000000</f>
        <v/>
      </c>
      <c r="I7" s="39">
        <f>ROUND(E7/3600/H7,2)</f>
        <v/>
      </c>
      <c r="J7" s="39">
        <f>LOOKUP(E7,Hypothèses!$A$6:$A$16,Hypothèses!$C$6:$C$16)</f>
        <v/>
      </c>
      <c r="K7" s="39">
        <f>IF(I7&lt;=J7,"oui","NON")</f>
        <v/>
      </c>
    </row>
    <row r="8">
      <c r="A8" s="39" t="inlineStr">
        <is>
          <t>CTA 5</t>
        </is>
      </c>
      <c r="B8" s="39" t="inlineStr">
        <is>
          <t>Reprise</t>
        </is>
      </c>
      <c r="C8" s="39" t="inlineStr">
        <is>
          <t>RDC</t>
        </is>
      </c>
      <c r="D8" s="39" t="inlineStr">
        <is>
          <t>Accueil (B355)</t>
        </is>
      </c>
      <c r="E8" s="73" t="n">
        <v>50</v>
      </c>
      <c r="F8" s="73" t="n">
        <v>200</v>
      </c>
      <c r="G8" s="73" t="n">
        <v>60</v>
      </c>
      <c r="H8" s="39">
        <f>F8*G8/1000000</f>
        <v/>
      </c>
      <c r="I8" s="39">
        <f>ROUND(E8/3600/H8,2)</f>
        <v/>
      </c>
      <c r="J8" s="39">
        <f>LOOKUP(E8,Hypothèses!$A$6:$A$16,Hypothèses!$C$6:$C$16)</f>
        <v/>
      </c>
      <c r="K8" s="39">
        <f>IF(I8&lt;=J8,"oui","NON")</f>
        <v/>
      </c>
    </row>
    <row r="9">
      <c r="A9" s="39" t="inlineStr">
        <is>
          <t>CTA 5</t>
        </is>
      </c>
      <c r="B9" s="39" t="inlineStr">
        <is>
          <t>Reprise</t>
        </is>
      </c>
      <c r="C9" s="39" t="inlineStr">
        <is>
          <t>RDC</t>
        </is>
      </c>
      <c r="D9" s="39" t="inlineStr">
        <is>
          <t>Aile nord RDC (B395, B401) — 350 × 60 depuis le 28/10 (2,7 m restés en 300 × 60 avant B395)</t>
        </is>
      </c>
      <c r="E9" s="73" t="n">
        <v>198</v>
      </c>
      <c r="F9" s="73" t="n">
        <v>350</v>
      </c>
      <c r="G9" s="73" t="n">
        <v>60</v>
      </c>
      <c r="H9" s="39">
        <f>F9*G9/1000000</f>
        <v/>
      </c>
      <c r="I9" s="39">
        <f>ROUND(E9/3600/H9,2)</f>
        <v/>
      </c>
      <c r="J9" s="39">
        <f>LOOKUP(E9,Hypothèses!$A$6:$A$16,Hypothèses!$C$6:$C$16)</f>
        <v/>
      </c>
      <c r="K9" s="39">
        <f>IF(I9&lt;=J9,"oui","NON")</f>
        <v/>
      </c>
    </row>
    <row r="10">
      <c r="A10" s="39" t="inlineStr">
        <is>
          <t>CTA 5</t>
        </is>
      </c>
      <c r="B10" s="39" t="inlineStr">
        <is>
          <t>Soufflage</t>
        </is>
      </c>
      <c r="C10" s="39" t="inlineStr">
        <is>
          <t>Étage</t>
        </is>
      </c>
      <c r="D10" s="39" t="inlineStr">
        <is>
          <t>Salons ouest (B371, B372)</t>
        </is>
      </c>
      <c r="E10" s="73" t="n">
        <v>726</v>
      </c>
      <c r="F10" s="73" t="n">
        <v>1000</v>
      </c>
      <c r="G10" s="73" t="n">
        <v>60</v>
      </c>
      <c r="H10" s="39">
        <f>F10*G10/1000000</f>
        <v/>
      </c>
      <c r="I10" s="39">
        <f>ROUND(E10/3600/H10,2)</f>
        <v/>
      </c>
      <c r="J10" s="39">
        <f>LOOKUP(E10,Hypothèses!$A$6:$A$16,Hypothèses!$C$6:$C$16)</f>
        <v/>
      </c>
      <c r="K10" s="39">
        <f>IF(I10&lt;=J10,"oui","NON")</f>
        <v/>
      </c>
    </row>
    <row r="11">
      <c r="A11" s="39" t="inlineStr">
        <is>
          <t>CTA 5</t>
        </is>
      </c>
      <c r="B11" s="39" t="inlineStr">
        <is>
          <t>Soufflage</t>
        </is>
      </c>
      <c r="C11" s="39" t="inlineStr">
        <is>
          <t>Étage</t>
        </is>
      </c>
      <c r="D11" s="39" t="inlineStr">
        <is>
          <t>Salon est (B406)</t>
        </is>
      </c>
      <c r="E11" s="73" t="n">
        <v>352</v>
      </c>
      <c r="F11" s="73" t="n">
        <v>650</v>
      </c>
      <c r="G11" s="73" t="n">
        <v>60</v>
      </c>
      <c r="H11" s="39">
        <f>F11*G11/1000000</f>
        <v/>
      </c>
      <c r="I11" s="39">
        <f>ROUND(E11/3600/H11,2)</f>
        <v/>
      </c>
      <c r="J11" s="39">
        <f>LOOKUP(E11,Hypothèses!$A$6:$A$16,Hypothèses!$C$6:$C$16)</f>
        <v/>
      </c>
      <c r="K11" s="39">
        <f>IF(I11&lt;=J11,"oui","NON")</f>
        <v/>
      </c>
    </row>
    <row r="12">
      <c r="A12" s="39" t="inlineStr">
        <is>
          <t>CTA 5</t>
        </is>
      </c>
      <c r="B12" s="39" t="inlineStr">
        <is>
          <t>Reprise</t>
        </is>
      </c>
      <c r="C12" s="39" t="inlineStr">
        <is>
          <t>Étage</t>
        </is>
      </c>
      <c r="D12" s="39" t="inlineStr">
        <is>
          <t>Aile nord étage, jusqu'à B402 — 800 × 60 depuis le 28/10</t>
        </is>
      </c>
      <c r="E12" s="73" t="n">
        <v>548</v>
      </c>
      <c r="F12" s="73" t="n">
        <v>800</v>
      </c>
      <c r="G12" s="73" t="n">
        <v>60</v>
      </c>
      <c r="H12" s="39">
        <f>F12*G12/1000000</f>
        <v/>
      </c>
      <c r="I12" s="39">
        <f>ROUND(E12/3600/H12,2)</f>
        <v/>
      </c>
      <c r="J12" s="39">
        <f>LOOKUP(E12,Hypothèses!$A$6:$A$16,Hypothèses!$C$6:$C$16)</f>
        <v/>
      </c>
      <c r="K12" s="39">
        <f>IF(I12&lt;=J12,"oui","NON")</f>
        <v/>
      </c>
    </row>
    <row r="13">
      <c r="A13" s="39" t="inlineStr">
        <is>
          <t>CTA 5</t>
        </is>
      </c>
      <c r="B13" s="39" t="inlineStr">
        <is>
          <t>Reprise</t>
        </is>
      </c>
      <c r="C13" s="39" t="inlineStr">
        <is>
          <t>Étage</t>
        </is>
      </c>
      <c r="D13" s="39" t="inlineStr">
        <is>
          <t>Aile nord, entre B402 et B403 (B403 + B405)</t>
        </is>
      </c>
      <c r="E13" s="73" t="n">
        <v>328</v>
      </c>
      <c r="F13" s="73" t="n">
        <v>600</v>
      </c>
      <c r="G13" s="73" t="n">
        <v>60</v>
      </c>
      <c r="H13" s="39">
        <f>F13*G13/1000000</f>
        <v/>
      </c>
      <c r="I13" s="39">
        <f>ROUND(E13/3600/H13,2)</f>
        <v/>
      </c>
      <c r="J13" s="39">
        <f>LOOKUP(E13,Hypothèses!$A$6:$A$16,Hypothèses!$C$6:$C$16)</f>
        <v/>
      </c>
      <c r="K13" s="39">
        <f>IF(I13&lt;=J13,"oui","NON")</f>
        <v/>
      </c>
    </row>
    <row r="14">
      <c r="A14" s="39" t="inlineStr">
        <is>
          <t>CTA 5</t>
        </is>
      </c>
      <c r="B14" s="39" t="inlineStr">
        <is>
          <t>Reprise</t>
        </is>
      </c>
      <c r="C14" s="39" t="inlineStr">
        <is>
          <t>Étage</t>
        </is>
      </c>
      <c r="D14" s="39" t="inlineStr">
        <is>
          <t>Couloir vers la détente (B405)</t>
        </is>
      </c>
      <c r="E14" s="73" t="n">
        <v>108</v>
      </c>
      <c r="F14" s="73" t="n">
        <v>600</v>
      </c>
      <c r="G14" s="73" t="n">
        <v>60</v>
      </c>
      <c r="H14" s="39">
        <f>F14*G14/1000000</f>
        <v/>
      </c>
      <c r="I14" s="39">
        <f>ROUND(E14/3600/H14,2)</f>
        <v/>
      </c>
      <c r="J14" s="39">
        <f>LOOKUP(E14,Hypothèses!$A$6:$A$16,Hypothèses!$C$6:$C$16)</f>
        <v/>
      </c>
      <c r="K14" s="39">
        <f>IF(I14&lt;=J14,"oui","NON")</f>
        <v/>
      </c>
    </row>
    <row r="15">
      <c r="A15" s="39" t="inlineStr">
        <is>
          <t>CTA 5</t>
        </is>
      </c>
      <c r="B15" s="39" t="inlineStr">
        <is>
          <t>Soufflage</t>
        </is>
      </c>
      <c r="C15" s="39" t="inlineStr">
        <is>
          <t>Étage</t>
        </is>
      </c>
      <c r="D15" s="39" t="inlineStr">
        <is>
          <t>Détente (B404)</t>
        </is>
      </c>
      <c r="E15" s="73" t="n">
        <v>108</v>
      </c>
      <c r="F15" s="73" t="n">
        <v>250</v>
      </c>
      <c r="G15" s="73" t="n">
        <v>60</v>
      </c>
      <c r="H15" s="39">
        <f>F15*G15/1000000</f>
        <v/>
      </c>
      <c r="I15" s="39">
        <f>ROUND(E15/3600/H15,2)</f>
        <v/>
      </c>
      <c r="J15" s="39">
        <f>LOOKUP(E15,Hypothèses!$A$6:$A$16,Hypothèses!$C$6:$C$16)</f>
        <v/>
      </c>
      <c r="K15" s="39">
        <f>IF(I15&lt;=J15,"oui","NON")</f>
        <v/>
      </c>
    </row>
    <row r="16">
      <c r="A16" s="39" t="inlineStr">
        <is>
          <t>CTA 2</t>
        </is>
      </c>
      <c r="B16" s="39" t="inlineStr">
        <is>
          <t>Reprise</t>
        </is>
      </c>
      <c r="C16" s="39" t="inlineStr">
        <is>
          <t>Étage</t>
        </is>
      </c>
      <c r="D16" s="39" t="inlineStr">
        <is>
          <t>Sdb (B369)</t>
        </is>
      </c>
      <c r="E16" s="73" t="n">
        <v>90</v>
      </c>
      <c r="F16" s="73" t="n">
        <v>200</v>
      </c>
      <c r="G16" s="73" t="n">
        <v>60</v>
      </c>
      <c r="H16" s="39">
        <f>F16*G16/1000000</f>
        <v/>
      </c>
      <c r="I16" s="39">
        <f>ROUND(E16/3600/H16,2)</f>
        <v/>
      </c>
      <c r="J16" s="39">
        <f>LOOKUP(E16,Hypothèses!$A$6:$A$16,Hypothèses!$C$6:$C$16)</f>
        <v/>
      </c>
      <c r="K16" s="39">
        <f>IF(I16&lt;=J16,"oui","NON")</f>
        <v/>
      </c>
    </row>
    <row r="17">
      <c r="A17" s="39" t="inlineStr">
        <is>
          <t>CTA 4</t>
        </is>
      </c>
      <c r="B17" s="39" t="inlineStr">
        <is>
          <t>Reprise</t>
        </is>
      </c>
      <c r="C17" s="39" t="inlineStr">
        <is>
          <t>Étage</t>
        </is>
      </c>
      <c r="D17" s="39" t="inlineStr">
        <is>
          <t>Sdb (B387)</t>
        </is>
      </c>
      <c r="E17" s="73" t="n">
        <v>90</v>
      </c>
      <c r="F17" s="73" t="n">
        <v>200</v>
      </c>
      <c r="G17" s="73" t="n">
        <v>60</v>
      </c>
      <c r="H17" s="39">
        <f>F17*G17/1000000</f>
        <v/>
      </c>
      <c r="I17" s="39">
        <f>ROUND(E17/3600/H17,2)</f>
        <v/>
      </c>
      <c r="J17" s="39">
        <f>LOOKUP(E17,Hypothèses!$A$6:$A$16,Hypothèses!$C$6:$C$16)</f>
        <v/>
      </c>
      <c r="K17" s="39">
        <f>IF(I17&lt;=J17,"oui","NON")</f>
        <v/>
      </c>
    </row>
    <row r="18">
      <c r="A18" s="39" t="inlineStr">
        <is>
          <t>CTA 3</t>
        </is>
      </c>
      <c r="B18" s="39" t="inlineStr">
        <is>
          <t>Soufflage</t>
        </is>
      </c>
      <c r="C18" s="39" t="inlineStr">
        <is>
          <t>Étage</t>
        </is>
      </c>
      <c r="D18" s="39" t="inlineStr">
        <is>
          <t>Chambre, bouche murale (B398)</t>
        </is>
      </c>
      <c r="E18" s="73" t="n">
        <v>90</v>
      </c>
      <c r="F18" s="73" t="n">
        <v>200</v>
      </c>
      <c r="G18" s="73" t="n">
        <v>60</v>
      </c>
      <c r="H18" s="39">
        <f>F18*G18/1000000</f>
        <v/>
      </c>
      <c r="I18" s="39">
        <f>ROUND(E18/3600/H18,2)</f>
        <v/>
      </c>
      <c r="J18" s="39">
        <f>LOOKUP(E18,Hypothèses!$A$6:$A$16,Hypothèses!$C$6:$C$16)</f>
        <v/>
      </c>
      <c r="K18" s="39">
        <f>IF(I18&lt;=J18,"oui","NON")</f>
        <v/>
      </c>
    </row>
    <row r="19"/>
    <row r="20">
      <c r="A20" s="75" t="inlineStr">
        <is>
          <t>Corrigé le 28/10 : famille 400 × 60, aile nord RDC 350 × 60, aile nord étage 800 × 60 jusqu'à B402 (avec réductions). Restent au-dessus de la vitesse CCTP : 1 m de montée famille (300 × 60, 3,6 m/s) et 2,7 m avant B395 (300 × 60, 3,1 m/s).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2026-10-18T16:52:26Z</dcterms:created>
  <dcterms:modified xmlns:dcterms="http://purl.org/dc/terms/" xmlns:xsi="http://www.w3.org/2001/XMLSchema-instance" xsi:type="dcterms:W3CDTF">2026-10-28T18:01:58Z</dcterms:modified>
  <cp:revision>0</cp:revision>
</cp:coreProperties>
</file>